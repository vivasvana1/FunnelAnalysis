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tables/table6.xml" ContentType="application/vnd.openxmlformats-officedocument.spreadsheetml.table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3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queryTables/queryTable2.xml" ContentType="application/vnd.openxmlformats-officedocument.spreadsheetml.queryTable+xml"/>
  <Override PartName="/xl/tables/table16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queryTables/queryTable4.xml" ContentType="application/vnd.openxmlformats-officedocument.spreadsheetml.queryTable+xml"/>
  <Override PartName="/xl/tables/table23.xml" ContentType="application/vnd.openxmlformats-officedocument.spreadsheetml.table+xml"/>
  <Override PartName="/xl/queryTables/queryTable5.xml" ContentType="application/vnd.openxmlformats-officedocument.spreadsheetml.query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riya\Downloads\"/>
    </mc:Choice>
  </mc:AlternateContent>
  <xr:revisionPtr revIDLastSave="0" documentId="13_ncr:1_{61CB4FF2-73DF-465C-B765-3EE9D4DE7CDF}" xr6:coauthVersionLast="47" xr6:coauthVersionMax="47" xr10:uidLastSave="{00000000-0000-0000-0000-000000000000}"/>
  <bookViews>
    <workbookView xWindow="-108" yWindow="-108" windowWidth="23256" windowHeight="13176" tabRatio="1000" firstSheet="12" activeTab="18" xr2:uid="{CC99DDA0-9FF8-4056-87A7-95374BA4F6CD}"/>
  </bookViews>
  <sheets>
    <sheet name="CartRecovery_DATA" sheetId="14" r:id="rId1"/>
    <sheet name="CartRecovery_Assumptions" sheetId="35" r:id="rId2"/>
    <sheet name="CartRecovery_Simulated_Solution" sheetId="16" r:id="rId3"/>
    <sheet name="Sheet1" sheetId="32" r:id="rId4"/>
    <sheet name="HighPotentialSKUs-Data" sheetId="3" r:id="rId5"/>
    <sheet name="HighPotentialSKUs-Assumptions" sheetId="34" r:id="rId6"/>
    <sheet name="HighPotentialSKUs-Simulated_Sol" sheetId="17" r:id="rId7"/>
    <sheet name="CohortRetention-Data" sheetId="23" r:id="rId8"/>
    <sheet name="CohortRetention-Assumptions" sheetId="37" r:id="rId9"/>
    <sheet name="CohortRetention-Simulated_sol" sheetId="18" r:id="rId10"/>
    <sheet name="CohortRetention-Final" sheetId="36" r:id="rId11"/>
    <sheet name="HighLatencyPairs-Data" sheetId="4" r:id="rId12"/>
    <sheet name="HighLatencyPairs-Simulated Sol" sheetId="25" r:id="rId13"/>
    <sheet name="HighLatencyPairs-Final" sheetId="38" r:id="rId14"/>
    <sheet name="WishlistFavs_Data" sheetId="5" r:id="rId15"/>
    <sheet name="WishlistFavs_Assumptions" sheetId="40" r:id="rId16"/>
    <sheet name="WishlistFavs-Simulated Solution" sheetId="29" r:id="rId17"/>
    <sheet name="LoyaltyUsers-Data" sheetId="7" r:id="rId18"/>
    <sheet name="LoyaltyUsers-Simulated Sol" sheetId="30" r:id="rId19"/>
    <sheet name="HourlyBehavior-Data" sheetId="8" r:id="rId20"/>
    <sheet name="HourlyBehavior-Simulated_Sol" sheetId="31" r:id="rId21"/>
  </sheets>
  <definedNames>
    <definedName name="ExternalData_1" localSheetId="11" hidden="1">'HighLatencyPairs-Data'!$A$1:$C$348</definedName>
    <definedName name="ExternalData_1" localSheetId="12" hidden="1">'HighLatencyPairs-Simulated Sol'!$A$1:$C$348</definedName>
    <definedName name="ExternalData_1" localSheetId="4" hidden="1">'HighPotentialSKUs-Data'!$A$1:$F$25</definedName>
    <definedName name="ExternalData_1" localSheetId="19" hidden="1">'HourlyBehavior-Data'!$A$1:$A$25</definedName>
    <definedName name="ExternalData_1" localSheetId="20" hidden="1">'HourlyBehavior-Simulated_Sol'!$A$1:$A$25</definedName>
  </definedNames>
  <calcPr calcId="191029"/>
  <pivotCaches>
    <pivotCache cacheId="0" r:id="rId2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30" l="1"/>
  <c r="I4" i="30"/>
  <c r="I2" i="30"/>
  <c r="K6" i="31"/>
  <c r="K7" i="31"/>
  <c r="K10" i="31"/>
  <c r="K4" i="31"/>
  <c r="K3" i="31"/>
  <c r="K8" i="31"/>
  <c r="L8" i="31" s="1"/>
  <c r="K21" i="31"/>
  <c r="L21" i="31" s="1"/>
  <c r="K9" i="31"/>
  <c r="L9" i="31" s="1"/>
  <c r="K11" i="31"/>
  <c r="L11" i="31" s="1"/>
  <c r="K2" i="31"/>
  <c r="L2" i="31" s="1"/>
  <c r="K12" i="31"/>
  <c r="L12" i="31" s="1"/>
  <c r="K14" i="31"/>
  <c r="L14" i="31" s="1"/>
  <c r="K13" i="31"/>
  <c r="K16" i="31"/>
  <c r="K15" i="31"/>
  <c r="K19" i="31"/>
  <c r="K17" i="31"/>
  <c r="L17" i="31" s="1"/>
  <c r="K18" i="31"/>
  <c r="L18" i="31" s="1"/>
  <c r="K22" i="31"/>
  <c r="K25" i="31"/>
  <c r="L25" i="31" s="1"/>
  <c r="K20" i="31"/>
  <c r="L20" i="31" s="1"/>
  <c r="K24" i="31"/>
  <c r="L24" i="31" s="1"/>
  <c r="K23" i="31"/>
  <c r="L23" i="31" s="1"/>
  <c r="J6" i="31"/>
  <c r="J7" i="31"/>
  <c r="J10" i="31"/>
  <c r="J4" i="31"/>
  <c r="J3" i="31"/>
  <c r="J8" i="31"/>
  <c r="J21" i="31"/>
  <c r="J9" i="31"/>
  <c r="J11" i="31"/>
  <c r="J2" i="31"/>
  <c r="J12" i="31"/>
  <c r="J14" i="31"/>
  <c r="J13" i="31"/>
  <c r="J16" i="31"/>
  <c r="J15" i="31"/>
  <c r="J19" i="31"/>
  <c r="J17" i="31"/>
  <c r="J18" i="31"/>
  <c r="J22" i="31"/>
  <c r="L22" i="31" s="1"/>
  <c r="J25" i="31"/>
  <c r="J20" i="31"/>
  <c r="J24" i="31"/>
  <c r="J23" i="31"/>
  <c r="J5" i="31"/>
  <c r="K5" i="31"/>
  <c r="L5" i="31" s="1"/>
  <c r="G4" i="30"/>
  <c r="F4" i="30"/>
  <c r="H4" i="30" s="1"/>
  <c r="C4" i="30"/>
  <c r="E4" i="30" s="1"/>
  <c r="G3" i="30"/>
  <c r="F3" i="30"/>
  <c r="H3" i="30" s="1"/>
  <c r="C3" i="30"/>
  <c r="E3" i="30" s="1"/>
  <c r="G2" i="30"/>
  <c r="F2" i="30"/>
  <c r="H2" i="30" s="1"/>
  <c r="C2" i="30"/>
  <c r="E2" i="30" s="1"/>
  <c r="G3" i="40"/>
  <c r="G4" i="40"/>
  <c r="G2" i="40"/>
  <c r="D3" i="40"/>
  <c r="D4" i="40"/>
  <c r="D2" i="40"/>
  <c r="C3" i="40"/>
  <c r="C4" i="40"/>
  <c r="C2" i="40"/>
  <c r="I3" i="25"/>
  <c r="I4" i="25"/>
  <c r="I5" i="25"/>
  <c r="I6" i="25"/>
  <c r="I7" i="25"/>
  <c r="I8" i="25"/>
  <c r="I9" i="25"/>
  <c r="I10" i="25"/>
  <c r="I11" i="25"/>
  <c r="I12" i="25"/>
  <c r="I13" i="25"/>
  <c r="I14" i="25"/>
  <c r="I15" i="25"/>
  <c r="I16" i="25"/>
  <c r="I17" i="25"/>
  <c r="I18" i="25"/>
  <c r="I19" i="25"/>
  <c r="I20" i="25"/>
  <c r="I21" i="25"/>
  <c r="I22" i="25"/>
  <c r="I23" i="25"/>
  <c r="I24" i="25"/>
  <c r="I25" i="25"/>
  <c r="I26" i="25"/>
  <c r="I27" i="25"/>
  <c r="I28" i="25"/>
  <c r="I29" i="25"/>
  <c r="I30" i="25"/>
  <c r="I31" i="25"/>
  <c r="I32" i="25"/>
  <c r="I33" i="25"/>
  <c r="I34" i="25"/>
  <c r="I35" i="25"/>
  <c r="I36" i="25"/>
  <c r="I37" i="25"/>
  <c r="I38" i="25"/>
  <c r="I39" i="25"/>
  <c r="I40" i="25"/>
  <c r="I41" i="25"/>
  <c r="I42" i="25"/>
  <c r="I43" i="25"/>
  <c r="I44" i="25"/>
  <c r="I45" i="25"/>
  <c r="I46" i="25"/>
  <c r="I47" i="25"/>
  <c r="I48" i="25"/>
  <c r="I49" i="25"/>
  <c r="I50" i="25"/>
  <c r="I51" i="25"/>
  <c r="I52" i="25"/>
  <c r="I53" i="25"/>
  <c r="I54" i="25"/>
  <c r="I55" i="25"/>
  <c r="I56" i="25"/>
  <c r="I57" i="25"/>
  <c r="I58" i="25"/>
  <c r="I59" i="25"/>
  <c r="I60" i="25"/>
  <c r="I61" i="25"/>
  <c r="I62" i="25"/>
  <c r="I63" i="25"/>
  <c r="I64" i="25"/>
  <c r="I65" i="25"/>
  <c r="I66" i="25"/>
  <c r="I67" i="25"/>
  <c r="I68" i="25"/>
  <c r="I69" i="25"/>
  <c r="I70" i="25"/>
  <c r="I71" i="25"/>
  <c r="I72" i="25"/>
  <c r="I73" i="25"/>
  <c r="I74" i="25"/>
  <c r="I75" i="25"/>
  <c r="I76" i="25"/>
  <c r="I77" i="25"/>
  <c r="I78" i="25"/>
  <c r="I79" i="25"/>
  <c r="I80" i="25"/>
  <c r="I81" i="25"/>
  <c r="I82" i="25"/>
  <c r="I83" i="25"/>
  <c r="I84" i="25"/>
  <c r="I85" i="25"/>
  <c r="I86" i="25"/>
  <c r="I87" i="25"/>
  <c r="I88" i="25"/>
  <c r="I89" i="25"/>
  <c r="I90" i="25"/>
  <c r="I91" i="25"/>
  <c r="I92" i="25"/>
  <c r="I93" i="25"/>
  <c r="I94" i="25"/>
  <c r="I95" i="25"/>
  <c r="I96" i="25"/>
  <c r="I97" i="25"/>
  <c r="I98" i="25"/>
  <c r="I99" i="25"/>
  <c r="I100" i="25"/>
  <c r="I101" i="25"/>
  <c r="I102" i="25"/>
  <c r="I103" i="25"/>
  <c r="I104" i="25"/>
  <c r="I105" i="25"/>
  <c r="I106" i="25"/>
  <c r="I107" i="25"/>
  <c r="I108" i="25"/>
  <c r="I109" i="25"/>
  <c r="I110" i="25"/>
  <c r="I111" i="25"/>
  <c r="I112" i="25"/>
  <c r="I113" i="25"/>
  <c r="I114" i="25"/>
  <c r="I115" i="25"/>
  <c r="I116" i="25"/>
  <c r="I117" i="25"/>
  <c r="I118" i="25"/>
  <c r="I119" i="25"/>
  <c r="I120" i="25"/>
  <c r="I121" i="25"/>
  <c r="I122" i="25"/>
  <c r="I123" i="25"/>
  <c r="I124" i="25"/>
  <c r="I125" i="25"/>
  <c r="I126" i="25"/>
  <c r="I127" i="25"/>
  <c r="I128" i="25"/>
  <c r="I129" i="25"/>
  <c r="I130" i="25"/>
  <c r="I131" i="25"/>
  <c r="I132" i="25"/>
  <c r="I133" i="25"/>
  <c r="I134" i="25"/>
  <c r="I135" i="25"/>
  <c r="I136" i="25"/>
  <c r="I137" i="25"/>
  <c r="I138" i="25"/>
  <c r="I139" i="25"/>
  <c r="I140" i="25"/>
  <c r="I141" i="25"/>
  <c r="I142" i="25"/>
  <c r="I143" i="25"/>
  <c r="I144" i="25"/>
  <c r="I145" i="25"/>
  <c r="I146" i="25"/>
  <c r="I147" i="25"/>
  <c r="I148" i="25"/>
  <c r="I149" i="25"/>
  <c r="I150" i="25"/>
  <c r="I151" i="25"/>
  <c r="I152" i="25"/>
  <c r="I153" i="25"/>
  <c r="I154" i="25"/>
  <c r="I155" i="25"/>
  <c r="I156" i="25"/>
  <c r="I157" i="25"/>
  <c r="I158" i="25"/>
  <c r="I159" i="25"/>
  <c r="I160" i="25"/>
  <c r="I161" i="25"/>
  <c r="I162" i="25"/>
  <c r="I163" i="25"/>
  <c r="I164" i="25"/>
  <c r="I165" i="25"/>
  <c r="I166" i="25"/>
  <c r="I167" i="25"/>
  <c r="I168" i="25"/>
  <c r="I169" i="25"/>
  <c r="I170" i="25"/>
  <c r="I171" i="25"/>
  <c r="I172" i="25"/>
  <c r="I173" i="25"/>
  <c r="I174" i="25"/>
  <c r="I175" i="25"/>
  <c r="I176" i="25"/>
  <c r="I177" i="25"/>
  <c r="I178" i="25"/>
  <c r="I179" i="25"/>
  <c r="I180" i="25"/>
  <c r="I181" i="25"/>
  <c r="I182" i="25"/>
  <c r="I183" i="25"/>
  <c r="I184" i="25"/>
  <c r="I185" i="25"/>
  <c r="I186" i="25"/>
  <c r="I187" i="25"/>
  <c r="I188" i="25"/>
  <c r="I189" i="25"/>
  <c r="I190" i="25"/>
  <c r="I191" i="25"/>
  <c r="I192" i="25"/>
  <c r="I193" i="25"/>
  <c r="I194" i="25"/>
  <c r="I195" i="25"/>
  <c r="I196" i="25"/>
  <c r="I197" i="25"/>
  <c r="I198" i="25"/>
  <c r="I199" i="25"/>
  <c r="I200" i="25"/>
  <c r="I201" i="25"/>
  <c r="I202" i="25"/>
  <c r="I203" i="25"/>
  <c r="I204" i="25"/>
  <c r="I205" i="25"/>
  <c r="I206" i="25"/>
  <c r="I207" i="25"/>
  <c r="I208" i="25"/>
  <c r="I209" i="25"/>
  <c r="I210" i="25"/>
  <c r="I211" i="25"/>
  <c r="I212" i="25"/>
  <c r="I213" i="25"/>
  <c r="I214" i="25"/>
  <c r="I215" i="25"/>
  <c r="I216" i="25"/>
  <c r="I217" i="25"/>
  <c r="I218" i="25"/>
  <c r="I219" i="25"/>
  <c r="I220" i="25"/>
  <c r="I221" i="25"/>
  <c r="I222" i="25"/>
  <c r="I223" i="25"/>
  <c r="I224" i="25"/>
  <c r="I225" i="25"/>
  <c r="I226" i="25"/>
  <c r="I227" i="25"/>
  <c r="I228" i="25"/>
  <c r="I229" i="25"/>
  <c r="I230" i="25"/>
  <c r="I231" i="25"/>
  <c r="I232" i="25"/>
  <c r="I233" i="25"/>
  <c r="I234" i="25"/>
  <c r="I235" i="25"/>
  <c r="I236" i="25"/>
  <c r="I237" i="25"/>
  <c r="I238" i="25"/>
  <c r="I239" i="25"/>
  <c r="I240" i="25"/>
  <c r="I241" i="25"/>
  <c r="I242" i="25"/>
  <c r="I243" i="25"/>
  <c r="I244" i="25"/>
  <c r="I245" i="25"/>
  <c r="I246" i="25"/>
  <c r="I247" i="25"/>
  <c r="I248" i="25"/>
  <c r="I249" i="25"/>
  <c r="I250" i="25"/>
  <c r="I251" i="25"/>
  <c r="I252" i="25"/>
  <c r="I253" i="25"/>
  <c r="I254" i="25"/>
  <c r="I255" i="25"/>
  <c r="I256" i="25"/>
  <c r="I257" i="25"/>
  <c r="I258" i="25"/>
  <c r="I259" i="25"/>
  <c r="I260" i="25"/>
  <c r="I261" i="25"/>
  <c r="I262" i="25"/>
  <c r="I263" i="25"/>
  <c r="I264" i="25"/>
  <c r="I265" i="25"/>
  <c r="I266" i="25"/>
  <c r="I267" i="25"/>
  <c r="I268" i="25"/>
  <c r="I269" i="25"/>
  <c r="I270" i="25"/>
  <c r="I271" i="25"/>
  <c r="I272" i="25"/>
  <c r="I273" i="25"/>
  <c r="I274" i="25"/>
  <c r="I275" i="25"/>
  <c r="I276" i="25"/>
  <c r="I277" i="25"/>
  <c r="I278" i="25"/>
  <c r="I279" i="25"/>
  <c r="I280" i="25"/>
  <c r="I281" i="25"/>
  <c r="I282" i="25"/>
  <c r="I283" i="25"/>
  <c r="I284" i="25"/>
  <c r="I285" i="25"/>
  <c r="I286" i="25"/>
  <c r="I287" i="25"/>
  <c r="I288" i="25"/>
  <c r="I289" i="25"/>
  <c r="I290" i="25"/>
  <c r="I291" i="25"/>
  <c r="I292" i="25"/>
  <c r="I293" i="25"/>
  <c r="I294" i="25"/>
  <c r="I295" i="25"/>
  <c r="I296" i="25"/>
  <c r="I297" i="25"/>
  <c r="I298" i="25"/>
  <c r="I299" i="25"/>
  <c r="I300" i="25"/>
  <c r="I301" i="25"/>
  <c r="I302" i="25"/>
  <c r="I303" i="25"/>
  <c r="I304" i="25"/>
  <c r="I305" i="25"/>
  <c r="I306" i="25"/>
  <c r="I307" i="25"/>
  <c r="I308" i="25"/>
  <c r="I309" i="25"/>
  <c r="I310" i="25"/>
  <c r="I311" i="25"/>
  <c r="I312" i="25"/>
  <c r="I313" i="25"/>
  <c r="I314" i="25"/>
  <c r="I315" i="25"/>
  <c r="I316" i="25"/>
  <c r="I317" i="25"/>
  <c r="I318" i="25"/>
  <c r="I319" i="25"/>
  <c r="I320" i="25"/>
  <c r="I321" i="25"/>
  <c r="I322" i="25"/>
  <c r="I323" i="25"/>
  <c r="I324" i="25"/>
  <c r="I325" i="25"/>
  <c r="I326" i="25"/>
  <c r="I327" i="25"/>
  <c r="I328" i="25"/>
  <c r="I329" i="25"/>
  <c r="I330" i="25"/>
  <c r="I331" i="25"/>
  <c r="I332" i="25"/>
  <c r="I333" i="25"/>
  <c r="I334" i="25"/>
  <c r="I335" i="25"/>
  <c r="I336" i="25"/>
  <c r="I337" i="25"/>
  <c r="I338" i="25"/>
  <c r="I339" i="25"/>
  <c r="I340" i="25"/>
  <c r="I341" i="25"/>
  <c r="I342" i="25"/>
  <c r="I343" i="25"/>
  <c r="I344" i="25"/>
  <c r="I345" i="25"/>
  <c r="I346" i="25"/>
  <c r="I347" i="25"/>
  <c r="I348" i="25"/>
  <c r="I2" i="25"/>
  <c r="G50" i="25"/>
  <c r="H50" i="25" s="1"/>
  <c r="G242" i="25"/>
  <c r="H242" i="25" s="1"/>
  <c r="D15" i="25"/>
  <c r="E15" i="25" s="1"/>
  <c r="D47" i="25"/>
  <c r="E47" i="25" s="1"/>
  <c r="D60" i="25"/>
  <c r="G60" i="25" s="1"/>
  <c r="D61" i="25"/>
  <c r="G61" i="25" s="1"/>
  <c r="H61" i="25" s="1"/>
  <c r="D63" i="25"/>
  <c r="E63" i="25" s="1"/>
  <c r="D173" i="25"/>
  <c r="G173" i="25" s="1"/>
  <c r="H173" i="25" s="1"/>
  <c r="D204" i="25"/>
  <c r="G204" i="25" s="1"/>
  <c r="D207" i="25"/>
  <c r="E207" i="25" s="1"/>
  <c r="D208" i="25"/>
  <c r="E208" i="25" s="1"/>
  <c r="D316" i="25"/>
  <c r="G316" i="25" s="1"/>
  <c r="D319" i="25"/>
  <c r="E319" i="25" s="1"/>
  <c r="D320" i="25"/>
  <c r="E320" i="25" s="1"/>
  <c r="D329" i="25"/>
  <c r="G329" i="25" s="1"/>
  <c r="F3" i="25"/>
  <c r="D3" i="25" s="1"/>
  <c r="E3" i="25" s="1"/>
  <c r="F4" i="25"/>
  <c r="D4" i="25" s="1"/>
  <c r="E4" i="25" s="1"/>
  <c r="F5" i="25"/>
  <c r="D5" i="25" s="1"/>
  <c r="E5" i="25" s="1"/>
  <c r="F6" i="25"/>
  <c r="D6" i="25" s="1"/>
  <c r="E6" i="25" s="1"/>
  <c r="F7" i="25"/>
  <c r="D7" i="25" s="1"/>
  <c r="E7" i="25" s="1"/>
  <c r="F8" i="25"/>
  <c r="D8" i="25" s="1"/>
  <c r="E8" i="25" s="1"/>
  <c r="F9" i="25"/>
  <c r="D9" i="25" s="1"/>
  <c r="F10" i="25"/>
  <c r="D10" i="25" s="1"/>
  <c r="E10" i="25" s="1"/>
  <c r="F11" i="25"/>
  <c r="D11" i="25" s="1"/>
  <c r="E11" i="25" s="1"/>
  <c r="F12" i="25"/>
  <c r="D12" i="25" s="1"/>
  <c r="F13" i="25"/>
  <c r="D13" i="25" s="1"/>
  <c r="E13" i="25" s="1"/>
  <c r="F14" i="25"/>
  <c r="D14" i="25" s="1"/>
  <c r="E14" i="25" s="1"/>
  <c r="F15" i="25"/>
  <c r="F16" i="25"/>
  <c r="D16" i="25" s="1"/>
  <c r="E16" i="25" s="1"/>
  <c r="F17" i="25"/>
  <c r="D17" i="25" s="1"/>
  <c r="E17" i="25" s="1"/>
  <c r="F18" i="25"/>
  <c r="D18" i="25" s="1"/>
  <c r="E18" i="25" s="1"/>
  <c r="F19" i="25"/>
  <c r="D19" i="25" s="1"/>
  <c r="E19" i="25" s="1"/>
  <c r="F20" i="25"/>
  <c r="D20" i="25" s="1"/>
  <c r="E20" i="25" s="1"/>
  <c r="F21" i="25"/>
  <c r="D21" i="25" s="1"/>
  <c r="E21" i="25" s="1"/>
  <c r="F22" i="25"/>
  <c r="D22" i="25" s="1"/>
  <c r="E22" i="25" s="1"/>
  <c r="F23" i="25"/>
  <c r="D23" i="25" s="1"/>
  <c r="E23" i="25" s="1"/>
  <c r="F24" i="25"/>
  <c r="D24" i="25" s="1"/>
  <c r="E24" i="25" s="1"/>
  <c r="F25" i="25"/>
  <c r="D25" i="25" s="1"/>
  <c r="F26" i="25"/>
  <c r="D26" i="25" s="1"/>
  <c r="E26" i="25" s="1"/>
  <c r="F27" i="25"/>
  <c r="D27" i="25" s="1"/>
  <c r="E27" i="25" s="1"/>
  <c r="F28" i="25"/>
  <c r="D28" i="25" s="1"/>
  <c r="F29" i="25"/>
  <c r="D29" i="25" s="1"/>
  <c r="F30" i="25"/>
  <c r="D30" i="25" s="1"/>
  <c r="E30" i="25" s="1"/>
  <c r="F31" i="25"/>
  <c r="D31" i="25" s="1"/>
  <c r="F32" i="25"/>
  <c r="D32" i="25" s="1"/>
  <c r="F33" i="25"/>
  <c r="D33" i="25" s="1"/>
  <c r="E33" i="25" s="1"/>
  <c r="F34" i="25"/>
  <c r="D34" i="25" s="1"/>
  <c r="E34" i="25" s="1"/>
  <c r="F35" i="25"/>
  <c r="D35" i="25" s="1"/>
  <c r="E35" i="25" s="1"/>
  <c r="F36" i="25"/>
  <c r="D36" i="25" s="1"/>
  <c r="E36" i="25" s="1"/>
  <c r="F37" i="25"/>
  <c r="D37" i="25" s="1"/>
  <c r="E37" i="25" s="1"/>
  <c r="F38" i="25"/>
  <c r="D38" i="25" s="1"/>
  <c r="E38" i="25" s="1"/>
  <c r="F39" i="25"/>
  <c r="D39" i="25" s="1"/>
  <c r="E39" i="25" s="1"/>
  <c r="F40" i="25"/>
  <c r="D40" i="25" s="1"/>
  <c r="E40" i="25" s="1"/>
  <c r="F41" i="25"/>
  <c r="D41" i="25" s="1"/>
  <c r="F42" i="25"/>
  <c r="D42" i="25" s="1"/>
  <c r="E42" i="25" s="1"/>
  <c r="F43" i="25"/>
  <c r="D43" i="25" s="1"/>
  <c r="E43" i="25" s="1"/>
  <c r="F44" i="25"/>
  <c r="D44" i="25" s="1"/>
  <c r="F45" i="25"/>
  <c r="D45" i="25" s="1"/>
  <c r="F46" i="25"/>
  <c r="D46" i="25" s="1"/>
  <c r="E46" i="25" s="1"/>
  <c r="F47" i="25"/>
  <c r="F48" i="25"/>
  <c r="D48" i="25" s="1"/>
  <c r="F49" i="25"/>
  <c r="D49" i="25" s="1"/>
  <c r="E49" i="25" s="1"/>
  <c r="F50" i="25"/>
  <c r="D50" i="25" s="1"/>
  <c r="E50" i="25" s="1"/>
  <c r="F51" i="25"/>
  <c r="D51" i="25" s="1"/>
  <c r="E51" i="25" s="1"/>
  <c r="F52" i="25"/>
  <c r="D52" i="25" s="1"/>
  <c r="E52" i="25" s="1"/>
  <c r="F53" i="25"/>
  <c r="D53" i="25" s="1"/>
  <c r="E53" i="25" s="1"/>
  <c r="F54" i="25"/>
  <c r="D54" i="25" s="1"/>
  <c r="E54" i="25" s="1"/>
  <c r="F55" i="25"/>
  <c r="D55" i="25" s="1"/>
  <c r="E55" i="25" s="1"/>
  <c r="F56" i="25"/>
  <c r="D56" i="25" s="1"/>
  <c r="E56" i="25" s="1"/>
  <c r="F57" i="25"/>
  <c r="D57" i="25" s="1"/>
  <c r="F58" i="25"/>
  <c r="D58" i="25" s="1"/>
  <c r="E58" i="25" s="1"/>
  <c r="F59" i="25"/>
  <c r="D59" i="25" s="1"/>
  <c r="E59" i="25" s="1"/>
  <c r="F60" i="25"/>
  <c r="H60" i="25" s="1"/>
  <c r="F61" i="25"/>
  <c r="F62" i="25"/>
  <c r="D62" i="25" s="1"/>
  <c r="E62" i="25" s="1"/>
  <c r="F63" i="25"/>
  <c r="F64" i="25"/>
  <c r="D64" i="25" s="1"/>
  <c r="F65" i="25"/>
  <c r="D65" i="25" s="1"/>
  <c r="E65" i="25" s="1"/>
  <c r="F66" i="25"/>
  <c r="D66" i="25" s="1"/>
  <c r="E66" i="25" s="1"/>
  <c r="F67" i="25"/>
  <c r="D67" i="25" s="1"/>
  <c r="E67" i="25" s="1"/>
  <c r="F68" i="25"/>
  <c r="D68" i="25" s="1"/>
  <c r="E68" i="25" s="1"/>
  <c r="F69" i="25"/>
  <c r="D69" i="25" s="1"/>
  <c r="E69" i="25" s="1"/>
  <c r="F70" i="25"/>
  <c r="D70" i="25" s="1"/>
  <c r="E70" i="25" s="1"/>
  <c r="F71" i="25"/>
  <c r="D71" i="25" s="1"/>
  <c r="E71" i="25" s="1"/>
  <c r="F72" i="25"/>
  <c r="D72" i="25" s="1"/>
  <c r="E72" i="25" s="1"/>
  <c r="F73" i="25"/>
  <c r="D73" i="25" s="1"/>
  <c r="E73" i="25" s="1"/>
  <c r="F74" i="25"/>
  <c r="D74" i="25" s="1"/>
  <c r="E74" i="25" s="1"/>
  <c r="F75" i="25"/>
  <c r="D75" i="25" s="1"/>
  <c r="E75" i="25" s="1"/>
  <c r="F76" i="25"/>
  <c r="D76" i="25" s="1"/>
  <c r="F77" i="25"/>
  <c r="D77" i="25" s="1"/>
  <c r="F78" i="25"/>
  <c r="D78" i="25" s="1"/>
  <c r="E78" i="25" s="1"/>
  <c r="F79" i="25"/>
  <c r="D79" i="25" s="1"/>
  <c r="F80" i="25"/>
  <c r="D80" i="25" s="1"/>
  <c r="F81" i="25"/>
  <c r="D81" i="25" s="1"/>
  <c r="E81" i="25" s="1"/>
  <c r="F82" i="25"/>
  <c r="D82" i="25" s="1"/>
  <c r="E82" i="25" s="1"/>
  <c r="F83" i="25"/>
  <c r="D83" i="25" s="1"/>
  <c r="E83" i="25" s="1"/>
  <c r="F84" i="25"/>
  <c r="D84" i="25" s="1"/>
  <c r="E84" i="25" s="1"/>
  <c r="F85" i="25"/>
  <c r="D85" i="25" s="1"/>
  <c r="E85" i="25" s="1"/>
  <c r="F86" i="25"/>
  <c r="D86" i="25" s="1"/>
  <c r="E86" i="25" s="1"/>
  <c r="F87" i="25"/>
  <c r="D87" i="25" s="1"/>
  <c r="E87" i="25" s="1"/>
  <c r="F88" i="25"/>
  <c r="D88" i="25" s="1"/>
  <c r="E88" i="25" s="1"/>
  <c r="F89" i="25"/>
  <c r="D89" i="25" s="1"/>
  <c r="F90" i="25"/>
  <c r="D90" i="25" s="1"/>
  <c r="E90" i="25" s="1"/>
  <c r="F91" i="25"/>
  <c r="D91" i="25" s="1"/>
  <c r="E91" i="25" s="1"/>
  <c r="F92" i="25"/>
  <c r="D92" i="25" s="1"/>
  <c r="F93" i="25"/>
  <c r="D93" i="25" s="1"/>
  <c r="F94" i="25"/>
  <c r="D94" i="25" s="1"/>
  <c r="E94" i="25" s="1"/>
  <c r="F95" i="25"/>
  <c r="D95" i="25" s="1"/>
  <c r="F96" i="25"/>
  <c r="D96" i="25" s="1"/>
  <c r="F97" i="25"/>
  <c r="D97" i="25" s="1"/>
  <c r="E97" i="25" s="1"/>
  <c r="F98" i="25"/>
  <c r="D98" i="25" s="1"/>
  <c r="E98" i="25" s="1"/>
  <c r="F99" i="25"/>
  <c r="D99" i="25" s="1"/>
  <c r="E99" i="25" s="1"/>
  <c r="F100" i="25"/>
  <c r="D100" i="25" s="1"/>
  <c r="E100" i="25" s="1"/>
  <c r="F101" i="25"/>
  <c r="D101" i="25" s="1"/>
  <c r="E101" i="25" s="1"/>
  <c r="F102" i="25"/>
  <c r="D102" i="25" s="1"/>
  <c r="E102" i="25" s="1"/>
  <c r="F103" i="25"/>
  <c r="D103" i="25" s="1"/>
  <c r="E103" i="25" s="1"/>
  <c r="F104" i="25"/>
  <c r="D104" i="25" s="1"/>
  <c r="E104" i="25" s="1"/>
  <c r="F105" i="25"/>
  <c r="D105" i="25" s="1"/>
  <c r="F106" i="25"/>
  <c r="D106" i="25" s="1"/>
  <c r="E106" i="25" s="1"/>
  <c r="F107" i="25"/>
  <c r="D107" i="25" s="1"/>
  <c r="E107" i="25" s="1"/>
  <c r="F108" i="25"/>
  <c r="D108" i="25" s="1"/>
  <c r="F109" i="25"/>
  <c r="D109" i="25" s="1"/>
  <c r="F110" i="25"/>
  <c r="D110" i="25" s="1"/>
  <c r="E110" i="25" s="1"/>
  <c r="F111" i="25"/>
  <c r="D111" i="25" s="1"/>
  <c r="E111" i="25" s="1"/>
  <c r="F112" i="25"/>
  <c r="D112" i="25" s="1"/>
  <c r="E112" i="25" s="1"/>
  <c r="F113" i="25"/>
  <c r="D113" i="25" s="1"/>
  <c r="E113" i="25" s="1"/>
  <c r="F114" i="25"/>
  <c r="D114" i="25" s="1"/>
  <c r="E114" i="25" s="1"/>
  <c r="F115" i="25"/>
  <c r="D115" i="25" s="1"/>
  <c r="E115" i="25" s="1"/>
  <c r="F116" i="25"/>
  <c r="D116" i="25" s="1"/>
  <c r="E116" i="25" s="1"/>
  <c r="F117" i="25"/>
  <c r="D117" i="25" s="1"/>
  <c r="E117" i="25" s="1"/>
  <c r="F118" i="25"/>
  <c r="D118" i="25" s="1"/>
  <c r="E118" i="25" s="1"/>
  <c r="F119" i="25"/>
  <c r="D119" i="25" s="1"/>
  <c r="E119" i="25" s="1"/>
  <c r="F120" i="25"/>
  <c r="D120" i="25" s="1"/>
  <c r="E120" i="25" s="1"/>
  <c r="F121" i="25"/>
  <c r="D121" i="25" s="1"/>
  <c r="F122" i="25"/>
  <c r="D122" i="25" s="1"/>
  <c r="E122" i="25" s="1"/>
  <c r="F123" i="25"/>
  <c r="D123" i="25" s="1"/>
  <c r="E123" i="25" s="1"/>
  <c r="F124" i="25"/>
  <c r="D124" i="25" s="1"/>
  <c r="E124" i="25" s="1"/>
  <c r="F125" i="25"/>
  <c r="D125" i="25" s="1"/>
  <c r="F126" i="25"/>
  <c r="D126" i="25" s="1"/>
  <c r="E126" i="25" s="1"/>
  <c r="F127" i="25"/>
  <c r="D127" i="25" s="1"/>
  <c r="F128" i="25"/>
  <c r="D128" i="25" s="1"/>
  <c r="F129" i="25"/>
  <c r="D129" i="25" s="1"/>
  <c r="E129" i="25" s="1"/>
  <c r="F130" i="25"/>
  <c r="D130" i="25" s="1"/>
  <c r="E130" i="25" s="1"/>
  <c r="F131" i="25"/>
  <c r="D131" i="25" s="1"/>
  <c r="E131" i="25" s="1"/>
  <c r="F132" i="25"/>
  <c r="D132" i="25" s="1"/>
  <c r="E132" i="25" s="1"/>
  <c r="F133" i="25"/>
  <c r="D133" i="25" s="1"/>
  <c r="E133" i="25" s="1"/>
  <c r="F134" i="25"/>
  <c r="D134" i="25" s="1"/>
  <c r="E134" i="25" s="1"/>
  <c r="F135" i="25"/>
  <c r="D135" i="25" s="1"/>
  <c r="E135" i="25" s="1"/>
  <c r="F136" i="25"/>
  <c r="D136" i="25" s="1"/>
  <c r="E136" i="25" s="1"/>
  <c r="F137" i="25"/>
  <c r="D137" i="25" s="1"/>
  <c r="F138" i="25"/>
  <c r="D138" i="25" s="1"/>
  <c r="E138" i="25" s="1"/>
  <c r="F139" i="25"/>
  <c r="D139" i="25" s="1"/>
  <c r="E139" i="25" s="1"/>
  <c r="F140" i="25"/>
  <c r="D140" i="25" s="1"/>
  <c r="F141" i="25"/>
  <c r="D141" i="25" s="1"/>
  <c r="F142" i="25"/>
  <c r="D142" i="25" s="1"/>
  <c r="E142" i="25" s="1"/>
  <c r="F143" i="25"/>
  <c r="D143" i="25" s="1"/>
  <c r="F144" i="25"/>
  <c r="D144" i="25" s="1"/>
  <c r="F145" i="25"/>
  <c r="D145" i="25" s="1"/>
  <c r="E145" i="25" s="1"/>
  <c r="F146" i="25"/>
  <c r="D146" i="25" s="1"/>
  <c r="E146" i="25" s="1"/>
  <c r="F147" i="25"/>
  <c r="D147" i="25" s="1"/>
  <c r="E147" i="25" s="1"/>
  <c r="F148" i="25"/>
  <c r="D148" i="25" s="1"/>
  <c r="E148" i="25" s="1"/>
  <c r="F149" i="25"/>
  <c r="D149" i="25" s="1"/>
  <c r="E149" i="25" s="1"/>
  <c r="F150" i="25"/>
  <c r="D150" i="25" s="1"/>
  <c r="E150" i="25" s="1"/>
  <c r="F151" i="25"/>
  <c r="D151" i="25" s="1"/>
  <c r="E151" i="25" s="1"/>
  <c r="F152" i="25"/>
  <c r="D152" i="25" s="1"/>
  <c r="E152" i="25" s="1"/>
  <c r="F153" i="25"/>
  <c r="D153" i="25" s="1"/>
  <c r="F154" i="25"/>
  <c r="D154" i="25" s="1"/>
  <c r="E154" i="25" s="1"/>
  <c r="F155" i="25"/>
  <c r="D155" i="25" s="1"/>
  <c r="E155" i="25" s="1"/>
  <c r="F156" i="25"/>
  <c r="D156" i="25" s="1"/>
  <c r="F157" i="25"/>
  <c r="D157" i="25" s="1"/>
  <c r="F158" i="25"/>
  <c r="D158" i="25" s="1"/>
  <c r="E158" i="25" s="1"/>
  <c r="F159" i="25"/>
  <c r="D159" i="25" s="1"/>
  <c r="E159" i="25" s="1"/>
  <c r="F160" i="25"/>
  <c r="D160" i="25" s="1"/>
  <c r="F161" i="25"/>
  <c r="D161" i="25" s="1"/>
  <c r="E161" i="25" s="1"/>
  <c r="F162" i="25"/>
  <c r="D162" i="25" s="1"/>
  <c r="E162" i="25" s="1"/>
  <c r="F163" i="25"/>
  <c r="D163" i="25" s="1"/>
  <c r="E163" i="25" s="1"/>
  <c r="F164" i="25"/>
  <c r="D164" i="25" s="1"/>
  <c r="E164" i="25" s="1"/>
  <c r="F165" i="25"/>
  <c r="D165" i="25" s="1"/>
  <c r="E165" i="25" s="1"/>
  <c r="F166" i="25"/>
  <c r="D166" i="25" s="1"/>
  <c r="E166" i="25" s="1"/>
  <c r="F167" i="25"/>
  <c r="D167" i="25" s="1"/>
  <c r="E167" i="25" s="1"/>
  <c r="F168" i="25"/>
  <c r="D168" i="25" s="1"/>
  <c r="E168" i="25" s="1"/>
  <c r="F169" i="25"/>
  <c r="D169" i="25" s="1"/>
  <c r="F170" i="25"/>
  <c r="D170" i="25" s="1"/>
  <c r="E170" i="25" s="1"/>
  <c r="F171" i="25"/>
  <c r="D171" i="25" s="1"/>
  <c r="E171" i="25" s="1"/>
  <c r="F172" i="25"/>
  <c r="F173" i="25"/>
  <c r="F174" i="25"/>
  <c r="D174" i="25" s="1"/>
  <c r="E174" i="25" s="1"/>
  <c r="F175" i="25"/>
  <c r="D175" i="25" s="1"/>
  <c r="F176" i="25"/>
  <c r="D176" i="25" s="1"/>
  <c r="F177" i="25"/>
  <c r="D177" i="25" s="1"/>
  <c r="E177" i="25" s="1"/>
  <c r="F178" i="25"/>
  <c r="D178" i="25" s="1"/>
  <c r="E178" i="25" s="1"/>
  <c r="F179" i="25"/>
  <c r="D179" i="25" s="1"/>
  <c r="E179" i="25" s="1"/>
  <c r="F180" i="25"/>
  <c r="D180" i="25" s="1"/>
  <c r="E180" i="25" s="1"/>
  <c r="F181" i="25"/>
  <c r="D181" i="25" s="1"/>
  <c r="E181" i="25" s="1"/>
  <c r="F182" i="25"/>
  <c r="D182" i="25" s="1"/>
  <c r="E182" i="25" s="1"/>
  <c r="F183" i="25"/>
  <c r="D183" i="25" s="1"/>
  <c r="E183" i="25" s="1"/>
  <c r="F184" i="25"/>
  <c r="D184" i="25" s="1"/>
  <c r="E184" i="25" s="1"/>
  <c r="F185" i="25"/>
  <c r="D185" i="25" s="1"/>
  <c r="F186" i="25"/>
  <c r="D186" i="25" s="1"/>
  <c r="E186" i="25" s="1"/>
  <c r="F187" i="25"/>
  <c r="D187" i="25" s="1"/>
  <c r="E187" i="25" s="1"/>
  <c r="F188" i="25"/>
  <c r="D188" i="25" s="1"/>
  <c r="F189" i="25"/>
  <c r="D189" i="25" s="1"/>
  <c r="F190" i="25"/>
  <c r="D190" i="25" s="1"/>
  <c r="E190" i="25" s="1"/>
  <c r="F191" i="25"/>
  <c r="D191" i="25" s="1"/>
  <c r="F192" i="25"/>
  <c r="D192" i="25" s="1"/>
  <c r="F193" i="25"/>
  <c r="D193" i="25" s="1"/>
  <c r="E193" i="25" s="1"/>
  <c r="F194" i="25"/>
  <c r="D194" i="25" s="1"/>
  <c r="E194" i="25" s="1"/>
  <c r="F195" i="25"/>
  <c r="D195" i="25" s="1"/>
  <c r="E195" i="25" s="1"/>
  <c r="F196" i="25"/>
  <c r="D196" i="25" s="1"/>
  <c r="E196" i="25" s="1"/>
  <c r="F197" i="25"/>
  <c r="D197" i="25" s="1"/>
  <c r="E197" i="25" s="1"/>
  <c r="F198" i="25"/>
  <c r="D198" i="25" s="1"/>
  <c r="E198" i="25" s="1"/>
  <c r="F199" i="25"/>
  <c r="D199" i="25" s="1"/>
  <c r="E199" i="25" s="1"/>
  <c r="F200" i="25"/>
  <c r="D200" i="25" s="1"/>
  <c r="E200" i="25" s="1"/>
  <c r="F201" i="25"/>
  <c r="D201" i="25" s="1"/>
  <c r="F202" i="25"/>
  <c r="D202" i="25" s="1"/>
  <c r="E202" i="25" s="1"/>
  <c r="F203" i="25"/>
  <c r="D203" i="25" s="1"/>
  <c r="E203" i="25" s="1"/>
  <c r="F204" i="25"/>
  <c r="H204" i="25" s="1"/>
  <c r="F205" i="25"/>
  <c r="D205" i="25" s="1"/>
  <c r="F206" i="25"/>
  <c r="D206" i="25" s="1"/>
  <c r="E206" i="25" s="1"/>
  <c r="F207" i="25"/>
  <c r="F208" i="25"/>
  <c r="F209" i="25"/>
  <c r="D209" i="25" s="1"/>
  <c r="E209" i="25" s="1"/>
  <c r="F210" i="25"/>
  <c r="D210" i="25" s="1"/>
  <c r="E210" i="25" s="1"/>
  <c r="F211" i="25"/>
  <c r="D211" i="25" s="1"/>
  <c r="E211" i="25" s="1"/>
  <c r="F212" i="25"/>
  <c r="D212" i="25" s="1"/>
  <c r="E212" i="25" s="1"/>
  <c r="F213" i="25"/>
  <c r="D213" i="25" s="1"/>
  <c r="E213" i="25" s="1"/>
  <c r="F214" i="25"/>
  <c r="D214" i="25" s="1"/>
  <c r="E214" i="25" s="1"/>
  <c r="F215" i="25"/>
  <c r="D215" i="25" s="1"/>
  <c r="E215" i="25" s="1"/>
  <c r="F216" i="25"/>
  <c r="D216" i="25" s="1"/>
  <c r="E216" i="25" s="1"/>
  <c r="F217" i="25"/>
  <c r="D217" i="25" s="1"/>
  <c r="F218" i="25"/>
  <c r="D218" i="25" s="1"/>
  <c r="E218" i="25" s="1"/>
  <c r="F219" i="25"/>
  <c r="D219" i="25" s="1"/>
  <c r="E219" i="25" s="1"/>
  <c r="F220" i="25"/>
  <c r="D220" i="25" s="1"/>
  <c r="E220" i="25" s="1"/>
  <c r="F221" i="25"/>
  <c r="D221" i="25" s="1"/>
  <c r="F222" i="25"/>
  <c r="D222" i="25" s="1"/>
  <c r="E222" i="25" s="1"/>
  <c r="F223" i="25"/>
  <c r="D223" i="25" s="1"/>
  <c r="E223" i="25" s="1"/>
  <c r="F224" i="25"/>
  <c r="D224" i="25" s="1"/>
  <c r="F225" i="25"/>
  <c r="D225" i="25" s="1"/>
  <c r="E225" i="25" s="1"/>
  <c r="F226" i="25"/>
  <c r="D226" i="25" s="1"/>
  <c r="E226" i="25" s="1"/>
  <c r="F227" i="25"/>
  <c r="D227" i="25" s="1"/>
  <c r="E227" i="25" s="1"/>
  <c r="F228" i="25"/>
  <c r="D228" i="25" s="1"/>
  <c r="E228" i="25" s="1"/>
  <c r="F229" i="25"/>
  <c r="D229" i="25" s="1"/>
  <c r="E229" i="25" s="1"/>
  <c r="F230" i="25"/>
  <c r="D230" i="25" s="1"/>
  <c r="E230" i="25" s="1"/>
  <c r="F231" i="25"/>
  <c r="D231" i="25" s="1"/>
  <c r="E231" i="25" s="1"/>
  <c r="F232" i="25"/>
  <c r="D232" i="25" s="1"/>
  <c r="E232" i="25" s="1"/>
  <c r="F233" i="25"/>
  <c r="D233" i="25" s="1"/>
  <c r="F234" i="25"/>
  <c r="D234" i="25" s="1"/>
  <c r="E234" i="25" s="1"/>
  <c r="F235" i="25"/>
  <c r="D235" i="25" s="1"/>
  <c r="E235" i="25" s="1"/>
  <c r="F236" i="25"/>
  <c r="D236" i="25" s="1"/>
  <c r="F237" i="25"/>
  <c r="D237" i="25" s="1"/>
  <c r="F238" i="25"/>
  <c r="D238" i="25" s="1"/>
  <c r="E238" i="25" s="1"/>
  <c r="F239" i="25"/>
  <c r="D239" i="25" s="1"/>
  <c r="F240" i="25"/>
  <c r="D240" i="25" s="1"/>
  <c r="F241" i="25"/>
  <c r="D241" i="25" s="1"/>
  <c r="E241" i="25" s="1"/>
  <c r="F242" i="25"/>
  <c r="D242" i="25" s="1"/>
  <c r="E242" i="25" s="1"/>
  <c r="F243" i="25"/>
  <c r="D243" i="25" s="1"/>
  <c r="E243" i="25" s="1"/>
  <c r="F244" i="25"/>
  <c r="D244" i="25" s="1"/>
  <c r="E244" i="25" s="1"/>
  <c r="F245" i="25"/>
  <c r="D245" i="25" s="1"/>
  <c r="E245" i="25" s="1"/>
  <c r="F246" i="25"/>
  <c r="D246" i="25" s="1"/>
  <c r="E246" i="25" s="1"/>
  <c r="F247" i="25"/>
  <c r="D247" i="25" s="1"/>
  <c r="E247" i="25" s="1"/>
  <c r="F248" i="25"/>
  <c r="D248" i="25" s="1"/>
  <c r="E248" i="25" s="1"/>
  <c r="F249" i="25"/>
  <c r="D249" i="25" s="1"/>
  <c r="F250" i="25"/>
  <c r="D250" i="25" s="1"/>
  <c r="E250" i="25" s="1"/>
  <c r="F251" i="25"/>
  <c r="D251" i="25" s="1"/>
  <c r="E251" i="25" s="1"/>
  <c r="F252" i="25"/>
  <c r="D252" i="25" s="1"/>
  <c r="F253" i="25"/>
  <c r="D253" i="25" s="1"/>
  <c r="F254" i="25"/>
  <c r="D254" i="25" s="1"/>
  <c r="E254" i="25" s="1"/>
  <c r="F255" i="25"/>
  <c r="D255" i="25" s="1"/>
  <c r="F256" i="25"/>
  <c r="D256" i="25" s="1"/>
  <c r="F257" i="25"/>
  <c r="D257" i="25" s="1"/>
  <c r="E257" i="25" s="1"/>
  <c r="F258" i="25"/>
  <c r="D258" i="25" s="1"/>
  <c r="E258" i="25" s="1"/>
  <c r="F259" i="25"/>
  <c r="D259" i="25" s="1"/>
  <c r="E259" i="25" s="1"/>
  <c r="F260" i="25"/>
  <c r="D260" i="25" s="1"/>
  <c r="E260" i="25" s="1"/>
  <c r="F261" i="25"/>
  <c r="D261" i="25" s="1"/>
  <c r="E261" i="25" s="1"/>
  <c r="F262" i="25"/>
  <c r="D262" i="25" s="1"/>
  <c r="E262" i="25" s="1"/>
  <c r="F263" i="25"/>
  <c r="D263" i="25" s="1"/>
  <c r="E263" i="25" s="1"/>
  <c r="F264" i="25"/>
  <c r="D264" i="25" s="1"/>
  <c r="E264" i="25" s="1"/>
  <c r="F265" i="25"/>
  <c r="D265" i="25" s="1"/>
  <c r="F266" i="25"/>
  <c r="D266" i="25" s="1"/>
  <c r="E266" i="25" s="1"/>
  <c r="F267" i="25"/>
  <c r="D267" i="25" s="1"/>
  <c r="E267" i="25" s="1"/>
  <c r="F268" i="25"/>
  <c r="D268" i="25" s="1"/>
  <c r="F269" i="25"/>
  <c r="D269" i="25" s="1"/>
  <c r="E269" i="25" s="1"/>
  <c r="F270" i="25"/>
  <c r="D270" i="25" s="1"/>
  <c r="E270" i="25" s="1"/>
  <c r="F271" i="25"/>
  <c r="D271" i="25" s="1"/>
  <c r="E271" i="25" s="1"/>
  <c r="F272" i="25"/>
  <c r="D272" i="25" s="1"/>
  <c r="E272" i="25" s="1"/>
  <c r="F273" i="25"/>
  <c r="D273" i="25" s="1"/>
  <c r="E273" i="25" s="1"/>
  <c r="F274" i="25"/>
  <c r="D274" i="25" s="1"/>
  <c r="E274" i="25" s="1"/>
  <c r="F275" i="25"/>
  <c r="D275" i="25" s="1"/>
  <c r="E275" i="25" s="1"/>
  <c r="F276" i="25"/>
  <c r="D276" i="25" s="1"/>
  <c r="E276" i="25" s="1"/>
  <c r="F277" i="25"/>
  <c r="D277" i="25" s="1"/>
  <c r="E277" i="25" s="1"/>
  <c r="F278" i="25"/>
  <c r="D278" i="25" s="1"/>
  <c r="E278" i="25" s="1"/>
  <c r="F279" i="25"/>
  <c r="D279" i="25" s="1"/>
  <c r="E279" i="25" s="1"/>
  <c r="F280" i="25"/>
  <c r="D280" i="25" s="1"/>
  <c r="E280" i="25" s="1"/>
  <c r="F281" i="25"/>
  <c r="D281" i="25" s="1"/>
  <c r="F282" i="25"/>
  <c r="D282" i="25" s="1"/>
  <c r="E282" i="25" s="1"/>
  <c r="F283" i="25"/>
  <c r="D283" i="25" s="1"/>
  <c r="E283" i="25" s="1"/>
  <c r="F284" i="25"/>
  <c r="D284" i="25" s="1"/>
  <c r="F285" i="25"/>
  <c r="D285" i="25" s="1"/>
  <c r="F286" i="25"/>
  <c r="D286" i="25" s="1"/>
  <c r="E286" i="25" s="1"/>
  <c r="F287" i="25"/>
  <c r="D287" i="25" s="1"/>
  <c r="F288" i="25"/>
  <c r="D288" i="25" s="1"/>
  <c r="F289" i="25"/>
  <c r="D289" i="25" s="1"/>
  <c r="E289" i="25" s="1"/>
  <c r="F290" i="25"/>
  <c r="D290" i="25" s="1"/>
  <c r="E290" i="25" s="1"/>
  <c r="F291" i="25"/>
  <c r="D291" i="25" s="1"/>
  <c r="E291" i="25" s="1"/>
  <c r="F292" i="25"/>
  <c r="D292" i="25" s="1"/>
  <c r="E292" i="25" s="1"/>
  <c r="F293" i="25"/>
  <c r="D293" i="25" s="1"/>
  <c r="E293" i="25" s="1"/>
  <c r="F294" i="25"/>
  <c r="D294" i="25" s="1"/>
  <c r="E294" i="25" s="1"/>
  <c r="F295" i="25"/>
  <c r="D295" i="25" s="1"/>
  <c r="E295" i="25" s="1"/>
  <c r="F296" i="25"/>
  <c r="D296" i="25" s="1"/>
  <c r="E296" i="25" s="1"/>
  <c r="F297" i="25"/>
  <c r="D297" i="25" s="1"/>
  <c r="F298" i="25"/>
  <c r="D298" i="25" s="1"/>
  <c r="E298" i="25" s="1"/>
  <c r="F299" i="25"/>
  <c r="D299" i="25" s="1"/>
  <c r="E299" i="25" s="1"/>
  <c r="F300" i="25"/>
  <c r="D300" i="25" s="1"/>
  <c r="F301" i="25"/>
  <c r="D301" i="25" s="1"/>
  <c r="F302" i="25"/>
  <c r="D302" i="25" s="1"/>
  <c r="E302" i="25" s="1"/>
  <c r="F303" i="25"/>
  <c r="D303" i="25" s="1"/>
  <c r="E303" i="25" s="1"/>
  <c r="F304" i="25"/>
  <c r="D304" i="25" s="1"/>
  <c r="F305" i="25"/>
  <c r="D305" i="25" s="1"/>
  <c r="E305" i="25" s="1"/>
  <c r="F306" i="25"/>
  <c r="D306" i="25" s="1"/>
  <c r="E306" i="25" s="1"/>
  <c r="F307" i="25"/>
  <c r="D307" i="25" s="1"/>
  <c r="E307" i="25" s="1"/>
  <c r="F308" i="25"/>
  <c r="D308" i="25" s="1"/>
  <c r="E308" i="25" s="1"/>
  <c r="F309" i="25"/>
  <c r="D309" i="25" s="1"/>
  <c r="E309" i="25" s="1"/>
  <c r="F310" i="25"/>
  <c r="D310" i="25" s="1"/>
  <c r="E310" i="25" s="1"/>
  <c r="F311" i="25"/>
  <c r="D311" i="25" s="1"/>
  <c r="E311" i="25" s="1"/>
  <c r="F312" i="25"/>
  <c r="D312" i="25" s="1"/>
  <c r="E312" i="25" s="1"/>
  <c r="F313" i="25"/>
  <c r="D313" i="25" s="1"/>
  <c r="F314" i="25"/>
  <c r="D314" i="25" s="1"/>
  <c r="E314" i="25" s="1"/>
  <c r="F315" i="25"/>
  <c r="D315" i="25" s="1"/>
  <c r="E315" i="25" s="1"/>
  <c r="F316" i="25"/>
  <c r="H316" i="25" s="1"/>
  <c r="F317" i="25"/>
  <c r="F318" i="25"/>
  <c r="D318" i="25" s="1"/>
  <c r="E318" i="25" s="1"/>
  <c r="F319" i="25"/>
  <c r="F320" i="25"/>
  <c r="F321" i="25"/>
  <c r="D321" i="25" s="1"/>
  <c r="E321" i="25" s="1"/>
  <c r="F322" i="25"/>
  <c r="D322" i="25" s="1"/>
  <c r="E322" i="25" s="1"/>
  <c r="F323" i="25"/>
  <c r="D323" i="25" s="1"/>
  <c r="E323" i="25" s="1"/>
  <c r="F324" i="25"/>
  <c r="D324" i="25" s="1"/>
  <c r="E324" i="25" s="1"/>
  <c r="F325" i="25"/>
  <c r="D325" i="25" s="1"/>
  <c r="E325" i="25" s="1"/>
  <c r="F326" i="25"/>
  <c r="D326" i="25" s="1"/>
  <c r="E326" i="25" s="1"/>
  <c r="F327" i="25"/>
  <c r="D327" i="25" s="1"/>
  <c r="E327" i="25" s="1"/>
  <c r="F328" i="25"/>
  <c r="D328" i="25" s="1"/>
  <c r="E328" i="25" s="1"/>
  <c r="F329" i="25"/>
  <c r="H329" i="25" s="1"/>
  <c r="F330" i="25"/>
  <c r="D330" i="25" s="1"/>
  <c r="E330" i="25" s="1"/>
  <c r="F331" i="25"/>
  <c r="D331" i="25" s="1"/>
  <c r="E331" i="25" s="1"/>
  <c r="F332" i="25"/>
  <c r="D332" i="25" s="1"/>
  <c r="F333" i="25"/>
  <c r="D333" i="25" s="1"/>
  <c r="F334" i="25"/>
  <c r="D334" i="25" s="1"/>
  <c r="E334" i="25" s="1"/>
  <c r="F335" i="25"/>
  <c r="D335" i="25" s="1"/>
  <c r="F336" i="25"/>
  <c r="D336" i="25" s="1"/>
  <c r="F337" i="25"/>
  <c r="D337" i="25" s="1"/>
  <c r="E337" i="25" s="1"/>
  <c r="F338" i="25"/>
  <c r="D338" i="25" s="1"/>
  <c r="E338" i="25" s="1"/>
  <c r="F339" i="25"/>
  <c r="D339" i="25" s="1"/>
  <c r="E339" i="25" s="1"/>
  <c r="F340" i="25"/>
  <c r="D340" i="25" s="1"/>
  <c r="E340" i="25" s="1"/>
  <c r="F341" i="25"/>
  <c r="D341" i="25" s="1"/>
  <c r="E341" i="25" s="1"/>
  <c r="F342" i="25"/>
  <c r="D342" i="25" s="1"/>
  <c r="E342" i="25" s="1"/>
  <c r="F343" i="25"/>
  <c r="D343" i="25" s="1"/>
  <c r="E343" i="25" s="1"/>
  <c r="F344" i="25"/>
  <c r="D344" i="25" s="1"/>
  <c r="E344" i="25" s="1"/>
  <c r="F345" i="25"/>
  <c r="D345" i="25" s="1"/>
  <c r="F346" i="25"/>
  <c r="D346" i="25" s="1"/>
  <c r="E346" i="25" s="1"/>
  <c r="F347" i="25"/>
  <c r="D347" i="25" s="1"/>
  <c r="E347" i="25" s="1"/>
  <c r="F348" i="25"/>
  <c r="D348" i="25" s="1"/>
  <c r="F2" i="25"/>
  <c r="D2" i="25" s="1"/>
  <c r="H3" i="29"/>
  <c r="I3" i="29" s="1"/>
  <c r="H4" i="29"/>
  <c r="I4" i="29" s="1"/>
  <c r="H5" i="29"/>
  <c r="I5" i="29" s="1"/>
  <c r="H6" i="29"/>
  <c r="I6" i="29" s="1"/>
  <c r="H7" i="29"/>
  <c r="I7" i="29" s="1"/>
  <c r="H8" i="29"/>
  <c r="I8" i="29" s="1"/>
  <c r="H9" i="29"/>
  <c r="I9" i="29" s="1"/>
  <c r="H10" i="29"/>
  <c r="I10" i="29" s="1"/>
  <c r="H11" i="29"/>
  <c r="I11" i="29" s="1"/>
  <c r="H12" i="29"/>
  <c r="I12" i="29" s="1"/>
  <c r="H13" i="29"/>
  <c r="I13" i="29" s="1"/>
  <c r="H14" i="29"/>
  <c r="I14" i="29" s="1"/>
  <c r="H15" i="29"/>
  <c r="I15" i="29" s="1"/>
  <c r="H16" i="29"/>
  <c r="I16" i="29" s="1"/>
  <c r="H17" i="29"/>
  <c r="I17" i="29" s="1"/>
  <c r="H18" i="29"/>
  <c r="I18" i="29" s="1"/>
  <c r="H19" i="29"/>
  <c r="I19" i="29" s="1"/>
  <c r="H20" i="29"/>
  <c r="I20" i="29" s="1"/>
  <c r="H21" i="29"/>
  <c r="I21" i="29" s="1"/>
  <c r="H22" i="29"/>
  <c r="I22" i="29" s="1"/>
  <c r="H23" i="29"/>
  <c r="I23" i="29" s="1"/>
  <c r="H24" i="29"/>
  <c r="I24" i="29" s="1"/>
  <c r="H25" i="29"/>
  <c r="I25" i="29" s="1"/>
  <c r="H26" i="29"/>
  <c r="I26" i="29" s="1"/>
  <c r="H27" i="29"/>
  <c r="I27" i="29" s="1"/>
  <c r="H28" i="29"/>
  <c r="I28" i="29" s="1"/>
  <c r="H29" i="29"/>
  <c r="I29" i="29" s="1"/>
  <c r="H30" i="29"/>
  <c r="I30" i="29" s="1"/>
  <c r="H31" i="29"/>
  <c r="I31" i="29" s="1"/>
  <c r="H32" i="29"/>
  <c r="I32" i="29" s="1"/>
  <c r="H33" i="29"/>
  <c r="I33" i="29" s="1"/>
  <c r="H34" i="29"/>
  <c r="I34" i="29" s="1"/>
  <c r="H35" i="29"/>
  <c r="I35" i="29" s="1"/>
  <c r="H36" i="29"/>
  <c r="I36" i="29" s="1"/>
  <c r="H37" i="29"/>
  <c r="I37" i="29" s="1"/>
  <c r="H38" i="29"/>
  <c r="I38" i="29" s="1"/>
  <c r="H39" i="29"/>
  <c r="I39" i="29" s="1"/>
  <c r="H40" i="29"/>
  <c r="I40" i="29" s="1"/>
  <c r="H41" i="29"/>
  <c r="I41" i="29" s="1"/>
  <c r="H42" i="29"/>
  <c r="I42" i="29" s="1"/>
  <c r="H43" i="29"/>
  <c r="I43" i="29" s="1"/>
  <c r="H44" i="29"/>
  <c r="I44" i="29" s="1"/>
  <c r="H45" i="29"/>
  <c r="I45" i="29" s="1"/>
  <c r="H46" i="29"/>
  <c r="I46" i="29" s="1"/>
  <c r="H47" i="29"/>
  <c r="I47" i="29" s="1"/>
  <c r="H48" i="29"/>
  <c r="I48" i="29" s="1"/>
  <c r="H49" i="29"/>
  <c r="I49" i="29" s="1"/>
  <c r="H50" i="29"/>
  <c r="I50" i="29" s="1"/>
  <c r="H51" i="29"/>
  <c r="I51" i="29" s="1"/>
  <c r="H52" i="29"/>
  <c r="I52" i="29" s="1"/>
  <c r="H53" i="29"/>
  <c r="I53" i="29" s="1"/>
  <c r="H54" i="29"/>
  <c r="I54" i="29" s="1"/>
  <c r="H55" i="29"/>
  <c r="I55" i="29" s="1"/>
  <c r="H56" i="29"/>
  <c r="I56" i="29" s="1"/>
  <c r="H57" i="29"/>
  <c r="I57" i="29" s="1"/>
  <c r="H58" i="29"/>
  <c r="I58" i="29" s="1"/>
  <c r="H59" i="29"/>
  <c r="I59" i="29" s="1"/>
  <c r="H60" i="29"/>
  <c r="I60" i="29" s="1"/>
  <c r="H61" i="29"/>
  <c r="I61" i="29" s="1"/>
  <c r="H2" i="29"/>
  <c r="F2" i="29"/>
  <c r="G44" i="29"/>
  <c r="F3" i="29"/>
  <c r="G3" i="29" s="1"/>
  <c r="F4" i="29"/>
  <c r="G4" i="29" s="1"/>
  <c r="F5" i="29"/>
  <c r="G5" i="29" s="1"/>
  <c r="F6" i="29"/>
  <c r="G6" i="29" s="1"/>
  <c r="F7" i="29"/>
  <c r="G7" i="29" s="1"/>
  <c r="F8" i="29"/>
  <c r="G8" i="29" s="1"/>
  <c r="F9" i="29"/>
  <c r="G9" i="29" s="1"/>
  <c r="F10" i="29"/>
  <c r="G10" i="29" s="1"/>
  <c r="F11" i="29"/>
  <c r="G11" i="29" s="1"/>
  <c r="F12" i="29"/>
  <c r="G12" i="29" s="1"/>
  <c r="F13" i="29"/>
  <c r="G13" i="29" s="1"/>
  <c r="F14" i="29"/>
  <c r="G14" i="29" s="1"/>
  <c r="F15" i="29"/>
  <c r="G15" i="29" s="1"/>
  <c r="F16" i="29"/>
  <c r="G16" i="29" s="1"/>
  <c r="F17" i="29"/>
  <c r="G17" i="29" s="1"/>
  <c r="F18" i="29"/>
  <c r="G18" i="29" s="1"/>
  <c r="F19" i="29"/>
  <c r="G19" i="29" s="1"/>
  <c r="F20" i="29"/>
  <c r="G20" i="29" s="1"/>
  <c r="F21" i="29"/>
  <c r="G21" i="29" s="1"/>
  <c r="F22" i="29"/>
  <c r="G22" i="29" s="1"/>
  <c r="F23" i="29"/>
  <c r="G23" i="29" s="1"/>
  <c r="F24" i="29"/>
  <c r="G24" i="29" s="1"/>
  <c r="F25" i="29"/>
  <c r="G25" i="29" s="1"/>
  <c r="F26" i="29"/>
  <c r="G26" i="29" s="1"/>
  <c r="F27" i="29"/>
  <c r="G27" i="29" s="1"/>
  <c r="F28" i="29"/>
  <c r="G28" i="29" s="1"/>
  <c r="F29" i="29"/>
  <c r="G29" i="29" s="1"/>
  <c r="F30" i="29"/>
  <c r="G30" i="29" s="1"/>
  <c r="F31" i="29"/>
  <c r="G31" i="29" s="1"/>
  <c r="F32" i="29"/>
  <c r="G32" i="29" s="1"/>
  <c r="F33" i="29"/>
  <c r="G33" i="29" s="1"/>
  <c r="F34" i="29"/>
  <c r="G34" i="29" s="1"/>
  <c r="F35" i="29"/>
  <c r="G35" i="29" s="1"/>
  <c r="F36" i="29"/>
  <c r="G36" i="29" s="1"/>
  <c r="F37" i="29"/>
  <c r="G37" i="29" s="1"/>
  <c r="F38" i="29"/>
  <c r="G38" i="29" s="1"/>
  <c r="F39" i="29"/>
  <c r="G39" i="29" s="1"/>
  <c r="F40" i="29"/>
  <c r="G40" i="29" s="1"/>
  <c r="F41" i="29"/>
  <c r="G41" i="29" s="1"/>
  <c r="F42" i="29"/>
  <c r="G42" i="29" s="1"/>
  <c r="F43" i="29"/>
  <c r="G43" i="29" s="1"/>
  <c r="F44" i="29"/>
  <c r="F45" i="29"/>
  <c r="G45" i="29" s="1"/>
  <c r="F46" i="29"/>
  <c r="G46" i="29" s="1"/>
  <c r="F47" i="29"/>
  <c r="G47" i="29" s="1"/>
  <c r="F48" i="29"/>
  <c r="G48" i="29" s="1"/>
  <c r="F49" i="29"/>
  <c r="G49" i="29" s="1"/>
  <c r="F50" i="29"/>
  <c r="G50" i="29" s="1"/>
  <c r="F51" i="29"/>
  <c r="G51" i="29" s="1"/>
  <c r="F52" i="29"/>
  <c r="G52" i="29" s="1"/>
  <c r="F53" i="29"/>
  <c r="G53" i="29" s="1"/>
  <c r="F54" i="29"/>
  <c r="G54" i="29" s="1"/>
  <c r="F55" i="29"/>
  <c r="G55" i="29" s="1"/>
  <c r="F56" i="29"/>
  <c r="G56" i="29" s="1"/>
  <c r="F57" i="29"/>
  <c r="G57" i="29" s="1"/>
  <c r="F58" i="29"/>
  <c r="G58" i="29" s="1"/>
  <c r="F59" i="29"/>
  <c r="G59" i="29" s="1"/>
  <c r="F60" i="29"/>
  <c r="G60" i="29" s="1"/>
  <c r="F61" i="29"/>
  <c r="G61" i="29" s="1"/>
  <c r="D2" i="29"/>
  <c r="E2" i="29" s="1"/>
  <c r="D3" i="29"/>
  <c r="E3" i="29" s="1"/>
  <c r="D4" i="29"/>
  <c r="E4" i="29" s="1"/>
  <c r="D5" i="29"/>
  <c r="E5" i="29" s="1"/>
  <c r="D6" i="29"/>
  <c r="E6" i="29" s="1"/>
  <c r="D7" i="29"/>
  <c r="E7" i="29" s="1"/>
  <c r="D8" i="29"/>
  <c r="E8" i="29" s="1"/>
  <c r="D9" i="29"/>
  <c r="E9" i="29" s="1"/>
  <c r="D10" i="29"/>
  <c r="E10" i="29" s="1"/>
  <c r="D11" i="29"/>
  <c r="E11" i="29" s="1"/>
  <c r="D12" i="29"/>
  <c r="E12" i="29" s="1"/>
  <c r="D13" i="29"/>
  <c r="E13" i="29" s="1"/>
  <c r="D14" i="29"/>
  <c r="E14" i="29" s="1"/>
  <c r="D15" i="29"/>
  <c r="E15" i="29" s="1"/>
  <c r="D16" i="29"/>
  <c r="E16" i="29" s="1"/>
  <c r="D17" i="29"/>
  <c r="E17" i="29" s="1"/>
  <c r="D18" i="29"/>
  <c r="E18" i="29" s="1"/>
  <c r="D19" i="29"/>
  <c r="E19" i="29" s="1"/>
  <c r="D20" i="29"/>
  <c r="E20" i="29" s="1"/>
  <c r="D21" i="29"/>
  <c r="E21" i="29" s="1"/>
  <c r="D22" i="29"/>
  <c r="E22" i="29" s="1"/>
  <c r="D23" i="29"/>
  <c r="E23" i="29" s="1"/>
  <c r="D24" i="29"/>
  <c r="E24" i="29" s="1"/>
  <c r="D25" i="29"/>
  <c r="E25" i="29" s="1"/>
  <c r="D26" i="29"/>
  <c r="E26" i="29" s="1"/>
  <c r="D27" i="29"/>
  <c r="E27" i="29" s="1"/>
  <c r="D28" i="29"/>
  <c r="E28" i="29" s="1"/>
  <c r="D29" i="29"/>
  <c r="E29" i="29" s="1"/>
  <c r="D30" i="29"/>
  <c r="E30" i="29" s="1"/>
  <c r="D31" i="29"/>
  <c r="E31" i="29" s="1"/>
  <c r="D32" i="29"/>
  <c r="E32" i="29" s="1"/>
  <c r="D33" i="29"/>
  <c r="E33" i="29" s="1"/>
  <c r="D34" i="29"/>
  <c r="E34" i="29" s="1"/>
  <c r="D35" i="29"/>
  <c r="E35" i="29" s="1"/>
  <c r="D36" i="29"/>
  <c r="E36" i="29" s="1"/>
  <c r="D37" i="29"/>
  <c r="E37" i="29" s="1"/>
  <c r="D38" i="29"/>
  <c r="E38" i="29" s="1"/>
  <c r="D39" i="29"/>
  <c r="E39" i="29" s="1"/>
  <c r="D40" i="29"/>
  <c r="E40" i="29" s="1"/>
  <c r="D41" i="29"/>
  <c r="E41" i="29" s="1"/>
  <c r="D42" i="29"/>
  <c r="E42" i="29" s="1"/>
  <c r="D43" i="29"/>
  <c r="E43" i="29" s="1"/>
  <c r="D44" i="29"/>
  <c r="E44" i="29" s="1"/>
  <c r="D45" i="29"/>
  <c r="E45" i="29" s="1"/>
  <c r="D46" i="29"/>
  <c r="E46" i="29" s="1"/>
  <c r="D47" i="29"/>
  <c r="E47" i="29" s="1"/>
  <c r="D48" i="29"/>
  <c r="E48" i="29" s="1"/>
  <c r="D49" i="29"/>
  <c r="E49" i="29" s="1"/>
  <c r="D50" i="29"/>
  <c r="E50" i="29" s="1"/>
  <c r="D51" i="29"/>
  <c r="E51" i="29" s="1"/>
  <c r="D52" i="29"/>
  <c r="E52" i="29" s="1"/>
  <c r="D53" i="29"/>
  <c r="E53" i="29" s="1"/>
  <c r="D54" i="29"/>
  <c r="E54" i="29" s="1"/>
  <c r="D55" i="29"/>
  <c r="E55" i="29" s="1"/>
  <c r="D56" i="29"/>
  <c r="E56" i="29" s="1"/>
  <c r="D57" i="29"/>
  <c r="E57" i="29" s="1"/>
  <c r="D58" i="29"/>
  <c r="E58" i="29" s="1"/>
  <c r="D59" i="29"/>
  <c r="E59" i="29" s="1"/>
  <c r="D60" i="29"/>
  <c r="E60" i="29" s="1"/>
  <c r="D61" i="29"/>
  <c r="E61" i="29" s="1"/>
  <c r="C3" i="36"/>
  <c r="C4" i="36"/>
  <c r="C5" i="36"/>
  <c r="C6" i="36"/>
  <c r="C7" i="36"/>
  <c r="C8" i="36"/>
  <c r="C9" i="36"/>
  <c r="C10" i="36"/>
  <c r="C2" i="36"/>
  <c r="E7" i="36"/>
  <c r="F7" i="36" s="1"/>
  <c r="O10" i="36"/>
  <c r="N10" i="36"/>
  <c r="M10" i="36"/>
  <c r="L10" i="36"/>
  <c r="K10" i="36"/>
  <c r="J10" i="36"/>
  <c r="E10" i="36"/>
  <c r="F10" i="36" s="1"/>
  <c r="O9" i="36"/>
  <c r="N9" i="36"/>
  <c r="M9" i="36"/>
  <c r="L9" i="36"/>
  <c r="K9" i="36"/>
  <c r="J9" i="36"/>
  <c r="E9" i="36"/>
  <c r="F9" i="36" s="1"/>
  <c r="O8" i="36"/>
  <c r="N8" i="36"/>
  <c r="M8" i="36"/>
  <c r="L8" i="36"/>
  <c r="K8" i="36"/>
  <c r="J8" i="36"/>
  <c r="E8" i="36"/>
  <c r="F8" i="36" s="1"/>
  <c r="O7" i="36"/>
  <c r="N7" i="36"/>
  <c r="M7" i="36"/>
  <c r="L7" i="36"/>
  <c r="K7" i="36"/>
  <c r="J7" i="36"/>
  <c r="O6" i="36"/>
  <c r="N6" i="36"/>
  <c r="M6" i="36"/>
  <c r="L6" i="36"/>
  <c r="K6" i="36"/>
  <c r="J6" i="36"/>
  <c r="E6" i="36"/>
  <c r="F6" i="36" s="1"/>
  <c r="O5" i="36"/>
  <c r="N5" i="36"/>
  <c r="M5" i="36"/>
  <c r="L5" i="36"/>
  <c r="K5" i="36"/>
  <c r="J5" i="36"/>
  <c r="E5" i="36"/>
  <c r="F5" i="36" s="1"/>
  <c r="O4" i="36"/>
  <c r="N4" i="36"/>
  <c r="M4" i="36"/>
  <c r="L4" i="36"/>
  <c r="K4" i="36"/>
  <c r="J4" i="36"/>
  <c r="E4" i="36"/>
  <c r="F4" i="36" s="1"/>
  <c r="O3" i="36"/>
  <c r="N3" i="36"/>
  <c r="M3" i="36"/>
  <c r="L3" i="36"/>
  <c r="K3" i="36"/>
  <c r="J3" i="36"/>
  <c r="O2" i="36"/>
  <c r="N2" i="36"/>
  <c r="M2" i="36"/>
  <c r="L2" i="36"/>
  <c r="K2" i="36"/>
  <c r="J2" i="36"/>
  <c r="E2" i="36"/>
  <c r="F2" i="36" s="1"/>
  <c r="F2" i="17"/>
  <c r="D3" i="17" a="1"/>
  <c r="D3" i="17" s="1"/>
  <c r="D2" i="17" a="1"/>
  <c r="D2" i="17" s="1"/>
  <c r="E2" i="17" s="1"/>
  <c r="G2" i="17" s="1"/>
  <c r="F2" i="34" a="1"/>
  <c r="F2" i="34"/>
  <c r="B2" i="34"/>
  <c r="B3" i="17" a="1"/>
  <c r="B3" i="17" s="1"/>
  <c r="B2" i="17"/>
  <c r="E2" i="34"/>
  <c r="D2" i="34"/>
  <c r="A2" i="34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" i="3"/>
  <c r="F3" i="16"/>
  <c r="F4" i="16"/>
  <c r="F2" i="16"/>
  <c r="D4" i="16" a="1"/>
  <c r="D4" i="16" s="1"/>
  <c r="D2" i="16"/>
  <c r="C3" i="16"/>
  <c r="C4" i="16"/>
  <c r="C2" i="16"/>
  <c r="B4" i="16" a="1"/>
  <c r="B4" i="16" s="1"/>
  <c r="B3" i="16" a="1"/>
  <c r="B3" i="16"/>
  <c r="B2" i="16"/>
  <c r="G3" i="32"/>
  <c r="G4" i="32"/>
  <c r="G5" i="32"/>
  <c r="G6" i="32"/>
  <c r="G7" i="32"/>
  <c r="G8" i="32"/>
  <c r="G9" i="32"/>
  <c r="G10" i="32"/>
  <c r="G2" i="32"/>
  <c r="F6" i="31"/>
  <c r="I6" i="31" s="1"/>
  <c r="F7" i="31"/>
  <c r="I7" i="31" s="1"/>
  <c r="F10" i="31"/>
  <c r="I10" i="31" s="1"/>
  <c r="F4" i="31"/>
  <c r="I4" i="31" s="1"/>
  <c r="F3" i="31"/>
  <c r="I3" i="31" s="1"/>
  <c r="F8" i="31"/>
  <c r="I8" i="31" s="1"/>
  <c r="F21" i="31"/>
  <c r="I21" i="31" s="1"/>
  <c r="F9" i="31"/>
  <c r="I9" i="31" s="1"/>
  <c r="F11" i="31"/>
  <c r="I11" i="31" s="1"/>
  <c r="F2" i="31"/>
  <c r="I2" i="31" s="1"/>
  <c r="F12" i="31"/>
  <c r="I12" i="31" s="1"/>
  <c r="F14" i="31"/>
  <c r="I14" i="31" s="1"/>
  <c r="F13" i="31"/>
  <c r="I13" i="31" s="1"/>
  <c r="F16" i="31"/>
  <c r="I16" i="31" s="1"/>
  <c r="F15" i="31"/>
  <c r="I15" i="31" s="1"/>
  <c r="F19" i="31"/>
  <c r="I19" i="31" s="1"/>
  <c r="F17" i="31"/>
  <c r="I17" i="31" s="1"/>
  <c r="F18" i="31"/>
  <c r="I18" i="31" s="1"/>
  <c r="F22" i="31"/>
  <c r="I22" i="31" s="1"/>
  <c r="F25" i="31"/>
  <c r="I25" i="31" s="1"/>
  <c r="F20" i="31"/>
  <c r="I20" i="31" s="1"/>
  <c r="F24" i="31"/>
  <c r="I24" i="31" s="1"/>
  <c r="F23" i="31"/>
  <c r="I23" i="31" s="1"/>
  <c r="F5" i="31"/>
  <c r="I5" i="31" s="1"/>
  <c r="A32" i="18"/>
  <c r="A33" i="18"/>
  <c r="A34" i="18"/>
  <c r="A35" i="18"/>
  <c r="A36" i="18"/>
  <c r="A37" i="18"/>
  <c r="A38" i="18"/>
  <c r="A39" i="18"/>
  <c r="A31" i="18"/>
  <c r="E17" i="18"/>
  <c r="E18" i="18"/>
  <c r="E19" i="18"/>
  <c r="E20" i="18"/>
  <c r="E21" i="18"/>
  <c r="E22" i="18"/>
  <c r="E23" i="18"/>
  <c r="E24" i="18"/>
  <c r="E16" i="18"/>
  <c r="D3" i="18"/>
  <c r="D4" i="18"/>
  <c r="D5" i="18"/>
  <c r="D6" i="18"/>
  <c r="D7" i="18"/>
  <c r="B21" i="18" s="1"/>
  <c r="D8" i="18"/>
  <c r="D9" i="18"/>
  <c r="D10" i="18"/>
  <c r="D2" i="18"/>
  <c r="A17" i="18"/>
  <c r="A18" i="18"/>
  <c r="A19" i="18"/>
  <c r="A20" i="18"/>
  <c r="A21" i="18"/>
  <c r="A22" i="18"/>
  <c r="A23" i="18"/>
  <c r="A24" i="18"/>
  <c r="A16" i="18"/>
  <c r="B17" i="18"/>
  <c r="B18" i="18"/>
  <c r="B19" i="18"/>
  <c r="B20" i="18"/>
  <c r="B22" i="18"/>
  <c r="B23" i="18"/>
  <c r="B16" i="18"/>
  <c r="E204" i="25"/>
  <c r="L3" i="31" l="1"/>
  <c r="L4" i="31"/>
  <c r="L10" i="31"/>
  <c r="L7" i="31"/>
  <c r="L6" i="31"/>
  <c r="L19" i="31"/>
  <c r="L15" i="31"/>
  <c r="L16" i="31"/>
  <c r="L13" i="31"/>
  <c r="L2" i="30"/>
  <c r="M2" i="30" s="1"/>
  <c r="K2" i="30"/>
  <c r="L3" i="30"/>
  <c r="M3" i="30" s="1"/>
  <c r="K3" i="30"/>
  <c r="L4" i="30"/>
  <c r="M4" i="30" s="1"/>
  <c r="K4" i="30"/>
  <c r="E2" i="40"/>
  <c r="F2" i="40"/>
  <c r="F3" i="40"/>
  <c r="F4" i="40"/>
  <c r="G2" i="29"/>
  <c r="E3" i="40" s="1"/>
  <c r="I2" i="29"/>
  <c r="E4" i="40" s="1"/>
  <c r="E96" i="25"/>
  <c r="G96" i="25"/>
  <c r="H96" i="25" s="1"/>
  <c r="E64" i="25"/>
  <c r="G64" i="25"/>
  <c r="H64" i="25" s="1"/>
  <c r="G268" i="25"/>
  <c r="E268" i="25"/>
  <c r="G108" i="25"/>
  <c r="E108" i="25"/>
  <c r="G12" i="25"/>
  <c r="E12" i="25"/>
  <c r="G256" i="25"/>
  <c r="H256" i="25" s="1"/>
  <c r="E256" i="25"/>
  <c r="G157" i="25"/>
  <c r="H157" i="25" s="1"/>
  <c r="E157" i="25"/>
  <c r="G253" i="25"/>
  <c r="H253" i="25" s="1"/>
  <c r="E253" i="25"/>
  <c r="G109" i="25"/>
  <c r="H109" i="25" s="1"/>
  <c r="E109" i="25"/>
  <c r="E160" i="25"/>
  <c r="G160" i="25"/>
  <c r="H160" i="25" s="1"/>
  <c r="G221" i="25"/>
  <c r="H221" i="25" s="1"/>
  <c r="E221" i="25"/>
  <c r="G33" i="25"/>
  <c r="H33" i="25" s="1"/>
  <c r="G208" i="25"/>
  <c r="H208" i="25" s="1"/>
  <c r="G18" i="25"/>
  <c r="H18" i="25" s="1"/>
  <c r="D317" i="25"/>
  <c r="D172" i="25"/>
  <c r="G194" i="25"/>
  <c r="H194" i="25" s="1"/>
  <c r="G17" i="25"/>
  <c r="H17" i="25" s="1"/>
  <c r="H334" i="25"/>
  <c r="H190" i="25"/>
  <c r="H126" i="25"/>
  <c r="H110" i="25"/>
  <c r="H78" i="25"/>
  <c r="G210" i="25"/>
  <c r="H210" i="25" s="1"/>
  <c r="G178" i="25"/>
  <c r="H178" i="25" s="1"/>
  <c r="H2" i="25"/>
  <c r="H301" i="25"/>
  <c r="G162" i="25"/>
  <c r="H162" i="25" s="1"/>
  <c r="H300" i="25"/>
  <c r="H284" i="25"/>
  <c r="H268" i="25"/>
  <c r="H252" i="25"/>
  <c r="H108" i="25"/>
  <c r="H12" i="25"/>
  <c r="E61" i="25"/>
  <c r="H347" i="25"/>
  <c r="H331" i="25"/>
  <c r="H315" i="25"/>
  <c r="H123" i="25"/>
  <c r="H107" i="25"/>
  <c r="E60" i="25"/>
  <c r="G338" i="25"/>
  <c r="H338" i="25" s="1"/>
  <c r="G146" i="25"/>
  <c r="H146" i="25" s="1"/>
  <c r="H218" i="25"/>
  <c r="H202" i="25"/>
  <c r="H170" i="25"/>
  <c r="H154" i="25"/>
  <c r="H138" i="25"/>
  <c r="H122" i="25"/>
  <c r="H106" i="25"/>
  <c r="G34" i="25"/>
  <c r="H34" i="25" s="1"/>
  <c r="G322" i="25"/>
  <c r="H322" i="25" s="1"/>
  <c r="G130" i="25"/>
  <c r="H130" i="25" s="1"/>
  <c r="H345" i="25"/>
  <c r="H281" i="25"/>
  <c r="H265" i="25"/>
  <c r="H249" i="25"/>
  <c r="H233" i="25"/>
  <c r="H121" i="25"/>
  <c r="H89" i="25"/>
  <c r="H41" i="25"/>
  <c r="H25" i="25"/>
  <c r="H9" i="25"/>
  <c r="G320" i="25"/>
  <c r="H320" i="25" s="1"/>
  <c r="G114" i="25"/>
  <c r="H114" i="25" s="1"/>
  <c r="H152" i="25"/>
  <c r="H136" i="25"/>
  <c r="H104" i="25"/>
  <c r="G306" i="25"/>
  <c r="H306" i="25" s="1"/>
  <c r="G98" i="25"/>
  <c r="H98" i="25" s="1"/>
  <c r="H279" i="25"/>
  <c r="H263" i="25"/>
  <c r="H231" i="25"/>
  <c r="H23" i="25"/>
  <c r="H7" i="25"/>
  <c r="G290" i="25"/>
  <c r="H290" i="25" s="1"/>
  <c r="H342" i="25"/>
  <c r="H230" i="25"/>
  <c r="H134" i="25"/>
  <c r="H118" i="25"/>
  <c r="H86" i="25"/>
  <c r="E316" i="25"/>
  <c r="G274" i="25"/>
  <c r="H274" i="25" s="1"/>
  <c r="G82" i="25"/>
  <c r="H82" i="25" s="1"/>
  <c r="H341" i="25"/>
  <c r="H325" i="25"/>
  <c r="H309" i="25"/>
  <c r="H293" i="25"/>
  <c r="H277" i="25"/>
  <c r="H261" i="25"/>
  <c r="H245" i="25"/>
  <c r="H229" i="25"/>
  <c r="H101" i="25"/>
  <c r="H85" i="25"/>
  <c r="H69" i="25"/>
  <c r="H53" i="25"/>
  <c r="H37" i="25"/>
  <c r="H21" i="25"/>
  <c r="H5" i="25"/>
  <c r="G226" i="25"/>
  <c r="H226" i="25" s="1"/>
  <c r="G258" i="25"/>
  <c r="H258" i="25" s="1"/>
  <c r="G66" i="25"/>
  <c r="H66" i="25" s="1"/>
  <c r="H196" i="25"/>
  <c r="H180" i="25"/>
  <c r="H164" i="25"/>
  <c r="H148" i="25"/>
  <c r="H132" i="25"/>
  <c r="H116" i="25"/>
  <c r="H291" i="25"/>
  <c r="H275" i="25"/>
  <c r="H259" i="25"/>
  <c r="H243" i="25"/>
  <c r="H227" i="25"/>
  <c r="H211" i="25"/>
  <c r="H35" i="25"/>
  <c r="H19" i="25"/>
  <c r="H3" i="25"/>
  <c r="G333" i="25"/>
  <c r="H333" i="25" s="1"/>
  <c r="E333" i="25"/>
  <c r="E301" i="25"/>
  <c r="G301" i="25"/>
  <c r="E285" i="25"/>
  <c r="G285" i="25"/>
  <c r="H285" i="25" s="1"/>
  <c r="E237" i="25"/>
  <c r="G237" i="25"/>
  <c r="H237" i="25" s="1"/>
  <c r="E205" i="25"/>
  <c r="G205" i="25"/>
  <c r="H205" i="25" s="1"/>
  <c r="E189" i="25"/>
  <c r="G189" i="25"/>
  <c r="H189" i="25" s="1"/>
  <c r="E141" i="25"/>
  <c r="G141" i="25"/>
  <c r="H141" i="25" s="1"/>
  <c r="E125" i="25"/>
  <c r="G125" i="25"/>
  <c r="H125" i="25" s="1"/>
  <c r="E93" i="25"/>
  <c r="G93" i="25"/>
  <c r="H93" i="25" s="1"/>
  <c r="G77" i="25"/>
  <c r="H77" i="25" s="1"/>
  <c r="E77" i="25"/>
  <c r="E45" i="25"/>
  <c r="G45" i="25"/>
  <c r="H45" i="25" s="1"/>
  <c r="E29" i="25"/>
  <c r="G29" i="25"/>
  <c r="H29" i="25" s="1"/>
  <c r="E332" i="25"/>
  <c r="G332" i="25"/>
  <c r="H332" i="25" s="1"/>
  <c r="E140" i="25"/>
  <c r="G140" i="25"/>
  <c r="H140" i="25" s="1"/>
  <c r="G76" i="25"/>
  <c r="H76" i="25" s="1"/>
  <c r="E76" i="25"/>
  <c r="E44" i="25"/>
  <c r="G44" i="25"/>
  <c r="H44" i="25" s="1"/>
  <c r="E28" i="25"/>
  <c r="G28" i="25"/>
  <c r="H28" i="25" s="1"/>
  <c r="G236" i="25"/>
  <c r="H236" i="25" s="1"/>
  <c r="E236" i="25"/>
  <c r="E188" i="25"/>
  <c r="G188" i="25"/>
  <c r="H188" i="25" s="1"/>
  <c r="E201" i="25"/>
  <c r="G201" i="25"/>
  <c r="H201" i="25" s="1"/>
  <c r="E25" i="25"/>
  <c r="G25" i="25"/>
  <c r="E156" i="25"/>
  <c r="G156" i="25"/>
  <c r="H156" i="25" s="1"/>
  <c r="E169" i="25"/>
  <c r="G169" i="25"/>
  <c r="H169" i="25" s="1"/>
  <c r="G265" i="25"/>
  <c r="E265" i="25"/>
  <c r="E57" i="25"/>
  <c r="G57" i="25"/>
  <c r="H57" i="25" s="1"/>
  <c r="E345" i="25"/>
  <c r="G345" i="25"/>
  <c r="E89" i="25"/>
  <c r="G89" i="25"/>
  <c r="E2" i="25"/>
  <c r="G2" i="25"/>
  <c r="G249" i="25"/>
  <c r="E249" i="25"/>
  <c r="G153" i="25"/>
  <c r="H153" i="25" s="1"/>
  <c r="E153" i="25"/>
  <c r="G92" i="25"/>
  <c r="H92" i="25" s="1"/>
  <c r="E92" i="25"/>
  <c r="G9" i="25"/>
  <c r="E9" i="25"/>
  <c r="E348" i="25"/>
  <c r="G348" i="25"/>
  <c r="H348" i="25" s="1"/>
  <c r="E121" i="25"/>
  <c r="G121" i="25"/>
  <c r="G185" i="25"/>
  <c r="H185" i="25" s="1"/>
  <c r="E185" i="25"/>
  <c r="E300" i="25"/>
  <c r="G300" i="25"/>
  <c r="E281" i="25"/>
  <c r="G281" i="25"/>
  <c r="E105" i="25"/>
  <c r="G105" i="25"/>
  <c r="H105" i="25" s="1"/>
  <c r="G252" i="25"/>
  <c r="E252" i="25"/>
  <c r="E313" i="25"/>
  <c r="G313" i="25"/>
  <c r="H313" i="25" s="1"/>
  <c r="E217" i="25"/>
  <c r="G217" i="25"/>
  <c r="H217" i="25" s="1"/>
  <c r="E41" i="25"/>
  <c r="G41" i="25"/>
  <c r="E336" i="25"/>
  <c r="G336" i="25"/>
  <c r="H336" i="25" s="1"/>
  <c r="E304" i="25"/>
  <c r="G304" i="25"/>
  <c r="H304" i="25" s="1"/>
  <c r="E288" i="25"/>
  <c r="G288" i="25"/>
  <c r="H288" i="25" s="1"/>
  <c r="E240" i="25"/>
  <c r="G240" i="25"/>
  <c r="H240" i="25" s="1"/>
  <c r="E224" i="25"/>
  <c r="G224" i="25"/>
  <c r="H224" i="25" s="1"/>
  <c r="E192" i="25"/>
  <c r="G192" i="25"/>
  <c r="H192" i="25" s="1"/>
  <c r="E176" i="25"/>
  <c r="G176" i="25"/>
  <c r="H176" i="25" s="1"/>
  <c r="E144" i="25"/>
  <c r="G144" i="25"/>
  <c r="H144" i="25" s="1"/>
  <c r="E128" i="25"/>
  <c r="G128" i="25"/>
  <c r="H128" i="25" s="1"/>
  <c r="E80" i="25"/>
  <c r="G80" i="25"/>
  <c r="H80" i="25" s="1"/>
  <c r="E48" i="25"/>
  <c r="G48" i="25"/>
  <c r="H48" i="25" s="1"/>
  <c r="E32" i="25"/>
  <c r="G32" i="25"/>
  <c r="H32" i="25" s="1"/>
  <c r="E284" i="25"/>
  <c r="G284" i="25"/>
  <c r="E297" i="25"/>
  <c r="G297" i="25"/>
  <c r="H297" i="25" s="1"/>
  <c r="E233" i="25"/>
  <c r="G233" i="25"/>
  <c r="E137" i="25"/>
  <c r="G137" i="25"/>
  <c r="H137" i="25" s="1"/>
  <c r="E335" i="25"/>
  <c r="G335" i="25"/>
  <c r="H335" i="25" s="1"/>
  <c r="E287" i="25"/>
  <c r="G287" i="25"/>
  <c r="H287" i="25" s="1"/>
  <c r="E255" i="25"/>
  <c r="G255" i="25"/>
  <c r="H255" i="25" s="1"/>
  <c r="E239" i="25"/>
  <c r="G239" i="25"/>
  <c r="H239" i="25" s="1"/>
  <c r="E191" i="25"/>
  <c r="G191" i="25"/>
  <c r="H191" i="25" s="1"/>
  <c r="E175" i="25"/>
  <c r="G175" i="25"/>
  <c r="H175" i="25" s="1"/>
  <c r="E143" i="25"/>
  <c r="G143" i="25"/>
  <c r="H143" i="25" s="1"/>
  <c r="E127" i="25"/>
  <c r="G127" i="25"/>
  <c r="H127" i="25" s="1"/>
  <c r="E95" i="25"/>
  <c r="G95" i="25"/>
  <c r="H95" i="25" s="1"/>
  <c r="E79" i="25"/>
  <c r="G79" i="25"/>
  <c r="H79" i="25" s="1"/>
  <c r="E31" i="25"/>
  <c r="G31" i="25"/>
  <c r="H31" i="25" s="1"/>
  <c r="E173" i="25"/>
  <c r="G337" i="25"/>
  <c r="H337" i="25" s="1"/>
  <c r="G321" i="25"/>
  <c r="H321" i="25" s="1"/>
  <c r="G305" i="25"/>
  <c r="H305" i="25" s="1"/>
  <c r="G289" i="25"/>
  <c r="H289" i="25" s="1"/>
  <c r="G273" i="25"/>
  <c r="H273" i="25" s="1"/>
  <c r="G257" i="25"/>
  <c r="H257" i="25" s="1"/>
  <c r="G241" i="25"/>
  <c r="H241" i="25" s="1"/>
  <c r="G225" i="25"/>
  <c r="H225" i="25" s="1"/>
  <c r="G209" i="25"/>
  <c r="H209" i="25" s="1"/>
  <c r="G193" i="25"/>
  <c r="H193" i="25" s="1"/>
  <c r="G177" i="25"/>
  <c r="H177" i="25" s="1"/>
  <c r="G161" i="25"/>
  <c r="H161" i="25" s="1"/>
  <c r="G145" i="25"/>
  <c r="H145" i="25" s="1"/>
  <c r="G129" i="25"/>
  <c r="H129" i="25" s="1"/>
  <c r="G113" i="25"/>
  <c r="H113" i="25" s="1"/>
  <c r="G97" i="25"/>
  <c r="H97" i="25" s="1"/>
  <c r="G81" i="25"/>
  <c r="H81" i="25" s="1"/>
  <c r="G65" i="25"/>
  <c r="H65" i="25" s="1"/>
  <c r="G49" i="25"/>
  <c r="H49" i="25" s="1"/>
  <c r="G272" i="25"/>
  <c r="H272" i="25" s="1"/>
  <c r="G112" i="25"/>
  <c r="H112" i="25" s="1"/>
  <c r="G16" i="25"/>
  <c r="H16" i="25" s="1"/>
  <c r="G319" i="25"/>
  <c r="H319" i="25" s="1"/>
  <c r="G303" i="25"/>
  <c r="H303" i="25" s="1"/>
  <c r="G271" i="25"/>
  <c r="H271" i="25" s="1"/>
  <c r="G223" i="25"/>
  <c r="H223" i="25" s="1"/>
  <c r="G207" i="25"/>
  <c r="H207" i="25" s="1"/>
  <c r="G159" i="25"/>
  <c r="H159" i="25" s="1"/>
  <c r="G111" i="25"/>
  <c r="H111" i="25" s="1"/>
  <c r="G63" i="25"/>
  <c r="H63" i="25" s="1"/>
  <c r="G47" i="25"/>
  <c r="H47" i="25" s="1"/>
  <c r="G15" i="25"/>
  <c r="H15" i="25" s="1"/>
  <c r="G334" i="25"/>
  <c r="G318" i="25"/>
  <c r="H318" i="25" s="1"/>
  <c r="G302" i="25"/>
  <c r="H302" i="25" s="1"/>
  <c r="G286" i="25"/>
  <c r="H286" i="25" s="1"/>
  <c r="G270" i="25"/>
  <c r="H270" i="25" s="1"/>
  <c r="G254" i="25"/>
  <c r="H254" i="25" s="1"/>
  <c r="G238" i="25"/>
  <c r="H238" i="25" s="1"/>
  <c r="G222" i="25"/>
  <c r="H222" i="25" s="1"/>
  <c r="G206" i="25"/>
  <c r="H206" i="25" s="1"/>
  <c r="G190" i="25"/>
  <c r="G174" i="25"/>
  <c r="H174" i="25" s="1"/>
  <c r="G158" i="25"/>
  <c r="H158" i="25" s="1"/>
  <c r="G142" i="25"/>
  <c r="H142" i="25" s="1"/>
  <c r="G126" i="25"/>
  <c r="G110" i="25"/>
  <c r="G94" i="25"/>
  <c r="H94" i="25" s="1"/>
  <c r="G78" i="25"/>
  <c r="G62" i="25"/>
  <c r="H62" i="25" s="1"/>
  <c r="G46" i="25"/>
  <c r="H46" i="25" s="1"/>
  <c r="G30" i="25"/>
  <c r="H30" i="25" s="1"/>
  <c r="G14" i="25"/>
  <c r="H14" i="25" s="1"/>
  <c r="G269" i="25"/>
  <c r="H269" i="25" s="1"/>
  <c r="G13" i="25"/>
  <c r="H13" i="25" s="1"/>
  <c r="E329" i="25"/>
  <c r="G220" i="25"/>
  <c r="H220" i="25" s="1"/>
  <c r="G124" i="25"/>
  <c r="H124" i="25" s="1"/>
  <c r="G347" i="25"/>
  <c r="G331" i="25"/>
  <c r="G315" i="25"/>
  <c r="G299" i="25"/>
  <c r="H299" i="25" s="1"/>
  <c r="G283" i="25"/>
  <c r="H283" i="25" s="1"/>
  <c r="G267" i="25"/>
  <c r="H267" i="25" s="1"/>
  <c r="G251" i="25"/>
  <c r="H251" i="25" s="1"/>
  <c r="G235" i="25"/>
  <c r="H235" i="25" s="1"/>
  <c r="G219" i="25"/>
  <c r="H219" i="25" s="1"/>
  <c r="G203" i="25"/>
  <c r="H203" i="25" s="1"/>
  <c r="G187" i="25"/>
  <c r="H187" i="25" s="1"/>
  <c r="G171" i="25"/>
  <c r="H171" i="25" s="1"/>
  <c r="G155" i="25"/>
  <c r="H155" i="25" s="1"/>
  <c r="G139" i="25"/>
  <c r="H139" i="25" s="1"/>
  <c r="G123" i="25"/>
  <c r="G107" i="25"/>
  <c r="G91" i="25"/>
  <c r="H91" i="25" s="1"/>
  <c r="G75" i="25"/>
  <c r="H75" i="25" s="1"/>
  <c r="G59" i="25"/>
  <c r="H59" i="25" s="1"/>
  <c r="G43" i="25"/>
  <c r="H43" i="25" s="1"/>
  <c r="G27" i="25"/>
  <c r="H27" i="25" s="1"/>
  <c r="G11" i="25"/>
  <c r="H11" i="25" s="1"/>
  <c r="G346" i="25"/>
  <c r="H346" i="25" s="1"/>
  <c r="G330" i="25"/>
  <c r="H330" i="25" s="1"/>
  <c r="G314" i="25"/>
  <c r="H314" i="25" s="1"/>
  <c r="G298" i="25"/>
  <c r="H298" i="25" s="1"/>
  <c r="G282" i="25"/>
  <c r="H282" i="25" s="1"/>
  <c r="G266" i="25"/>
  <c r="H266" i="25" s="1"/>
  <c r="G250" i="25"/>
  <c r="H250" i="25" s="1"/>
  <c r="G234" i="25"/>
  <c r="H234" i="25" s="1"/>
  <c r="G218" i="25"/>
  <c r="G202" i="25"/>
  <c r="G186" i="25"/>
  <c r="H186" i="25" s="1"/>
  <c r="G170" i="25"/>
  <c r="G154" i="25"/>
  <c r="G138" i="25"/>
  <c r="G122" i="25"/>
  <c r="G106" i="25"/>
  <c r="G90" i="25"/>
  <c r="H90" i="25" s="1"/>
  <c r="G74" i="25"/>
  <c r="H74" i="25" s="1"/>
  <c r="G58" i="25"/>
  <c r="H58" i="25" s="1"/>
  <c r="G42" i="25"/>
  <c r="H42" i="25" s="1"/>
  <c r="G26" i="25"/>
  <c r="H26" i="25" s="1"/>
  <c r="G10" i="25"/>
  <c r="H10" i="25" s="1"/>
  <c r="G73" i="25"/>
  <c r="H73" i="25" s="1"/>
  <c r="G344" i="25"/>
  <c r="H344" i="25" s="1"/>
  <c r="G328" i="25"/>
  <c r="H328" i="25" s="1"/>
  <c r="G312" i="25"/>
  <c r="H312" i="25" s="1"/>
  <c r="G296" i="25"/>
  <c r="H296" i="25" s="1"/>
  <c r="G280" i="25"/>
  <c r="H280" i="25" s="1"/>
  <c r="G264" i="25"/>
  <c r="H264" i="25" s="1"/>
  <c r="G248" i="25"/>
  <c r="H248" i="25" s="1"/>
  <c r="G232" i="25"/>
  <c r="H232" i="25" s="1"/>
  <c r="G216" i="25"/>
  <c r="H216" i="25" s="1"/>
  <c r="G200" i="25"/>
  <c r="H200" i="25" s="1"/>
  <c r="G184" i="25"/>
  <c r="H184" i="25" s="1"/>
  <c r="G168" i="25"/>
  <c r="H168" i="25" s="1"/>
  <c r="G152" i="25"/>
  <c r="G136" i="25"/>
  <c r="G120" i="25"/>
  <c r="H120" i="25" s="1"/>
  <c r="G104" i="25"/>
  <c r="G88" i="25"/>
  <c r="H88" i="25" s="1"/>
  <c r="G72" i="25"/>
  <c r="H72" i="25" s="1"/>
  <c r="G56" i="25"/>
  <c r="H56" i="25" s="1"/>
  <c r="G40" i="25"/>
  <c r="H40" i="25" s="1"/>
  <c r="G24" i="25"/>
  <c r="H24" i="25" s="1"/>
  <c r="G8" i="25"/>
  <c r="H8" i="25" s="1"/>
  <c r="G343" i="25"/>
  <c r="H343" i="25" s="1"/>
  <c r="G327" i="25"/>
  <c r="H327" i="25" s="1"/>
  <c r="G311" i="25"/>
  <c r="H311" i="25" s="1"/>
  <c r="G295" i="25"/>
  <c r="H295" i="25" s="1"/>
  <c r="G279" i="25"/>
  <c r="G263" i="25"/>
  <c r="G247" i="25"/>
  <c r="H247" i="25" s="1"/>
  <c r="G231" i="25"/>
  <c r="G215" i="25"/>
  <c r="H215" i="25" s="1"/>
  <c r="G199" i="25"/>
  <c r="H199" i="25" s="1"/>
  <c r="G183" i="25"/>
  <c r="H183" i="25" s="1"/>
  <c r="G167" i="25"/>
  <c r="H167" i="25" s="1"/>
  <c r="G151" i="25"/>
  <c r="H151" i="25" s="1"/>
  <c r="G135" i="25"/>
  <c r="H135" i="25" s="1"/>
  <c r="G119" i="25"/>
  <c r="H119" i="25" s="1"/>
  <c r="G103" i="25"/>
  <c r="H103" i="25" s="1"/>
  <c r="G87" i="25"/>
  <c r="H87" i="25" s="1"/>
  <c r="G71" i="25"/>
  <c r="H71" i="25" s="1"/>
  <c r="G55" i="25"/>
  <c r="H55" i="25" s="1"/>
  <c r="G39" i="25"/>
  <c r="H39" i="25" s="1"/>
  <c r="G23" i="25"/>
  <c r="G7" i="25"/>
  <c r="G342" i="25"/>
  <c r="G326" i="25"/>
  <c r="H326" i="25" s="1"/>
  <c r="G310" i="25"/>
  <c r="H310" i="25" s="1"/>
  <c r="G294" i="25"/>
  <c r="H294" i="25" s="1"/>
  <c r="G278" i="25"/>
  <c r="H278" i="25" s="1"/>
  <c r="G262" i="25"/>
  <c r="H262" i="25" s="1"/>
  <c r="G246" i="25"/>
  <c r="H246" i="25" s="1"/>
  <c r="G230" i="25"/>
  <c r="G214" i="25"/>
  <c r="H214" i="25" s="1"/>
  <c r="G198" i="25"/>
  <c r="H198" i="25" s="1"/>
  <c r="G182" i="25"/>
  <c r="H182" i="25" s="1"/>
  <c r="G166" i="25"/>
  <c r="H166" i="25" s="1"/>
  <c r="G150" i="25"/>
  <c r="H150" i="25" s="1"/>
  <c r="G134" i="25"/>
  <c r="G118" i="25"/>
  <c r="G102" i="25"/>
  <c r="H102" i="25" s="1"/>
  <c r="G86" i="25"/>
  <c r="G70" i="25"/>
  <c r="H70" i="25" s="1"/>
  <c r="G54" i="25"/>
  <c r="H54" i="25" s="1"/>
  <c r="G38" i="25"/>
  <c r="H38" i="25" s="1"/>
  <c r="G22" i="25"/>
  <c r="H22" i="25" s="1"/>
  <c r="G6" i="25"/>
  <c r="H6" i="25" s="1"/>
  <c r="G341" i="25"/>
  <c r="G325" i="25"/>
  <c r="G309" i="25"/>
  <c r="G293" i="25"/>
  <c r="G277" i="25"/>
  <c r="G261" i="25"/>
  <c r="G245" i="25"/>
  <c r="G229" i="25"/>
  <c r="G213" i="25"/>
  <c r="H213" i="25" s="1"/>
  <c r="G197" i="25"/>
  <c r="H197" i="25" s="1"/>
  <c r="G181" i="25"/>
  <c r="H181" i="25" s="1"/>
  <c r="G165" i="25"/>
  <c r="H165" i="25" s="1"/>
  <c r="G149" i="25"/>
  <c r="H149" i="25" s="1"/>
  <c r="G133" i="25"/>
  <c r="H133" i="25" s="1"/>
  <c r="G117" i="25"/>
  <c r="H117" i="25" s="1"/>
  <c r="G101" i="25"/>
  <c r="G85" i="25"/>
  <c r="G69" i="25"/>
  <c r="G53" i="25"/>
  <c r="G37" i="25"/>
  <c r="G21" i="25"/>
  <c r="G5" i="25"/>
  <c r="G340" i="25"/>
  <c r="H340" i="25" s="1"/>
  <c r="G324" i="25"/>
  <c r="H324" i="25" s="1"/>
  <c r="G308" i="25"/>
  <c r="H308" i="25" s="1"/>
  <c r="G292" i="25"/>
  <c r="H292" i="25" s="1"/>
  <c r="G276" i="25"/>
  <c r="H276" i="25" s="1"/>
  <c r="G260" i="25"/>
  <c r="H260" i="25" s="1"/>
  <c r="G244" i="25"/>
  <c r="H244" i="25" s="1"/>
  <c r="G228" i="25"/>
  <c r="H228" i="25" s="1"/>
  <c r="G212" i="25"/>
  <c r="H212" i="25" s="1"/>
  <c r="G196" i="25"/>
  <c r="G180" i="25"/>
  <c r="G164" i="25"/>
  <c r="G148" i="25"/>
  <c r="G132" i="25"/>
  <c r="G116" i="25"/>
  <c r="G100" i="25"/>
  <c r="H100" i="25" s="1"/>
  <c r="G84" i="25"/>
  <c r="H84" i="25" s="1"/>
  <c r="G68" i="25"/>
  <c r="H68" i="25" s="1"/>
  <c r="G52" i="25"/>
  <c r="H52" i="25" s="1"/>
  <c r="G36" i="25"/>
  <c r="H36" i="25" s="1"/>
  <c r="G20" i="25"/>
  <c r="H20" i="25" s="1"/>
  <c r="G4" i="25"/>
  <c r="H4" i="25" s="1"/>
  <c r="G339" i="25"/>
  <c r="H339" i="25" s="1"/>
  <c r="G323" i="25"/>
  <c r="H323" i="25" s="1"/>
  <c r="G307" i="25"/>
  <c r="H307" i="25" s="1"/>
  <c r="G291" i="25"/>
  <c r="G275" i="25"/>
  <c r="G259" i="25"/>
  <c r="G243" i="25"/>
  <c r="G227" i="25"/>
  <c r="G211" i="25"/>
  <c r="G195" i="25"/>
  <c r="H195" i="25" s="1"/>
  <c r="G179" i="25"/>
  <c r="H179" i="25" s="1"/>
  <c r="G163" i="25"/>
  <c r="H163" i="25" s="1"/>
  <c r="G147" i="25"/>
  <c r="H147" i="25" s="1"/>
  <c r="G131" i="25"/>
  <c r="H131" i="25" s="1"/>
  <c r="G115" i="25"/>
  <c r="H115" i="25" s="1"/>
  <c r="G99" i="25"/>
  <c r="H99" i="25" s="1"/>
  <c r="G83" i="25"/>
  <c r="H83" i="25" s="1"/>
  <c r="G67" i="25"/>
  <c r="H67" i="25" s="1"/>
  <c r="G51" i="25"/>
  <c r="H51" i="25" s="1"/>
  <c r="G35" i="25"/>
  <c r="G19" i="25"/>
  <c r="G3" i="25"/>
  <c r="E3" i="17"/>
  <c r="J3" i="17" s="1"/>
  <c r="C3" i="17" a="1"/>
  <c r="C3" i="17" s="1"/>
  <c r="F3" i="17" s="1"/>
  <c r="I3" i="17" s="1"/>
  <c r="C2" i="17"/>
  <c r="E4" i="16"/>
  <c r="E3" i="16"/>
  <c r="B24" i="18"/>
  <c r="F22" i="18"/>
  <c r="G22" i="18"/>
  <c r="F20" i="18"/>
  <c r="C16" i="18"/>
  <c r="B31" i="18"/>
  <c r="C31" i="18" s="1"/>
  <c r="C24" i="18"/>
  <c r="B39" i="18"/>
  <c r="C39" i="18" s="1"/>
  <c r="F17" i="18"/>
  <c r="F19" i="18"/>
  <c r="F18" i="18"/>
  <c r="B33" i="18"/>
  <c r="B38" i="18"/>
  <c r="F21" i="18"/>
  <c r="F24" i="18"/>
  <c r="B36" i="18"/>
  <c r="B35" i="18"/>
  <c r="B34" i="18"/>
  <c r="F23" i="18"/>
  <c r="B32" i="18"/>
  <c r="F16" i="18"/>
  <c r="B37" i="18"/>
  <c r="G317" i="25" l="1"/>
  <c r="H317" i="25" s="1"/>
  <c r="E317" i="25"/>
  <c r="G172" i="25"/>
  <c r="H172" i="25" s="1"/>
  <c r="E172" i="25"/>
  <c r="H2" i="17"/>
  <c r="G3" i="17"/>
  <c r="H3" i="17"/>
  <c r="E2" i="16"/>
  <c r="G20" i="18"/>
  <c r="G24" i="18"/>
  <c r="C38" i="18"/>
  <c r="C18" i="18"/>
  <c r="C19" i="18"/>
  <c r="G16" i="18"/>
  <c r="C36" i="18"/>
  <c r="G21" i="18"/>
  <c r="C17" i="18"/>
  <c r="C37" i="18"/>
  <c r="C33" i="18"/>
  <c r="G18" i="18"/>
  <c r="G19" i="18"/>
  <c r="C22" i="18"/>
  <c r="C32" i="18"/>
  <c r="G23" i="18"/>
  <c r="G17" i="18"/>
  <c r="C34" i="18"/>
  <c r="C21" i="18"/>
  <c r="C23" i="18"/>
  <c r="C20" i="18"/>
  <c r="C35" i="18"/>
  <c r="E3" i="36" l="1"/>
  <c r="F3" i="3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30500D-FD4C-4155-AFDD-6338463AC81E}" keepAlive="1" name="Query - CartAbandonment_ByCategory" description="Connection to the 'CartAbandonment_ByCategory' query in the workbook." type="5" refreshedVersion="0" background="1">
    <dbPr connection="Provider=Microsoft.Mashup.OleDb.1;Data Source=$Workbook$;Location=CartAbandonment_ByCategory;Extended Properties=&quot;&quot;" command="SELECT * FROM [CartAbandonment_ByCategory]"/>
  </connection>
  <connection id="2" xr16:uid="{5CBA92A5-4F55-4C1E-956C-6C24A61C71DA}" keepAlive="1" name="Query - CartAbandonment_ByCategory (2)" description="Connection to the 'CartAbandonment_ByCategory (2)' query in the workbook." type="5" refreshedVersion="8" background="1" saveData="1">
    <dbPr connection="Provider=Microsoft.Mashup.OleDb.1;Data Source=$Workbook$;Location=&quot;CartAbandonment_ByCategory (2)&quot;;Extended Properties=&quot;&quot;" command="SELECT * FROM [CartAbandonment_ByCategory (2)]"/>
  </connection>
  <connection id="3" xr16:uid="{EBD6B8A7-0414-40BC-BC83-139E0F4BA65E}" keepAlive="1" name="Query - High_Potential_SKUs" description="Connection to the 'High_Potential_SKUs' query in the workbook." type="5" refreshedVersion="8" background="1" saveData="1">
    <dbPr connection="Provider=Microsoft.Mashup.OleDb.1;Data Source=$Workbook$;Location=High_Potential_SKUs;Extended Properties=&quot;&quot;" command="SELECT * FROM [High_Potential_SKUs]"/>
  </connection>
  <connection id="4" xr16:uid="{DECC8DAC-7AD5-49A9-9770-1D71D56DE0C7}" keepAlive="1" name="Query - Latency_Based_Targeting" description="Connection to the 'Latency_Based_Targeting' query in the workbook." type="5" refreshedVersion="8" background="1" saveData="1">
    <dbPr connection="Provider=Microsoft.Mashup.OleDb.1;Data Source=$Workbook$;Location=Latency_Based_Targeting;Extended Properties=&quot;&quot;" command="SELECT * FROM [Latency_Based_Targeting]"/>
  </connection>
  <connection id="5" xr16:uid="{862E0EB9-4560-4A18-80E1-C707C22963A9}" keepAlive="1" name="Query - Latency_Based_Targeting (2)" description="Connection to the 'Latency_Based_Targeting (2)' query in the workbook." type="5" refreshedVersion="8" background="1" saveData="1">
    <dbPr connection="Provider=Microsoft.Mashup.OleDb.1;Data Source=$Workbook$;Location=&quot;Latency_Based_Targeting (2)&quot;;Extended Properties=&quot;&quot;" command="SELECT * FROM [Latency_Based_Targeting (2)]"/>
  </connection>
  <connection id="6" xr16:uid="{92C0CC48-5841-4AF4-8793-D9B7980256CC}" keepAlive="1" name="Query - Loyalty_Campaign_Candidates" description="Connection to the 'Loyalty_Campaign_Candidates' query in the workbook." type="5" refreshedVersion="8" background="1" saveData="1">
    <dbPr connection="Provider=Microsoft.Mashup.OleDb.1;Data Source=$Workbook$;Location=Loyalty_Campaign_Candidates;Extended Properties=&quot;&quot;" command="SELECT * FROM [Loyalty_Campaign_Candidates]"/>
  </connection>
  <connection id="7" xr16:uid="{780F5426-943B-4F8F-BBF1-8AB1D6563974}" keepAlive="1" name="Query - Time_Sensitive_Engagement_By_Hour" description="Connection to the 'Time_Sensitive_Engagement_By_Hour' query in the workbook." type="5" refreshedVersion="8" background="1" saveData="1">
    <dbPr connection="Provider=Microsoft.Mashup.OleDb.1;Data Source=$Workbook$;Location=Time_Sensitive_Engagement_By_Hour;Extended Properties=&quot;&quot;" command="SELECT * FROM [Time_Sensitive_Engagement_By_Hour]"/>
  </connection>
  <connection id="8" xr16:uid="{498763BE-F5BC-4F7D-88B3-6595202EDF2E}" keepAlive="1" name="Query - Time_Sensitive_Engagement_By_Hour (2)" description="Connection to the 'Time_Sensitive_Engagement_By_Hour (2)' query in the workbook." type="5" refreshedVersion="8" background="1" saveData="1">
    <dbPr connection="Provider=Microsoft.Mashup.OleDb.1;Data Source=$Workbook$;Location=&quot;Time_Sensitive_Engagement_By_Hour (2)&quot;;Extended Properties=&quot;&quot;" command="SELECT * FROM [Time_Sensitive_Engagement_By_Hour (2)]"/>
  </connection>
  <connection id="9" xr16:uid="{3D2EBDB9-9AC5-4E0E-81A6-6E9BDEF79083}" keepAlive="1" name="Query - Weekly_Cohort_Retention" description="Connection to the 'Weekly_Cohort_Retention' query in the workbook." type="5" refreshedVersion="0" background="1">
    <dbPr connection="Provider=Microsoft.Mashup.OleDb.1;Data Source=$Workbook$;Location=Weekly_Cohort_Retention;Extended Properties=&quot;&quot;" command="SELECT * FROM [Weekly_Cohort_Retention]"/>
  </connection>
  <connection id="10" xr16:uid="{67FC55E4-E9BD-4170-B4AD-34F839C72E00}" keepAlive="1" name="Query - Weekly_Cohort_Retention (2)" description="Connection to the 'Weekly_Cohort_Retention (2)' query in the workbook." type="5" refreshedVersion="0" background="1">
    <dbPr connection="Provider=Microsoft.Mashup.OleDb.1;Data Source=$Workbook$;Location=&quot;Weekly_Cohort_Retention (2)&quot;;Extended Properties=&quot;&quot;" command="SELECT * FROM [Weekly_Cohort_Retention (2)]"/>
  </connection>
  <connection id="11" xr16:uid="{EFCB49D6-8684-4BCE-9461-948ADDF2F3E9}" keepAlive="1" name="Query - Weekly_Cohort_Retention (3)" description="Connection to the 'Weekly_Cohort_Retention (3)' query in the workbook." type="5" refreshedVersion="0" background="1" saveData="1">
    <dbPr connection="Provider=Microsoft.Mashup.OleDb.1;Data Source=$Workbook$;Location=&quot;Weekly_Cohort_Retention (3)&quot;;Extended Properties=&quot;&quot;" command="SELECT * FROM [Weekly_Cohort_Retention (3)]"/>
  </connection>
  <connection id="12" xr16:uid="{B04AF73B-6DDC-45FA-8DD8-F21C5A9BBD4A}" keepAlive="1" name="Query - Weekly_Cohort_Retention (4)" description="Connection to the 'Weekly_Cohort_Retention (4)' query in the workbook." type="5" refreshedVersion="0" background="1" saveData="1">
    <dbPr connection="Provider=Microsoft.Mashup.OleDb.1;Data Source=$Workbook$;Location=&quot;Weekly_Cohort_Retention (4)&quot;;Extended Properties=&quot;&quot;" command="SELECT * FROM [Weekly_Cohort_Retention (4)]"/>
  </connection>
  <connection id="13" xr16:uid="{89DB3581-2587-4E78-B970-F42D8372C326}" keepAlive="1" name="Query - Weekly_Cohort_Retention (5)" description="Connection to the 'Weekly_Cohort_Retention (5)' query in the workbook." type="5" refreshedVersion="8" background="1" saveData="1">
    <dbPr connection="Provider=Microsoft.Mashup.OleDb.1;Data Source=$Workbook$;Location=&quot;Weekly_Cohort_Retention (5)&quot;;Extended Properties=&quot;&quot;" command="SELECT * FROM [Weekly_Cohort_Retention (5)]"/>
  </connection>
  <connection id="14" xr16:uid="{4578A143-9469-497A-9DA9-C24306221221}" keepAlive="1" name="Query - Weekly_Cohort_Retention (6)" description="Connection to the 'Weekly_Cohort_Retention (6)' query in the workbook." type="5" refreshedVersion="8" background="1" saveData="1">
    <dbPr connection="Provider=Microsoft.Mashup.OleDb.1;Data Source=$Workbook$;Location=&quot;Weekly_Cohort_Retention (6)&quot;;Extended Properties=&quot;&quot;" command="SELECT * FROM [Weekly_Cohort_Retention (6)]"/>
  </connection>
  <connection id="15" xr16:uid="{22F06978-44F3-479E-B861-05CF79EF0B0A}" keepAlive="1" name="Query - Wishlist_Activation_Targeting" description="Connection to the 'Wishlist_Activation_Targeting' query in the workbook." type="5" refreshedVersion="8" background="1" saveData="1">
    <dbPr connection="Provider=Microsoft.Mashup.OleDb.1;Data Source=$Workbook$;Location=Wishlist_Activation_Targeting;Extended Properties=&quot;&quot;" command="SELECT * FROM [Wishlist_Activation_Targeting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<sst xmlns="http://schemas.openxmlformats.org/spreadsheetml/2006/main" count="2125" uniqueCount="178">
  <si>
    <t>user_id</t>
  </si>
  <si>
    <t>category_id</t>
  </si>
  <si>
    <t>last_carted_at</t>
  </si>
  <si>
    <t>total_actions</t>
  </si>
  <si>
    <t>total_views</t>
  </si>
  <si>
    <t>total_favorites</t>
  </si>
  <si>
    <t>total_carted</t>
  </si>
  <si>
    <t>total_converted</t>
  </si>
  <si>
    <t>product_id</t>
  </si>
  <si>
    <t>avg_time_to_convert</t>
  </si>
  <si>
    <t>total_sessions</t>
  </si>
  <si>
    <t>total_purchases</t>
  </si>
  <si>
    <t>last_purchase_time</t>
  </si>
  <si>
    <t>days_since_last_purchase</t>
  </si>
  <si>
    <t>loyalty_tier</t>
  </si>
  <si>
    <t>Silver</t>
  </si>
  <si>
    <t>Gold</t>
  </si>
  <si>
    <t>hour_of_day</t>
  </si>
  <si>
    <t>views</t>
  </si>
  <si>
    <t>carted</t>
  </si>
  <si>
    <t>converted</t>
  </si>
  <si>
    <t>cohort_week</t>
  </si>
  <si>
    <t>cohort_week_number</t>
  </si>
  <si>
    <t>Metric</t>
  </si>
  <si>
    <t>Assumed Cart Value</t>
  </si>
  <si>
    <t>Recovery Rate – Low</t>
  </si>
  <si>
    <t>Recovery Rate – Mid</t>
  </si>
  <si>
    <t>Recovery Rate – High</t>
  </si>
  <si>
    <t>Total Abandoned Carts</t>
  </si>
  <si>
    <t>Projected Revenue – Low</t>
  </si>
  <si>
    <t>Projected Revenue – Mid</t>
  </si>
  <si>
    <t>Projected Revenue – High</t>
  </si>
  <si>
    <t>Projected Solution</t>
  </si>
  <si>
    <t>SMS Cost per User</t>
  </si>
  <si>
    <t>Carts Recovered</t>
  </si>
  <si>
    <t>Revenue Generated</t>
  </si>
  <si>
    <t>Campaign Cost</t>
  </si>
  <si>
    <t>Net Recovery</t>
  </si>
  <si>
    <t>Total High-Attention Categories</t>
  </si>
  <si>
    <t>Avg Views per Category</t>
  </si>
  <si>
    <t>Avg Conversion Rate (Base)</t>
  </si>
  <si>
    <t>Avg SKU Price</t>
  </si>
  <si>
    <t>Lifted Conversion Rate</t>
  </si>
  <si>
    <t>SKUs Targeted</t>
  </si>
  <si>
    <t>Views</t>
  </si>
  <si>
    <t>Projected Conversions</t>
  </si>
  <si>
    <t>Base Scenario</t>
  </si>
  <si>
    <t>Optimized Scenario</t>
  </si>
  <si>
    <t>Monetization Target (%)</t>
  </si>
  <si>
    <t>Total Views (Top SKUs)</t>
  </si>
  <si>
    <t>Grand Total</t>
  </si>
  <si>
    <t>users</t>
  </si>
  <si>
    <t>avg_sessions_per_user</t>
  </si>
  <si>
    <t>High</t>
  </si>
  <si>
    <t>Medium</t>
  </si>
  <si>
    <t>Very High</t>
  </si>
  <si>
    <t>users_2plus_sessions</t>
  </si>
  <si>
    <t>session_1_to_2_retention</t>
  </si>
  <si>
    <t>Scenario</t>
  </si>
  <si>
    <t>Target Retention %</t>
  </si>
  <si>
    <t>Conservative Improvement</t>
  </si>
  <si>
    <t>Industry Benchmark</t>
  </si>
  <si>
    <t>Best-Case Scenario</t>
  </si>
  <si>
    <t>current_retention</t>
  </si>
  <si>
    <t>Current_Users_Retained</t>
  </si>
  <si>
    <t>users_retained_Conservative_Improvement</t>
  </si>
  <si>
    <t>users_retained_Benchmark</t>
  </si>
  <si>
    <t>users_retained_Best_case</t>
  </si>
  <si>
    <t>Avg Revenue gain per user</t>
  </si>
  <si>
    <t>Scenario 1 - Conservative Improvement</t>
  </si>
  <si>
    <t>Additional_users_retained</t>
  </si>
  <si>
    <t>Scenario 2 - Industry Benchmark</t>
  </si>
  <si>
    <t>Scenario 3 - Best_Case Scenario</t>
  </si>
  <si>
    <t>Additional_users_Conservative</t>
  </si>
  <si>
    <t>Additional_users_Benchmark</t>
  </si>
  <si>
    <t>Additional_users_BestCase</t>
  </si>
  <si>
    <t>Revenue Gain_CI</t>
  </si>
  <si>
    <t>Revenue Gain_benchmark</t>
  </si>
  <si>
    <t>Revenue Gain_BestCase</t>
  </si>
  <si>
    <t>Latency Segment</t>
  </si>
  <si>
    <t>Campaign ROI</t>
  </si>
  <si>
    <t>Low</t>
  </si>
  <si>
    <t>Latency Segments</t>
  </si>
  <si>
    <t>Conversion Rate</t>
  </si>
  <si>
    <t>Total Favorites</t>
  </si>
  <si>
    <t>Currently Loyal Users</t>
  </si>
  <si>
    <t>Total Users</t>
  </si>
  <si>
    <t>Loyalty Rate</t>
  </si>
  <si>
    <t>Campaign Pool Size</t>
  </si>
  <si>
    <t>Target Loyal Users</t>
  </si>
  <si>
    <t>Expected New Loyal Users</t>
  </si>
  <si>
    <t>Avg Revenue/User</t>
  </si>
  <si>
    <t>Post Campaign Loyalty</t>
  </si>
  <si>
    <t xml:space="preserve">
Loyalty base grows by 185% post-campaign (from 205 → 585 users).
Uplifted loyalty rate from 0.08% to 0.24%.
While not reaching 1%, it's a meaningful recovery boost toward long-term loyalty goals.
Revenue lift of ₹95,000 justifies targeted CRM campaigns.</t>
  </si>
  <si>
    <t>Campaign Cost per 1000 views</t>
  </si>
  <si>
    <t>Revenue per1000 views</t>
  </si>
  <si>
    <t>ROI Calculation</t>
  </si>
  <si>
    <t>Value/Insight</t>
  </si>
  <si>
    <t>Peak ROI Slot</t>
  </si>
  <si>
    <r>
      <t>3 AM – 5 AM</t>
    </r>
    <r>
      <rPr>
        <sz val="11"/>
        <color theme="1"/>
        <rFont val="Aptos Narrow"/>
        <family val="2"/>
        <scheme val="minor"/>
      </rPr>
      <t xml:space="preserve"> (ROI &gt; ₹5,200/1000 views)</t>
    </r>
  </si>
  <si>
    <t>High ROI Tier</t>
  </si>
  <si>
    <r>
      <t>Hours 1–8</t>
    </r>
    <r>
      <rPr>
        <sz val="11"/>
        <color theme="1"/>
        <rFont val="Aptos Narrow"/>
        <family val="2"/>
        <scheme val="minor"/>
      </rPr>
      <t xml:space="preserve"> (ROI consistently &gt; ₹4,800)</t>
    </r>
  </si>
  <si>
    <t>Break-even Threshold</t>
  </si>
  <si>
    <t>~₹120 campaign cost/1000 views</t>
  </si>
  <si>
    <t>Low ROI Hours</t>
  </si>
  <si>
    <r>
      <t>18–23</t>
    </r>
    <r>
      <rPr>
        <sz val="11"/>
        <color theme="1"/>
        <rFont val="Aptos Narrow"/>
        <family val="2"/>
        <scheme val="minor"/>
      </rPr>
      <t xml:space="preserve"> (ROI &lt; ₹3,300) – Avoid campaigns</t>
    </r>
  </si>
  <si>
    <t>Campaign ROI Summary by Hour</t>
  </si>
  <si>
    <t>Hour Range</t>
  </si>
  <si>
    <t>Campaign Window</t>
  </si>
  <si>
    <t>ROI Class</t>
  </si>
  <si>
    <t>Action</t>
  </si>
  <si>
    <t>3–5</t>
  </si>
  <si>
    <t>Early Morning Peak</t>
  </si>
  <si>
    <t>Strong candidate – Send offers</t>
  </si>
  <si>
    <t>6–9</t>
  </si>
  <si>
    <t>Morning Activation</t>
  </si>
  <si>
    <t>Ideal for retargeting</t>
  </si>
  <si>
    <t>12–17</t>
  </si>
  <si>
    <t>Midday Window</t>
  </si>
  <si>
    <t>Use only for loyalty nudges</t>
  </si>
  <si>
    <t>18–23</t>
  </si>
  <si>
    <t>Evening Drift</t>
  </si>
  <si>
    <t>Avoid costly impressions</t>
  </si>
  <si>
    <t xml:space="preserve"> Top Hourly Windows for Campaign Launch</t>
  </si>
  <si>
    <t xml:space="preserve"> Ultra-High ROI</t>
  </si>
  <si>
    <t xml:space="preserve"> High ROI</t>
  </si>
  <si>
    <t>Moderate ROI</t>
  </si>
  <si>
    <t xml:space="preserve"> Low ROI</t>
  </si>
  <si>
    <t>Strategic Decision</t>
  </si>
  <si>
    <t>These slots deliver 2x–3x higher ROI than afternoon/evening hours.</t>
  </si>
  <si>
    <r>
      <t xml:space="preserve">Restrict major paid campaigns to </t>
    </r>
    <r>
      <rPr>
        <b/>
        <sz val="11"/>
        <color theme="1"/>
        <rFont val="Aptos Narrow"/>
        <family val="2"/>
        <scheme val="minor"/>
      </rPr>
      <t>3–9 AM</t>
    </r>
    <r>
      <rPr>
        <sz val="11"/>
        <color theme="1"/>
        <rFont val="Aptos Narrow"/>
        <family val="2"/>
        <scheme val="minor"/>
      </rPr>
      <t xml:space="preserve">, targeting users active during these hours.  </t>
    </r>
  </si>
  <si>
    <t>Campaigns during late evenings and night (post 6 PM) should be deprioritized unless segment-specific targeting (e.g., Night Owls) shows high responsiveness.</t>
  </si>
  <si>
    <t>Abandoned Carts</t>
  </si>
  <si>
    <t>conversion rate</t>
  </si>
  <si>
    <t>Revenue Per SKU</t>
  </si>
  <si>
    <t>Revenue Per View</t>
  </si>
  <si>
    <t>Conversion Uplift vs Base</t>
  </si>
  <si>
    <t>Revenue Uplift vs Base</t>
  </si>
  <si>
    <t>-</t>
  </si>
  <si>
    <t>Label for Waterfall</t>
  </si>
  <si>
    <t>Waterfall Value</t>
  </si>
  <si>
    <t>Waterfall Type</t>
  </si>
  <si>
    <t>Base Revenue</t>
  </si>
  <si>
    <t>Start</t>
  </si>
  <si>
    <t>Revenue from Lift</t>
  </si>
  <si>
    <t>Increase</t>
  </si>
  <si>
    <t>Final Revenue</t>
  </si>
  <si>
    <t>Total</t>
  </si>
  <si>
    <t>Estimated Revenue</t>
  </si>
  <si>
    <t>current_retention2</t>
  </si>
  <si>
    <t>Scenario Label</t>
  </si>
  <si>
    <t>Conservative Estimate</t>
  </si>
  <si>
    <t>Industry Target</t>
  </si>
  <si>
    <t>Best Case Projection</t>
  </si>
  <si>
    <t>Avg Order Value</t>
  </si>
  <si>
    <t>Conversions (Conservative)</t>
  </si>
  <si>
    <t>Revenue (Conservative)</t>
  </si>
  <si>
    <t>Conversions (Benchmark)</t>
  </si>
  <si>
    <t>Revenue (Benchmark)</t>
  </si>
  <si>
    <t>Conversions (Best Case)</t>
  </si>
  <si>
    <t>Revenue (Best Case)</t>
  </si>
  <si>
    <t>SKU ID</t>
  </si>
  <si>
    <t>Average time to convert in Days</t>
  </si>
  <si>
    <t>avg_time_to_convert in Minutes</t>
  </si>
  <si>
    <t>Improved Time to convert</t>
  </si>
  <si>
    <t>Time Saved</t>
  </si>
  <si>
    <t>% Conversion Speedup</t>
  </si>
  <si>
    <t>Total SKUs</t>
  </si>
  <si>
    <t>Total Revenue</t>
  </si>
  <si>
    <t>Targeted SKUs</t>
  </si>
  <si>
    <t>Revenue</t>
  </si>
  <si>
    <t>Conversions</t>
  </si>
  <si>
    <t>Targeted Favorites</t>
  </si>
  <si>
    <t xml:space="preserve">Scenario </t>
  </si>
  <si>
    <t>Percentage Upliftment In Loyalty</t>
  </si>
  <si>
    <t>Projected Revenue Gain</t>
  </si>
  <si>
    <t>Total Campaign Cost</t>
  </si>
  <si>
    <t>Loyal Users after Campaign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</si>
</sst>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6" formatCode="&quot;₹&quot;\ #,##0;[Red]&quot;₹&quot;\ \-#,##0"/>
    <numFmt numFmtId="176" formatCode="0.00000000"/>
  </numFmts>
  <fonts count="1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24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thick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medium">
        <color theme="1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91">
    <xf numFmtId="0" fontId="0" fillId="0" borderId="0" xfId="0"/>
    <xf numFmtId="22" fontId="0" fillId="0" borderId="0" xfId="0" applyNumberFormat="1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6" fontId="0" fillId="0" borderId="0" xfId="0" applyNumberFormat="1" applyAlignment="1">
      <alignment vertical="center" wrapText="1"/>
    </xf>
    <xf numFmtId="6" fontId="2" fillId="0" borderId="0" xfId="0" applyNumberFormat="1" applyFont="1" applyAlignment="1">
      <alignment vertical="center" wrapText="1"/>
    </xf>
    <xf numFmtId="9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pivotButton="1"/>
    <xf numFmtId="0" fontId="4" fillId="2" borderId="2" xfId="0" applyFont="1" applyFill="1" applyBorder="1"/>
    <xf numFmtId="0" fontId="4" fillId="2" borderId="3" xfId="0" applyFont="1" applyFill="1" applyBorder="1"/>
    <xf numFmtId="0" fontId="0" fillId="3" borderId="5" xfId="0" applyFill="1" applyBorder="1"/>
    <xf numFmtId="0" fontId="0" fillId="3" borderId="6" xfId="0" applyFill="1" applyBorder="1"/>
    <xf numFmtId="0" fontId="0" fillId="4" borderId="5" xfId="0" applyFill="1" applyBorder="1"/>
    <xf numFmtId="0" fontId="0" fillId="4" borderId="6" xfId="0" applyFill="1" applyBorder="1"/>
    <xf numFmtId="0" fontId="0" fillId="3" borderId="8" xfId="0" applyFill="1" applyBorder="1"/>
    <xf numFmtId="0" fontId="0" fillId="3" borderId="9" xfId="0" applyFill="1" applyBorder="1"/>
    <xf numFmtId="9" fontId="0" fillId="0" borderId="0" xfId="0" applyNumberFormat="1" applyAlignment="1">
      <alignment vertical="center" wrapText="1"/>
    </xf>
    <xf numFmtId="14" fontId="4" fillId="2" borderId="1" xfId="0" applyNumberFormat="1" applyFont="1" applyFill="1" applyBorder="1"/>
    <xf numFmtId="14" fontId="0" fillId="3" borderId="4" xfId="0" applyNumberFormat="1" applyFill="1" applyBorder="1"/>
    <xf numFmtId="14" fontId="0" fillId="4" borderId="4" xfId="0" applyNumberFormat="1" applyFill="1" applyBorder="1"/>
    <xf numFmtId="14" fontId="0" fillId="3" borderId="7" xfId="0" applyNumberFormat="1" applyFill="1" applyBorder="1"/>
    <xf numFmtId="6" fontId="0" fillId="3" borderId="6" xfId="0" applyNumberFormat="1" applyFill="1" applyBorder="1" applyAlignment="1">
      <alignment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0" fillId="3" borderId="1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vertical="center" wrapText="1"/>
    </xf>
    <xf numFmtId="0" fontId="0" fillId="0" borderId="0" xfId="0" applyAlignment="1">
      <alignment horizontal="left"/>
    </xf>
    <xf numFmtId="6" fontId="0" fillId="0" borderId="0" xfId="0" applyNumberFormat="1"/>
    <xf numFmtId="9" fontId="1" fillId="0" borderId="0" xfId="0" applyNumberFormat="1" applyFont="1" applyAlignment="1">
      <alignment horizontal="center" vertical="center" wrapText="1"/>
    </xf>
    <xf numFmtId="47" fontId="0" fillId="0" borderId="0" xfId="0" applyNumberFormat="1"/>
    <xf numFmtId="0" fontId="0" fillId="4" borderId="12" xfId="0" applyFill="1" applyBorder="1"/>
    <xf numFmtId="0" fontId="0" fillId="0" borderId="12" xfId="0" applyBorder="1"/>
    <xf numFmtId="0" fontId="4" fillId="2" borderId="12" xfId="0" applyFont="1" applyFill="1" applyBorder="1"/>
    <xf numFmtId="0" fontId="4" fillId="2" borderId="13" xfId="0" applyFont="1" applyFill="1" applyBorder="1"/>
    <xf numFmtId="0" fontId="0" fillId="4" borderId="13" xfId="0" applyFill="1" applyBorder="1"/>
    <xf numFmtId="0" fontId="0" fillId="0" borderId="13" xfId="0" applyBorder="1"/>
    <xf numFmtId="0" fontId="4" fillId="2" borderId="0" xfId="0" applyFont="1" applyFill="1"/>
    <xf numFmtId="10" fontId="0" fillId="0" borderId="0" xfId="0" applyNumberFormat="1"/>
    <xf numFmtId="1" fontId="2" fillId="0" borderId="0" xfId="0" applyNumberFormat="1" applyFont="1" applyAlignment="1">
      <alignment vertical="center" wrapText="1"/>
    </xf>
    <xf numFmtId="1" fontId="0" fillId="0" borderId="0" xfId="0" applyNumberFormat="1" applyAlignment="1">
      <alignment vertical="center" wrapText="1"/>
    </xf>
    <xf numFmtId="10" fontId="0" fillId="0" borderId="0" xfId="1" applyNumberFormat="1" applyFont="1"/>
    <xf numFmtId="10" fontId="2" fillId="0" borderId="0" xfId="0" applyNumberFormat="1" applyFont="1" applyAlignment="1">
      <alignment vertical="center" wrapText="1"/>
    </xf>
    <xf numFmtId="10" fontId="1" fillId="0" borderId="0" xfId="1" applyNumberFormat="1" applyFont="1" applyAlignment="1">
      <alignment horizontal="center" vertical="center"/>
    </xf>
    <xf numFmtId="10" fontId="2" fillId="0" borderId="0" xfId="1" applyNumberFormat="1" applyFont="1" applyAlignment="1">
      <alignment vertical="center" wrapText="1"/>
    </xf>
    <xf numFmtId="9" fontId="0" fillId="0" borderId="0" xfId="1" applyFont="1"/>
    <xf numFmtId="10" fontId="4" fillId="2" borderId="3" xfId="1" applyNumberFormat="1" applyFont="1" applyFill="1" applyBorder="1"/>
    <xf numFmtId="10" fontId="0" fillId="3" borderId="6" xfId="1" applyNumberFormat="1" applyFont="1" applyFill="1" applyBorder="1"/>
    <xf numFmtId="6" fontId="1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4" borderId="9" xfId="0" applyFont="1" applyFill="1" applyBorder="1"/>
    <xf numFmtId="1" fontId="0" fillId="0" borderId="0" xfId="0" applyNumberFormat="1"/>
    <xf numFmtId="1" fontId="1" fillId="0" borderId="0" xfId="0" applyNumberFormat="1" applyFont="1" applyAlignment="1">
      <alignment horizontal="center" vertical="center" wrapText="1"/>
    </xf>
    <xf numFmtId="0" fontId="0" fillId="3" borderId="9" xfId="0" applyFont="1" applyFill="1" applyBorder="1"/>
    <xf numFmtId="0" fontId="0" fillId="6" borderId="14" xfId="0" applyFont="1" applyFill="1" applyBorder="1" applyAlignment="1">
      <alignment vertical="center" wrapText="1"/>
    </xf>
    <xf numFmtId="0" fontId="9" fillId="0" borderId="0" xfId="0" applyFont="1" applyAlignment="1">
      <alignment vertical="center" wrapText="1"/>
    </xf>
    <xf numFmtId="6" fontId="0" fillId="3" borderId="6" xfId="0" applyNumberFormat="1" applyFont="1" applyFill="1" applyBorder="1" applyAlignment="1">
      <alignment vertical="center" wrapText="1"/>
    </xf>
    <xf numFmtId="0" fontId="4" fillId="2" borderId="0" xfId="0" applyFont="1" applyFill="1" applyBorder="1"/>
    <xf numFmtId="0" fontId="4" fillId="2" borderId="15" xfId="0" applyFont="1" applyFill="1" applyBorder="1"/>
    <xf numFmtId="0" fontId="0" fillId="3" borderId="16" xfId="0" applyFont="1" applyFill="1" applyBorder="1"/>
    <xf numFmtId="0" fontId="8" fillId="3" borderId="17" xfId="0" applyFont="1" applyFill="1" applyBorder="1"/>
    <xf numFmtId="0" fontId="0" fillId="3" borderId="17" xfId="0" applyFont="1" applyFill="1" applyBorder="1"/>
    <xf numFmtId="6" fontId="0" fillId="3" borderId="9" xfId="0" applyNumberFormat="1" applyFont="1" applyFill="1" applyBorder="1" applyAlignment="1">
      <alignment vertical="center" wrapText="1"/>
    </xf>
    <xf numFmtId="6" fontId="0" fillId="3" borderId="17" xfId="0" applyNumberFormat="1" applyFont="1" applyFill="1" applyBorder="1"/>
    <xf numFmtId="176" fontId="0" fillId="3" borderId="17" xfId="1" applyNumberFormat="1" applyFont="1" applyFill="1" applyBorder="1"/>
    <xf numFmtId="9" fontId="0" fillId="3" borderId="17" xfId="1" applyNumberFormat="1" applyFont="1" applyFill="1" applyBorder="1"/>
    <xf numFmtId="0" fontId="0" fillId="4" borderId="18" xfId="0" applyFont="1" applyFill="1" applyBorder="1"/>
    <xf numFmtId="0" fontId="8" fillId="4" borderId="9" xfId="0" applyFont="1" applyFill="1" applyBorder="1"/>
    <xf numFmtId="6" fontId="0" fillId="4" borderId="9" xfId="0" applyNumberFormat="1" applyFont="1" applyFill="1" applyBorder="1"/>
    <xf numFmtId="176" fontId="0" fillId="4" borderId="9" xfId="1" applyNumberFormat="1" applyFont="1" applyFill="1" applyBorder="1"/>
    <xf numFmtId="9" fontId="0" fillId="4" borderId="9" xfId="1" applyNumberFormat="1" applyFont="1" applyFill="1" applyBorder="1"/>
    <xf numFmtId="0" fontId="0" fillId="3" borderId="18" xfId="0" applyFont="1" applyFill="1" applyBorder="1"/>
    <xf numFmtId="0" fontId="8" fillId="3" borderId="9" xfId="0" applyFont="1" applyFill="1" applyBorder="1"/>
    <xf numFmtId="6" fontId="0" fillId="3" borderId="9" xfId="0" applyNumberFormat="1" applyFont="1" applyFill="1" applyBorder="1"/>
    <xf numFmtId="176" fontId="0" fillId="3" borderId="9" xfId="1" applyNumberFormat="1" applyFont="1" applyFill="1" applyBorder="1"/>
    <xf numFmtId="9" fontId="0" fillId="3" borderId="9" xfId="1" applyNumberFormat="1" applyFont="1" applyFill="1" applyBorder="1"/>
    <xf numFmtId="0" fontId="4" fillId="5" borderId="19" xfId="0" applyFont="1" applyFill="1" applyBorder="1" applyAlignment="1">
      <alignment horizontal="center" vertical="center" wrapText="1"/>
    </xf>
    <xf numFmtId="0" fontId="0" fillId="6" borderId="19" xfId="0" applyFont="1" applyFill="1" applyBorder="1" applyAlignment="1">
      <alignment vertical="center" wrapText="1"/>
    </xf>
    <xf numFmtId="0" fontId="0" fillId="4" borderId="20" xfId="0" applyFont="1" applyFill="1" applyBorder="1" applyAlignment="1">
      <alignment vertical="center" wrapText="1"/>
    </xf>
    <xf numFmtId="0" fontId="4" fillId="5" borderId="21" xfId="0" applyFont="1" applyFill="1" applyBorder="1" applyAlignment="1">
      <alignment horizontal="center" vertical="center" wrapText="1"/>
    </xf>
    <xf numFmtId="9" fontId="0" fillId="6" borderId="21" xfId="0" applyNumberFormat="1" applyFont="1" applyFill="1" applyBorder="1" applyAlignment="1">
      <alignment vertical="center" wrapText="1"/>
    </xf>
    <xf numFmtId="9" fontId="0" fillId="4" borderId="22" xfId="0" applyNumberFormat="1" applyFont="1" applyFill="1" applyBorder="1" applyAlignment="1">
      <alignment vertical="center" wrapText="1"/>
    </xf>
    <xf numFmtId="9" fontId="0" fillId="6" borderId="23" xfId="0" applyNumberFormat="1" applyFont="1" applyFill="1" applyBorder="1" applyAlignment="1">
      <alignment vertical="center" wrapText="1"/>
    </xf>
    <xf numFmtId="10" fontId="1" fillId="0" borderId="0" xfId="1" applyNumberFormat="1" applyFont="1" applyAlignment="1">
      <alignment horizontal="center" vertical="center" wrapText="1"/>
    </xf>
    <xf numFmtId="10" fontId="0" fillId="0" borderId="0" xfId="1" applyNumberFormat="1" applyFont="1" applyAlignment="1">
      <alignment vertical="center" wrapText="1"/>
    </xf>
  </cellXfs>
  <cellStyles count="2">
    <cellStyle name="Normal" xfId="0" builtinId="0"/>
    <cellStyle name="Percent" xfId="1" builtinId="5"/>
  </cellStyles>
  <dxfs count="114">
    <dxf>
      <numFmt numFmtId="10" formatCode="&quot;₹&quot;\ #,##0;[Red]&quot;₹&quot;\ \-#,##0"/>
    </dxf>
    <dxf>
      <numFmt numFmtId="14" formatCode="0.0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0" formatCode="&quot;₹&quot;\ #,##0;[Red]&quot;₹&quot;\ \-#,##0"/>
      <fill>
        <patternFill patternType="solid">
          <fgColor theme="9" tint="0.59999389629810485"/>
          <bgColor theme="9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border outline="0">
        <left style="thin">
          <color theme="1"/>
        </left>
      </border>
    </dxf>
    <dxf>
      <numFmt numFmtId="1" formatCode="0"/>
    </dxf>
    <dxf>
      <numFmt numFmtId="10" formatCode="&quot;₹&quot;\ #,##0;[Red]&quot;₹&quot;\ \-#,##0"/>
    </dxf>
    <dxf>
      <numFmt numFmtId="10" formatCode="&quot;₹&quot;\ #,##0;[Red]&quot;₹&quot;\ \-#,##0"/>
    </dxf>
    <dxf>
      <numFmt numFmtId="1" formatCode="0"/>
    </dxf>
    <dxf>
      <numFmt numFmtId="1" formatCode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29" formatCode="mm:ss.0"/>
    </dxf>
    <dxf>
      <alignment horizontal="general" vertical="center" textRotation="0" wrapText="1" indent="0" justifyLastLine="0" shrinkToFit="0" readingOrder="0"/>
    </dxf>
    <dxf>
      <numFmt numFmtId="13" formatCode="0%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10" formatCode="&quot;₹&quot;\ #,##0;[Red]&quot;₹&quot;\ \-#,##0"/>
      <fill>
        <patternFill patternType="solid">
          <fgColor theme="9" tint="0.59999389629810485"/>
          <bgColor theme="9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numFmt numFmtId="14" formatCode="0.00%"/>
      <fill>
        <patternFill patternType="solid">
          <fgColor theme="9" tint="0.59999389629810485"/>
          <bgColor theme="9" tint="0.59999389629810485"/>
        </patternFill>
      </fill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solid">
          <fgColor theme="9" tint="0.59999389629810485"/>
          <bgColor theme="9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0" formatCode="&quot;₹&quot;\ #,##0;[Red]&quot;₹&quot;\ \-#,##0"/>
      <fill>
        <patternFill patternType="solid">
          <fgColor theme="9" tint="0.59999389629810485"/>
          <bgColor theme="9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left style="thin">
          <color theme="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0" formatCode="&quot;₹&quot;\ #,##0;[Red]&quot;₹&quot;\ \-#,##0"/>
      <fill>
        <patternFill patternType="solid">
          <fgColor theme="9" tint="0.59999389629810485"/>
          <bgColor theme="9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left style="thin">
          <color theme="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0" formatCode="&quot;₹&quot;\ #,##0;[Red]&quot;₹&quot;\ \-#,##0"/>
      <fill>
        <patternFill patternType="solid">
          <fgColor theme="9" tint="0.59999389629810485"/>
          <bgColor theme="9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border outline="0">
        <left style="thin">
          <color theme="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solid">
          <fgColor theme="9" tint="0.59999389629810485"/>
          <bgColor theme="9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3" formatCode="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4" formatCode="0.00%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  <border diagonalUp="0" diagonalDown="0" outline="0">
        <left style="thin">
          <color theme="9" tint="0.39997558519241921"/>
        </left>
        <right style="thin">
          <color theme="9" tint="0.39997558519241921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" formatCode="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" formatCode="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3" formatCode="0%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3" formatCode="0%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3" formatCode="0%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" formatCode="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numFmt numFmtId="29" formatCode="mm:ss.0"/>
    </dxf>
  </dxfs>
  <tableStyles count="1" defaultTableStyle="TableStyleMedium2" defaultPivotStyle="PivotStyleLight16">
    <tableStyle name="Table Style 1" pivot="0" count="0" xr9:uid="{F5B11472-65D6-4DA2-BBA5-5B9E71AF1F2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0" i="0" u="none" strike="noStrike" kern="1200" spc="0" baseline="0">
                <a:ln>
                  <a:solidFill>
                    <a:schemeClr val="bg1"/>
                  </a:solidFill>
                </a:ln>
                <a:solidFill>
                  <a:schemeClr val="bg1"/>
                </a:solidFill>
              </a:rPr>
              <a:t>Cart Recovery-Cost Simulation</a:t>
            </a:r>
          </a:p>
          <a:p>
            <a:pPr>
              <a:defRPr/>
            </a:pPr>
            <a:endParaRPr lang="en-IN" sz="1600" b="0" i="0" u="none" strike="noStrike" kern="1200" spc="0" baseline="0">
              <a:ln>
                <a:solidFill>
                  <a:schemeClr val="bg1"/>
                </a:solidFill>
              </a:ln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CartRecovery_Simulated_Solution!$C$1</c:f>
              <c:strCache>
                <c:ptCount val="1"/>
                <c:pt idx="0">
                  <c:v>Revenue Generated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CartRecovery_Simulated_Solution!$A$2:$A$4</c:f>
              <c:strCache>
                <c:ptCount val="3"/>
                <c:pt idx="0">
                  <c:v>Projected Revenue – Low</c:v>
                </c:pt>
                <c:pt idx="1">
                  <c:v>Projected Revenue – Mid</c:v>
                </c:pt>
                <c:pt idx="2">
                  <c:v>Projected Revenue – High</c:v>
                </c:pt>
              </c:strCache>
            </c:strRef>
          </c:cat>
          <c:val>
            <c:numRef>
              <c:f>CartRecovery_Simulated_Solution!$C$2:$C$4</c:f>
              <c:numCache>
                <c:formatCode>"₹"#,##0_);[Red]\("₹"#,##0\)</c:formatCode>
                <c:ptCount val="3"/>
                <c:pt idx="0">
                  <c:v>1144000</c:v>
                </c:pt>
                <c:pt idx="1">
                  <c:v>1430000</c:v>
                </c:pt>
                <c:pt idx="2">
                  <c:v>1716000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A0-4DA4-A2D9-FF42469E0B71}"/>
            </c:ext>
          </c:extLst>
        </c:ser>
        <c:ser>
          <c:idx val="1"/>
          <c:order val="1"/>
          <c:tx>
            <c:strRef>
              <c:f>CartRecovery_Simulated_Solution!$D$1</c:f>
              <c:strCache>
                <c:ptCount val="1"/>
                <c:pt idx="0">
                  <c:v>Campaign Cost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CartRecovery_Simulated_Solution!$A$2:$A$4</c:f>
              <c:strCache>
                <c:ptCount val="3"/>
                <c:pt idx="0">
                  <c:v>Projected Revenue – Low</c:v>
                </c:pt>
                <c:pt idx="1">
                  <c:v>Projected Revenue – Mid</c:v>
                </c:pt>
                <c:pt idx="2">
                  <c:v>Projected Revenue – High</c:v>
                </c:pt>
              </c:strCache>
            </c:strRef>
          </c:cat>
          <c:val>
            <c:numRef>
              <c:f>CartRecovery_Simulated_Solution!$D$2:$D$4</c:f>
              <c:numCache>
                <c:formatCode>General</c:formatCode>
                <c:ptCount val="3"/>
                <c:pt idx="0">
                  <c:v>11440</c:v>
                </c:pt>
                <c:pt idx="1">
                  <c:v>11440</c:v>
                </c:pt>
                <c:pt idx="2">
                  <c:v>11440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A0-4DA4-A2D9-FF42469E0B71}"/>
            </c:ext>
          </c:extLst>
        </c:ser>
        <c:ser>
          <c:idx val="2"/>
          <c:order val="2"/>
          <c:tx>
            <c:strRef>
              <c:f>CartRecovery_Simulated_Solution!$E$1</c:f>
              <c:strCache>
                <c:ptCount val="1"/>
                <c:pt idx="0">
                  <c:v>Net Recovery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CartRecovery_Simulated_Solution!$A$2:$A$4</c:f>
              <c:strCache>
                <c:ptCount val="3"/>
                <c:pt idx="0">
                  <c:v>Projected Revenue – Low</c:v>
                </c:pt>
                <c:pt idx="1">
                  <c:v>Projected Revenue – Mid</c:v>
                </c:pt>
                <c:pt idx="2">
                  <c:v>Projected Revenue – High</c:v>
                </c:pt>
              </c:strCache>
            </c:strRef>
          </c:cat>
          <c:val>
            <c:numRef>
              <c:f>CartRecovery_Simulated_Solution!$E$2:$E$4</c:f>
              <c:numCache>
                <c:formatCode>"₹"#,##0_);[Red]\("₹"#,##0\)</c:formatCode>
                <c:ptCount val="3"/>
                <c:pt idx="0">
                  <c:v>1132560</c:v>
                </c:pt>
                <c:pt idx="1">
                  <c:v>1418560</c:v>
                </c:pt>
                <c:pt idx="2">
                  <c:v>1704560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A0-4DA4-A2D9-FF42469E0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98380624"/>
        <c:axId val="298385424"/>
        <c:axId val="0"/>
      </c:bar3DChart>
      <c:catAx>
        <c:axId val="29838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85424"/>
        <c:crosses val="autoZero"/>
        <c:auto val="1"/>
        <c:lblAlgn val="ctr"/>
        <c:lblOffset val="100"/>
        <c:noMultiLvlLbl val="0"/>
      </c:catAx>
      <c:valAx>
        <c:axId val="29838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&quot;₹&quot;#,##0_);[Red]\(&quot;₹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8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chemeClr val="bg1"/>
                </a:solidFill>
                <a:latin typeface="Aptos Narrow" panose="02110004020202020204"/>
              </a:rPr>
              <a:t>Cart Recovery Simulation</a:t>
            </a:r>
          </a:p>
          <a:p>
            <a:pPr>
              <a:defRPr>
                <a:solidFill>
                  <a:schemeClr val="bg1"/>
                </a:solidFill>
              </a:defRPr>
            </a:pPr>
            <a:endParaRPr lang="en-US" sz="1400" b="0" i="0" u="none" strike="noStrike" baseline="0">
              <a:solidFill>
                <a:schemeClr val="bg1"/>
              </a:solidFill>
              <a:latin typeface="Aptos Narrow" panose="02110004020202020204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spc="100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lt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CartRecovery_Simulated_Solution!$B$2:$B$4</c:f>
              <c:numCache>
                <c:formatCode>General</c:formatCode>
                <c:ptCount val="3"/>
                <c:pt idx="0">
                  <c:v>2288</c:v>
                </c:pt>
                <c:pt idx="1">
                  <c:v>2860</c:v>
                </c:pt>
                <c:pt idx="2">
                  <c:v>3432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CartRecovery_Simulated_Solution!$A$2</c15:sqref>
                        </c15:formulaRef>
                      </c:ext>
                    </c:extLst>
                    <c:strCache>
                      <c:ptCount val="1"/>
                      <c:pt idx="0">
                        <c:v>Projected Revenue – Low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CartRecovery_Simulated_Solution!$B$1</c15:sqref>
                        </c15:formulaRef>
                      </c:ext>
                    </c:extLst>
                    <c:strCache>
                      <c:ptCount val="1"/>
                      <c:pt idx="0">
                        <c:v>Carts Recovered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033C-4A4B-914B-23DA4E527116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lt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CartRecovery_Simulated_Solution!$B$3</c:f>
              <c:numCache>
                <c:formatCode>General</c:formatCode>
                <c:ptCount val="1"/>
                <c:pt idx="0">
                  <c:v>2860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CartRecovery_Simulated_Solution!$A$3</c15:sqref>
                        </c15:formulaRef>
                      </c:ext>
                    </c:extLst>
                    <c:strCache>
                      <c:ptCount val="1"/>
                      <c:pt idx="0">
                        <c:v>Projected Revenue – Mid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CartRecovery_Simulated_Solution!$B$1</c15:sqref>
                        </c15:formulaRef>
                      </c:ext>
                    </c:extLst>
                    <c:strCache>
                      <c:ptCount val="1"/>
                      <c:pt idx="0">
                        <c:v>Carts Recovered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033C-4A4B-914B-23DA4E527116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lt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CartRecovery_Simulated_Solution!$B$4</c:f>
              <c:numCache>
                <c:formatCode>General</c:formatCode>
                <c:ptCount val="1"/>
                <c:pt idx="0">
                  <c:v>3432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CartRecovery_Simulated_Solution!$A$4</c15:sqref>
                        </c15:formulaRef>
                      </c:ext>
                    </c:extLst>
                    <c:strCache>
                      <c:ptCount val="1"/>
                      <c:pt idx="0">
                        <c:v>Projected Revenue – High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CartRecovery_Simulated_Solution!$B$1</c15:sqref>
                        </c15:formulaRef>
                      </c:ext>
                    </c:extLst>
                    <c:strCache>
                      <c:ptCount val="1"/>
                      <c:pt idx="0">
                        <c:v>Carts Recovered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033C-4A4B-914B-23DA4E52711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98360464"/>
        <c:axId val="298360944"/>
      </c:barChart>
      <c:catAx>
        <c:axId val="29836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60944"/>
        <c:crosses val="autoZero"/>
        <c:auto val="1"/>
        <c:lblAlgn val="ctr"/>
        <c:lblOffset val="100"/>
        <c:noMultiLvlLbl val="0"/>
      </c:catAx>
      <c:valAx>
        <c:axId val="29836094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98360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lt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Revenue Optimization</a:t>
            </a:r>
          </a:p>
        </c:rich>
      </c:tx>
      <c:layout>
        <c:manualLayout>
          <c:xMode val="edge"/>
          <c:yMode val="edge"/>
          <c:x val="0.26966587261540148"/>
          <c:y val="3.05110602593440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324759405074366"/>
          <c:y val="0.12747703412073491"/>
          <c:w val="0.85230796150481192"/>
          <c:h val="0.7099383931175269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'HighPotentialSKUs-Simulated_Sol'!$E$1</c:f>
              <c:strCache>
                <c:ptCount val="1"/>
                <c:pt idx="0">
                  <c:v>Revenue Generated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'HighPotentialSKUs-Simulated_Sol'!$A$2:$A$4</c:f>
              <c:strCache>
                <c:ptCount val="2"/>
                <c:pt idx="0">
                  <c:v>Base Scenario</c:v>
                </c:pt>
                <c:pt idx="1">
                  <c:v>Optimized Scenario</c:v>
                </c:pt>
              </c:strCache>
            </c:strRef>
          </c:cat>
          <c:val>
            <c:numRef>
              <c:f>'HighPotentialSKUs-Simulated_Sol'!$E$2:$E$4</c:f>
              <c:numCache>
                <c:formatCode>General</c:formatCode>
                <c:ptCount val="3"/>
                <c:pt idx="0">
                  <c:v>126600</c:v>
                </c:pt>
                <c:pt idx="1">
                  <c:v>734400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EF-4645-B46A-9A152333EF4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10179632"/>
        <c:axId val="1510163312"/>
        <c:axId val="0"/>
      </c:bar3DChart>
      <c:catAx>
        <c:axId val="151017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163312"/>
        <c:crosses val="autoZero"/>
        <c:auto val="1"/>
        <c:lblAlgn val="ctr"/>
        <c:lblOffset val="100"/>
        <c:noMultiLvlLbl val="0"/>
      </c:catAx>
      <c:valAx>
        <c:axId val="15101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17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'HighPotentialSKUs-Simulated_Sol'!$D$1</c:f>
              <c:strCache>
                <c:ptCount val="1"/>
                <c:pt idx="0">
                  <c:v>Projected Conversions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'HighPotentialSKUs-Simulated_Sol'!$A$2:$A$4</c:f>
              <c:strCache>
                <c:ptCount val="2"/>
                <c:pt idx="0">
                  <c:v>Base Scenario</c:v>
                </c:pt>
                <c:pt idx="1">
                  <c:v>Optimized Scenario</c:v>
                </c:pt>
              </c:strCache>
            </c:strRef>
          </c:cat>
          <c:val>
            <c:numRef>
              <c:f>'HighPotentialSKUs-Simulated_Sol'!$D$2:$D$4</c:f>
              <c:numCache>
                <c:formatCode>General</c:formatCode>
                <c:ptCount val="3"/>
                <c:pt idx="0">
                  <c:v>211</c:v>
                </c:pt>
                <c:pt idx="1">
                  <c:v>1224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E7-455F-9F91-A58751EA3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shape val="box"/>
        <c:axId val="1510182992"/>
        <c:axId val="1510183472"/>
        <c:axId val="0"/>
      </c:bar3DChart>
      <c:catAx>
        <c:axId val="151018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183472"/>
        <c:crosses val="autoZero"/>
        <c:auto val="1"/>
        <c:lblAlgn val="ctr"/>
        <c:lblOffset val="100"/>
        <c:noMultiLvlLbl val="0"/>
      </c:catAx>
      <c:valAx>
        <c:axId val="151018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182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User Retention Simulated Solution</a:t>
            </a:r>
          </a:p>
        </c:rich>
      </c:tx>
      <c:layout>
        <c:manualLayout>
          <c:xMode val="edge"/>
          <c:yMode val="edge"/>
          <c:x val="0.30662094657522643"/>
          <c:y val="4.64949928469241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'CohortRetention-Final'!$E$1</c:f>
              <c:strCache>
                <c:ptCount val="1"/>
                <c:pt idx="0">
                  <c:v>Current_Users_Retained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'CohortRetention-Final'!$A$2:$A$10</c:f>
              <c:numCache>
                <c:formatCode>m/d/yyyy</c:formatCode>
                <c:ptCount val="9"/>
                <c:pt idx="0">
                  <c:v>43064</c:v>
                </c:pt>
                <c:pt idx="1">
                  <c:v>43065</c:v>
                </c:pt>
                <c:pt idx="2">
                  <c:v>43066</c:v>
                </c:pt>
                <c:pt idx="3">
                  <c:v>43067</c:v>
                </c:pt>
                <c:pt idx="4">
                  <c:v>43068</c:v>
                </c:pt>
                <c:pt idx="5">
                  <c:v>43069</c:v>
                </c:pt>
                <c:pt idx="6">
                  <c:v>43070</c:v>
                </c:pt>
                <c:pt idx="7">
                  <c:v>43071</c:v>
                </c:pt>
                <c:pt idx="8">
                  <c:v>43072</c:v>
                </c:pt>
              </c:numCache>
            </c:numRef>
          </c:cat>
          <c:val>
            <c:numRef>
              <c:f>'CohortRetention-Final'!$E$2:$E$10</c:f>
              <c:numCache>
                <c:formatCode>General</c:formatCode>
                <c:ptCount val="9"/>
                <c:pt idx="0">
                  <c:v>2215</c:v>
                </c:pt>
                <c:pt idx="1">
                  <c:v>2070</c:v>
                </c:pt>
                <c:pt idx="2">
                  <c:v>1750</c:v>
                </c:pt>
                <c:pt idx="3">
                  <c:v>1713</c:v>
                </c:pt>
                <c:pt idx="4">
                  <c:v>1817</c:v>
                </c:pt>
                <c:pt idx="5">
                  <c:v>2055</c:v>
                </c:pt>
                <c:pt idx="6">
                  <c:v>2381</c:v>
                </c:pt>
                <c:pt idx="7">
                  <c:v>3683</c:v>
                </c:pt>
                <c:pt idx="8">
                  <c:v>2586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E5-4581-A4FC-8BA8762CA151}"/>
            </c:ext>
          </c:extLst>
        </c:ser>
        <c:ser>
          <c:idx val="1"/>
          <c:order val="1"/>
          <c:tx>
            <c:strRef>
              <c:f>'CohortRetention-Final'!$G$1</c:f>
              <c:strCache>
                <c:ptCount val="1"/>
                <c:pt idx="0">
                  <c:v>users_retained_Conservative_Improvement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'CohortRetention-Final'!$A$2:$A$10</c:f>
              <c:numCache>
                <c:formatCode>m/d/yyyy</c:formatCode>
                <c:ptCount val="9"/>
                <c:pt idx="0">
                  <c:v>43064</c:v>
                </c:pt>
                <c:pt idx="1">
                  <c:v>43065</c:v>
                </c:pt>
                <c:pt idx="2">
                  <c:v>43066</c:v>
                </c:pt>
                <c:pt idx="3">
                  <c:v>43067</c:v>
                </c:pt>
                <c:pt idx="4">
                  <c:v>43068</c:v>
                </c:pt>
                <c:pt idx="5">
                  <c:v>43069</c:v>
                </c:pt>
                <c:pt idx="6">
                  <c:v>43070</c:v>
                </c:pt>
                <c:pt idx="7">
                  <c:v>43071</c:v>
                </c:pt>
                <c:pt idx="8">
                  <c:v>43072</c:v>
                </c:pt>
              </c:numCache>
            </c:numRef>
          </c:cat>
          <c:val>
            <c:numRef>
              <c:f>'CohortRetention-Final'!$G$2:$G$10</c:f>
              <c:numCache>
                <c:formatCode>General</c:formatCode>
                <c:ptCount val="9"/>
                <c:pt idx="0">
                  <c:v>5051</c:v>
                </c:pt>
                <c:pt idx="1">
                  <c:v>5025</c:v>
                </c:pt>
                <c:pt idx="2">
                  <c:v>4581</c:v>
                </c:pt>
                <c:pt idx="3">
                  <c:v>4477</c:v>
                </c:pt>
                <c:pt idx="4">
                  <c:v>4841</c:v>
                </c:pt>
                <c:pt idx="5">
                  <c:v>5005</c:v>
                </c:pt>
                <c:pt idx="6">
                  <c:v>5580</c:v>
                </c:pt>
                <c:pt idx="7">
                  <c:v>7738</c:v>
                </c:pt>
                <c:pt idx="8">
                  <c:v>6530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E5-4581-A4FC-8BA8762CA151}"/>
            </c:ext>
          </c:extLst>
        </c:ser>
        <c:ser>
          <c:idx val="2"/>
          <c:order val="2"/>
          <c:tx>
            <c:strRef>
              <c:f>'CohortRetention-Final'!$H$1</c:f>
              <c:strCache>
                <c:ptCount val="1"/>
                <c:pt idx="0">
                  <c:v>users_retained_Benchmark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'CohortRetention-Final'!$A$2:$A$10</c:f>
              <c:numCache>
                <c:formatCode>m/d/yyyy</c:formatCode>
                <c:ptCount val="9"/>
                <c:pt idx="0">
                  <c:v>43064</c:v>
                </c:pt>
                <c:pt idx="1">
                  <c:v>43065</c:v>
                </c:pt>
                <c:pt idx="2">
                  <c:v>43066</c:v>
                </c:pt>
                <c:pt idx="3">
                  <c:v>43067</c:v>
                </c:pt>
                <c:pt idx="4">
                  <c:v>43068</c:v>
                </c:pt>
                <c:pt idx="5">
                  <c:v>43069</c:v>
                </c:pt>
                <c:pt idx="6">
                  <c:v>43070</c:v>
                </c:pt>
                <c:pt idx="7">
                  <c:v>43071</c:v>
                </c:pt>
                <c:pt idx="8">
                  <c:v>43072</c:v>
                </c:pt>
              </c:numCache>
            </c:numRef>
          </c:cat>
          <c:val>
            <c:numRef>
              <c:f>'CohortRetention-Final'!$H$2:$H$10</c:f>
              <c:numCache>
                <c:formatCode>General</c:formatCode>
                <c:ptCount val="9"/>
                <c:pt idx="0">
                  <c:v>8418</c:v>
                </c:pt>
                <c:pt idx="1">
                  <c:v>8374</c:v>
                </c:pt>
                <c:pt idx="2">
                  <c:v>7635</c:v>
                </c:pt>
                <c:pt idx="3">
                  <c:v>7461</c:v>
                </c:pt>
                <c:pt idx="4">
                  <c:v>8068</c:v>
                </c:pt>
                <c:pt idx="5">
                  <c:v>8341</c:v>
                </c:pt>
                <c:pt idx="6">
                  <c:v>9300</c:v>
                </c:pt>
                <c:pt idx="7">
                  <c:v>12897</c:v>
                </c:pt>
                <c:pt idx="8">
                  <c:v>10884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E5-4581-A4FC-8BA8762CA151}"/>
            </c:ext>
          </c:extLst>
        </c:ser>
        <c:ser>
          <c:idx val="3"/>
          <c:order val="3"/>
          <c:tx>
            <c:strRef>
              <c:f>'CohortRetention-Final'!$I$1</c:f>
              <c:strCache>
                <c:ptCount val="1"/>
                <c:pt idx="0">
                  <c:v>users_retained_Best_case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'CohortRetention-Final'!$A$2:$A$10</c:f>
              <c:numCache>
                <c:formatCode>m/d/yyyy</c:formatCode>
                <c:ptCount val="9"/>
                <c:pt idx="0">
                  <c:v>43064</c:v>
                </c:pt>
                <c:pt idx="1">
                  <c:v>43065</c:v>
                </c:pt>
                <c:pt idx="2">
                  <c:v>43066</c:v>
                </c:pt>
                <c:pt idx="3">
                  <c:v>43067</c:v>
                </c:pt>
                <c:pt idx="4">
                  <c:v>43068</c:v>
                </c:pt>
                <c:pt idx="5">
                  <c:v>43069</c:v>
                </c:pt>
                <c:pt idx="6">
                  <c:v>43070</c:v>
                </c:pt>
                <c:pt idx="7">
                  <c:v>43071</c:v>
                </c:pt>
                <c:pt idx="8">
                  <c:v>43072</c:v>
                </c:pt>
              </c:numCache>
            </c:numRef>
          </c:cat>
          <c:val>
            <c:numRef>
              <c:f>'CohortRetention-Final'!$I$2:$I$10</c:f>
              <c:numCache>
                <c:formatCode>General</c:formatCode>
                <c:ptCount val="9"/>
                <c:pt idx="0">
                  <c:v>10101</c:v>
                </c:pt>
                <c:pt idx="1">
                  <c:v>10049</c:v>
                </c:pt>
                <c:pt idx="2">
                  <c:v>9162</c:v>
                </c:pt>
                <c:pt idx="3">
                  <c:v>8953</c:v>
                </c:pt>
                <c:pt idx="4">
                  <c:v>9681</c:v>
                </c:pt>
                <c:pt idx="5">
                  <c:v>10010</c:v>
                </c:pt>
                <c:pt idx="6">
                  <c:v>11159</c:v>
                </c:pt>
                <c:pt idx="7">
                  <c:v>15476</c:v>
                </c:pt>
                <c:pt idx="8">
                  <c:v>13061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E5-4581-A4FC-8BA8762CA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965727"/>
        <c:axId val="81966687"/>
      </c:barChart>
      <c:dateAx>
        <c:axId val="819657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66687"/>
        <c:crosses val="autoZero"/>
        <c:auto val="1"/>
        <c:lblOffset val="100"/>
        <c:baseTimeUnit val="days"/>
      </c:dateAx>
      <c:valAx>
        <c:axId val="8196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65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2397470302186979E-2"/>
          <c:y val="0.88465580750903994"/>
          <c:w val="0.70028525176677714"/>
          <c:h val="0.115344134327434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Gain Case based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'CohortRetention-Final'!$M$1</c:f>
              <c:strCache>
                <c:ptCount val="1"/>
                <c:pt idx="0">
                  <c:v>Revenue Gain_CI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'CohortRetention-Final'!$A$2:$A$10</c:f>
              <c:numCache>
                <c:formatCode>m/d/yyyy</c:formatCode>
                <c:ptCount val="9"/>
                <c:pt idx="0">
                  <c:v>43064</c:v>
                </c:pt>
                <c:pt idx="1">
                  <c:v>43065</c:v>
                </c:pt>
                <c:pt idx="2">
                  <c:v>43066</c:v>
                </c:pt>
                <c:pt idx="3">
                  <c:v>43067</c:v>
                </c:pt>
                <c:pt idx="4">
                  <c:v>43068</c:v>
                </c:pt>
                <c:pt idx="5">
                  <c:v>43069</c:v>
                </c:pt>
                <c:pt idx="6">
                  <c:v>43070</c:v>
                </c:pt>
                <c:pt idx="7">
                  <c:v>43071</c:v>
                </c:pt>
                <c:pt idx="8">
                  <c:v>43072</c:v>
                </c:pt>
              </c:numCache>
            </c:numRef>
          </c:cat>
          <c:val>
            <c:numRef>
              <c:f>'CohortRetention-Final'!$M$2:$M$10</c:f>
              <c:numCache>
                <c:formatCode>"₹"#,##0_);[Red]\("₹"#,##0\)</c:formatCode>
                <c:ptCount val="9"/>
                <c:pt idx="0">
                  <c:v>709000</c:v>
                </c:pt>
                <c:pt idx="1">
                  <c:v>738750</c:v>
                </c:pt>
                <c:pt idx="2">
                  <c:v>707750</c:v>
                </c:pt>
                <c:pt idx="3">
                  <c:v>691000</c:v>
                </c:pt>
                <c:pt idx="4">
                  <c:v>756000</c:v>
                </c:pt>
                <c:pt idx="5">
                  <c:v>737500</c:v>
                </c:pt>
                <c:pt idx="6">
                  <c:v>799750</c:v>
                </c:pt>
                <c:pt idx="7">
                  <c:v>1013750</c:v>
                </c:pt>
                <c:pt idx="8">
                  <c:v>986000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40-49A4-B2BB-3A47D812C8AE}"/>
            </c:ext>
          </c:extLst>
        </c:ser>
        <c:ser>
          <c:idx val="1"/>
          <c:order val="1"/>
          <c:tx>
            <c:strRef>
              <c:f>'CohortRetention-Final'!$N$1</c:f>
              <c:strCache>
                <c:ptCount val="1"/>
                <c:pt idx="0">
                  <c:v>Revenue Gain_benchmark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'CohortRetention-Final'!$A$2:$A$10</c:f>
              <c:numCache>
                <c:formatCode>m/d/yyyy</c:formatCode>
                <c:ptCount val="9"/>
                <c:pt idx="0">
                  <c:v>43064</c:v>
                </c:pt>
                <c:pt idx="1">
                  <c:v>43065</c:v>
                </c:pt>
                <c:pt idx="2">
                  <c:v>43066</c:v>
                </c:pt>
                <c:pt idx="3">
                  <c:v>43067</c:v>
                </c:pt>
                <c:pt idx="4">
                  <c:v>43068</c:v>
                </c:pt>
                <c:pt idx="5">
                  <c:v>43069</c:v>
                </c:pt>
                <c:pt idx="6">
                  <c:v>43070</c:v>
                </c:pt>
                <c:pt idx="7">
                  <c:v>43071</c:v>
                </c:pt>
                <c:pt idx="8">
                  <c:v>43072</c:v>
                </c:pt>
              </c:numCache>
            </c:numRef>
          </c:cat>
          <c:val>
            <c:numRef>
              <c:f>'CohortRetention-Final'!$N$2:$N$10</c:f>
              <c:numCache>
                <c:formatCode>"₹"#,##0_);[Red]\("₹"#,##0\)</c:formatCode>
                <c:ptCount val="9"/>
                <c:pt idx="0">
                  <c:v>1550750</c:v>
                </c:pt>
                <c:pt idx="1">
                  <c:v>1576000</c:v>
                </c:pt>
                <c:pt idx="2">
                  <c:v>1471250</c:v>
                </c:pt>
                <c:pt idx="3">
                  <c:v>1437000</c:v>
                </c:pt>
                <c:pt idx="4">
                  <c:v>1562750</c:v>
                </c:pt>
                <c:pt idx="5">
                  <c:v>1571500</c:v>
                </c:pt>
                <c:pt idx="6">
                  <c:v>1729750</c:v>
                </c:pt>
                <c:pt idx="7">
                  <c:v>2303500</c:v>
                </c:pt>
                <c:pt idx="8">
                  <c:v>2074500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40-49A4-B2BB-3A47D812C8AE}"/>
            </c:ext>
          </c:extLst>
        </c:ser>
        <c:ser>
          <c:idx val="2"/>
          <c:order val="2"/>
          <c:tx>
            <c:strRef>
              <c:f>'CohortRetention-Final'!$O$1</c:f>
              <c:strCache>
                <c:ptCount val="1"/>
                <c:pt idx="0">
                  <c:v>Revenue Gain_BestCase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'CohortRetention-Final'!$A$2:$A$10</c:f>
              <c:numCache>
                <c:formatCode>m/d/yyyy</c:formatCode>
                <c:ptCount val="9"/>
                <c:pt idx="0">
                  <c:v>43064</c:v>
                </c:pt>
                <c:pt idx="1">
                  <c:v>43065</c:v>
                </c:pt>
                <c:pt idx="2">
                  <c:v>43066</c:v>
                </c:pt>
                <c:pt idx="3">
                  <c:v>43067</c:v>
                </c:pt>
                <c:pt idx="4">
                  <c:v>43068</c:v>
                </c:pt>
                <c:pt idx="5">
                  <c:v>43069</c:v>
                </c:pt>
                <c:pt idx="6">
                  <c:v>43070</c:v>
                </c:pt>
                <c:pt idx="7">
                  <c:v>43071</c:v>
                </c:pt>
                <c:pt idx="8">
                  <c:v>43072</c:v>
                </c:pt>
              </c:numCache>
            </c:numRef>
          </c:cat>
          <c:val>
            <c:numRef>
              <c:f>'CohortRetention-Final'!$O$2:$O$10</c:f>
              <c:numCache>
                <c:formatCode>"₹"#,##0_);[Red]\("₹"#,##0\)</c:formatCode>
                <c:ptCount val="9"/>
                <c:pt idx="0">
                  <c:v>1971500</c:v>
                </c:pt>
                <c:pt idx="1">
                  <c:v>1994750</c:v>
                </c:pt>
                <c:pt idx="2">
                  <c:v>1853000</c:v>
                </c:pt>
                <c:pt idx="3">
                  <c:v>1810000</c:v>
                </c:pt>
                <c:pt idx="4">
                  <c:v>1966000</c:v>
                </c:pt>
                <c:pt idx="5">
                  <c:v>1988750</c:v>
                </c:pt>
                <c:pt idx="6">
                  <c:v>2194500</c:v>
                </c:pt>
                <c:pt idx="7">
                  <c:v>2948250</c:v>
                </c:pt>
                <c:pt idx="8">
                  <c:v>2618750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40-49A4-B2BB-3A47D812C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0805567"/>
        <c:axId val="1070803647"/>
      </c:barChart>
      <c:dateAx>
        <c:axId val="107080556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803647"/>
        <c:crosses val="autoZero"/>
        <c:auto val="1"/>
        <c:lblOffset val="100"/>
        <c:baseTimeUnit val="days"/>
      </c:dateAx>
      <c:valAx>
        <c:axId val="107080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_);[Red]\(&quot;₹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80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Addtipnal Users gained by</a:t>
            </a:r>
            <a:r>
              <a:rPr lang="en-IN" baseline="0"/>
              <a:t> Scenario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'CohortRetention-Final'!$J$1</c:f>
              <c:strCache>
                <c:ptCount val="1"/>
                <c:pt idx="0">
                  <c:v>Additional_users_Conservative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'CohortRetention-Final'!$A$2:$A$10</c:f>
              <c:numCache>
                <c:formatCode>m/d/yyyy</c:formatCode>
                <c:ptCount val="9"/>
                <c:pt idx="0">
                  <c:v>43064</c:v>
                </c:pt>
                <c:pt idx="1">
                  <c:v>43065</c:v>
                </c:pt>
                <c:pt idx="2">
                  <c:v>43066</c:v>
                </c:pt>
                <c:pt idx="3">
                  <c:v>43067</c:v>
                </c:pt>
                <c:pt idx="4">
                  <c:v>43068</c:v>
                </c:pt>
                <c:pt idx="5">
                  <c:v>43069</c:v>
                </c:pt>
                <c:pt idx="6">
                  <c:v>43070</c:v>
                </c:pt>
                <c:pt idx="7">
                  <c:v>43071</c:v>
                </c:pt>
                <c:pt idx="8">
                  <c:v>43072</c:v>
                </c:pt>
              </c:numCache>
            </c:numRef>
          </c:cat>
          <c:val>
            <c:numRef>
              <c:f>'CohortRetention-Final'!$J$2:$J$10</c:f>
              <c:numCache>
                <c:formatCode>General</c:formatCode>
                <c:ptCount val="9"/>
                <c:pt idx="0">
                  <c:v>2836</c:v>
                </c:pt>
                <c:pt idx="1">
                  <c:v>2955</c:v>
                </c:pt>
                <c:pt idx="2">
                  <c:v>2831</c:v>
                </c:pt>
                <c:pt idx="3">
                  <c:v>2764</c:v>
                </c:pt>
                <c:pt idx="4">
                  <c:v>3024</c:v>
                </c:pt>
                <c:pt idx="5">
                  <c:v>2950</c:v>
                </c:pt>
                <c:pt idx="6">
                  <c:v>3199</c:v>
                </c:pt>
                <c:pt idx="7">
                  <c:v>4055</c:v>
                </c:pt>
                <c:pt idx="8">
                  <c:v>3944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55-41FA-B538-751412452E0D}"/>
            </c:ext>
          </c:extLst>
        </c:ser>
        <c:ser>
          <c:idx val="1"/>
          <c:order val="1"/>
          <c:tx>
            <c:strRef>
              <c:f>'CohortRetention-Final'!$K$1</c:f>
              <c:strCache>
                <c:ptCount val="1"/>
                <c:pt idx="0">
                  <c:v>Additional_users_Benchmark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'CohortRetention-Final'!$A$2:$A$10</c:f>
              <c:numCache>
                <c:formatCode>m/d/yyyy</c:formatCode>
                <c:ptCount val="9"/>
                <c:pt idx="0">
                  <c:v>43064</c:v>
                </c:pt>
                <c:pt idx="1">
                  <c:v>43065</c:v>
                </c:pt>
                <c:pt idx="2">
                  <c:v>43066</c:v>
                </c:pt>
                <c:pt idx="3">
                  <c:v>43067</c:v>
                </c:pt>
                <c:pt idx="4">
                  <c:v>43068</c:v>
                </c:pt>
                <c:pt idx="5">
                  <c:v>43069</c:v>
                </c:pt>
                <c:pt idx="6">
                  <c:v>43070</c:v>
                </c:pt>
                <c:pt idx="7">
                  <c:v>43071</c:v>
                </c:pt>
                <c:pt idx="8">
                  <c:v>43072</c:v>
                </c:pt>
              </c:numCache>
            </c:numRef>
          </c:cat>
          <c:val>
            <c:numRef>
              <c:f>'CohortRetention-Final'!$K$2:$K$10</c:f>
              <c:numCache>
                <c:formatCode>General</c:formatCode>
                <c:ptCount val="9"/>
                <c:pt idx="0">
                  <c:v>6203</c:v>
                </c:pt>
                <c:pt idx="1">
                  <c:v>6304</c:v>
                </c:pt>
                <c:pt idx="2">
                  <c:v>5885</c:v>
                </c:pt>
                <c:pt idx="3">
                  <c:v>5748</c:v>
                </c:pt>
                <c:pt idx="4">
                  <c:v>6251</c:v>
                </c:pt>
                <c:pt idx="5">
                  <c:v>6286</c:v>
                </c:pt>
                <c:pt idx="6">
                  <c:v>6919</c:v>
                </c:pt>
                <c:pt idx="7">
                  <c:v>9214</c:v>
                </c:pt>
                <c:pt idx="8">
                  <c:v>8298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55-41FA-B538-751412452E0D}"/>
            </c:ext>
          </c:extLst>
        </c:ser>
        <c:ser>
          <c:idx val="2"/>
          <c:order val="2"/>
          <c:tx>
            <c:strRef>
              <c:f>'CohortRetention-Final'!$L$1</c:f>
              <c:strCache>
                <c:ptCount val="1"/>
                <c:pt idx="0">
                  <c:v>Additional_users_BestCase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'CohortRetention-Final'!$A$2:$A$10</c:f>
              <c:numCache>
                <c:formatCode>m/d/yyyy</c:formatCode>
                <c:ptCount val="9"/>
                <c:pt idx="0">
                  <c:v>43064</c:v>
                </c:pt>
                <c:pt idx="1">
                  <c:v>43065</c:v>
                </c:pt>
                <c:pt idx="2">
                  <c:v>43066</c:v>
                </c:pt>
                <c:pt idx="3">
                  <c:v>43067</c:v>
                </c:pt>
                <c:pt idx="4">
                  <c:v>43068</c:v>
                </c:pt>
                <c:pt idx="5">
                  <c:v>43069</c:v>
                </c:pt>
                <c:pt idx="6">
                  <c:v>43070</c:v>
                </c:pt>
                <c:pt idx="7">
                  <c:v>43071</c:v>
                </c:pt>
                <c:pt idx="8">
                  <c:v>43072</c:v>
                </c:pt>
              </c:numCache>
            </c:numRef>
          </c:cat>
          <c:val>
            <c:numRef>
              <c:f>'CohortRetention-Final'!$L$2:$L$10</c:f>
              <c:numCache>
                <c:formatCode>General</c:formatCode>
                <c:ptCount val="9"/>
                <c:pt idx="0">
                  <c:v>7886</c:v>
                </c:pt>
                <c:pt idx="1">
                  <c:v>7979</c:v>
                </c:pt>
                <c:pt idx="2">
                  <c:v>7412</c:v>
                </c:pt>
                <c:pt idx="3">
                  <c:v>7240</c:v>
                </c:pt>
                <c:pt idx="4">
                  <c:v>7864</c:v>
                </c:pt>
                <c:pt idx="5">
                  <c:v>7955</c:v>
                </c:pt>
                <c:pt idx="6">
                  <c:v>8778</c:v>
                </c:pt>
                <c:pt idx="7">
                  <c:v>11793</c:v>
                </c:pt>
                <c:pt idx="8">
                  <c:v>10475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55-41FA-B538-751412452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9106223"/>
        <c:axId val="509105743"/>
      </c:barChart>
      <c:dateAx>
        <c:axId val="50910622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105743"/>
        <c:crosses val="autoZero"/>
        <c:auto val="1"/>
        <c:lblOffset val="100"/>
        <c:baseTimeUnit val="days"/>
      </c:dateAx>
      <c:valAx>
        <c:axId val="50910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106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2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990600</xdr:colOff>
      <xdr:row>6</xdr:row>
      <xdr:rowOff>236220</xdr:rowOff>
    </xdr:from>
    <xdr:to>
      <xdr:col>9</xdr:col>
      <xdr:colOff>251460</xdr:colOff>
      <xdr:row>28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6946C58-327D-8FB0-175C-7CAF4F8F87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129540</xdr:colOff>
      <xdr:row>10</xdr:row>
      <xdr:rowOff>137160</xdr:rowOff>
    </xdr:from>
    <xdr:to>
      <xdr:col>5</xdr:col>
      <xdr:colOff>815340</xdr:colOff>
      <xdr:row>25</xdr:row>
      <xdr:rowOff>137160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8665FDB-71BA-7716-C8BA-1FFD511EBC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480060</xdr:colOff>
      <xdr:row>5</xdr:row>
      <xdr:rowOff>167640</xdr:rowOff>
    </xdr:from>
    <xdr:to>
      <xdr:col>9</xdr:col>
      <xdr:colOff>579120</xdr:colOff>
      <xdr:row>23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57D293-F532-92C6-4406-9C96F1F7BC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129540</xdr:colOff>
      <xdr:row>5</xdr:row>
      <xdr:rowOff>182880</xdr:rowOff>
    </xdr:from>
    <xdr:to>
      <xdr:col>3</xdr:col>
      <xdr:colOff>510540</xdr:colOff>
      <xdr:row>20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21E0BD-3324-5727-363E-6138E30381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281940</xdr:colOff>
      <xdr:row>57</xdr:row>
      <xdr:rowOff>7620</xdr:rowOff>
    </xdr:from>
    <xdr:to>
      <xdr:col>2</xdr:col>
      <xdr:colOff>1676400</xdr:colOff>
      <xdr:row>76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6182AB6-3ED6-1756-2337-F869D14835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939800</xdr:colOff>
      <xdr:row>57</xdr:row>
      <xdr:rowOff>38100</xdr:rowOff>
    </xdr:from>
    <xdr:to>
      <xdr:col>7</xdr:col>
      <xdr:colOff>1460500</xdr:colOff>
      <xdr:row>76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BFCAA4C-A1C9-0208-B4BA-317B57D149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571500</xdr:colOff>
      <xdr:row>57</xdr:row>
      <xdr:rowOff>0</xdr:rowOff>
    </xdr:from>
    <xdr:to>
      <xdr:col>12</xdr:col>
      <xdr:colOff>1231900</xdr:colOff>
      <xdr:row>76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9D394AA-45C1-BFDE-2496-5926D118F2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yanshu Raj" refreshedDate="45824.565720486113" createdVersion="8" refreshedVersion="8" minRefreshableVersion="3" recordCount="347" xr:uid="{2D8E9BBA-2DFB-4A2C-B1EC-3421D662550F}">
  <cacheSource type="worksheet">
    <worksheetSource name="Latency_Based_Targeting18"/>
  </cacheSource>
  <cacheFields count="6">
    <cacheField name="user_id" numFmtId="0">
      <sharedItems containsSemiMixedTypes="0" containsString="0" containsNumber="1" containsInteger="1" minValue="352" maxValue="1012152" count="347">
        <n v="44814"/>
        <n v="236463"/>
        <n v="73876"/>
        <n v="963253"/>
        <n v="179022"/>
        <n v="449416"/>
        <n v="148991"/>
        <n v="968220"/>
        <n v="172074"/>
        <n v="752173"/>
        <n v="925984"/>
        <n v="454977"/>
        <n v="830226"/>
        <n v="30006"/>
        <n v="256704"/>
        <n v="71346"/>
        <n v="687867"/>
        <n v="85630"/>
        <n v="633837"/>
        <n v="963228"/>
        <n v="997927"/>
        <n v="82074"/>
        <n v="756961"/>
        <n v="182190"/>
        <n v="872831"/>
        <n v="839995"/>
        <n v="604274"/>
        <n v="467170"/>
        <n v="956752"/>
        <n v="857083"/>
        <n v="827902"/>
        <n v="862259"/>
        <n v="967854"/>
        <n v="634429"/>
        <n v="521433"/>
        <n v="673404"/>
        <n v="483546"/>
        <n v="514133"/>
        <n v="713999"/>
        <n v="115542"/>
        <n v="479506"/>
        <n v="418176"/>
        <n v="111624"/>
        <n v="352"/>
        <n v="91718"/>
        <n v="147404"/>
        <n v="347476"/>
        <n v="398490"/>
        <n v="920408"/>
        <n v="350195"/>
        <n v="127847"/>
        <n v="148891"/>
        <n v="19111"/>
        <n v="240272"/>
        <n v="148009"/>
        <n v="462285"/>
        <n v="561534"/>
        <n v="826448"/>
        <n v="367868"/>
        <n v="494353"/>
        <n v="58614"/>
        <n v="621933"/>
        <n v="261415"/>
        <n v="153548"/>
        <n v="227717"/>
        <n v="981615"/>
        <n v="812338"/>
        <n v="335916"/>
        <n v="703763"/>
        <n v="382527"/>
        <n v="888291"/>
        <n v="121688"/>
        <n v="1009480"/>
        <n v="755127"/>
        <n v="80591"/>
        <n v="186087"/>
        <n v="141685"/>
        <n v="642580"/>
        <n v="67118"/>
        <n v="865319"/>
        <n v="1012152"/>
        <n v="156000"/>
        <n v="776096"/>
        <n v="233417"/>
        <n v="57215"/>
        <n v="57872"/>
        <n v="656597"/>
        <n v="965633"/>
        <n v="124204"/>
        <n v="749404"/>
        <n v="427036"/>
        <n v="222391"/>
        <n v="269229"/>
        <n v="246237"/>
        <n v="462064"/>
        <n v="453"/>
        <n v="346260"/>
        <n v="711604"/>
        <n v="192051"/>
        <n v="779896"/>
        <n v="452356"/>
        <n v="779595"/>
        <n v="262291"/>
        <n v="859210"/>
        <n v="639484"/>
        <n v="445450"/>
        <n v="982214"/>
        <n v="552416"/>
        <n v="74451"/>
        <n v="674268"/>
        <n v="855572"/>
        <n v="463651"/>
        <n v="416892"/>
        <n v="246458"/>
        <n v="633908"/>
        <n v="224725"/>
        <n v="40729"/>
        <n v="539321"/>
        <n v="351306"/>
        <n v="293751"/>
        <n v="446413"/>
        <n v="461585"/>
        <n v="678341"/>
        <n v="671933"/>
        <n v="237989"/>
        <n v="490102"/>
        <n v="57620"/>
        <n v="691254"/>
        <n v="723029"/>
        <n v="597544"/>
        <n v="975170"/>
        <n v="763914"/>
        <n v="84215"/>
        <n v="670130"/>
        <n v="529962"/>
        <n v="707311"/>
        <n v="879731"/>
        <n v="364239"/>
        <n v="898949"/>
        <n v="834071"/>
        <n v="651668"/>
        <n v="420903"/>
        <n v="379451"/>
        <n v="160354"/>
        <n v="532296"/>
        <n v="79366"/>
        <n v="278882"/>
        <n v="479082"/>
        <n v="472756"/>
        <n v="236821"/>
        <n v="613912"/>
        <n v="898443"/>
        <n v="889384"/>
        <n v="656409"/>
        <n v="810115"/>
        <n v="986442"/>
        <n v="346075"/>
        <n v="751935"/>
        <n v="950185"/>
        <n v="502862"/>
        <n v="133538"/>
        <n v="85835"/>
        <n v="766656"/>
        <n v="251743"/>
        <n v="744688"/>
        <n v="905731"/>
        <n v="541094"/>
        <n v="572636"/>
        <n v="878988"/>
        <n v="569450"/>
        <n v="494778"/>
        <n v="281979"/>
        <n v="806231"/>
        <n v="890934"/>
        <n v="739277"/>
        <n v="860168"/>
        <n v="479379"/>
        <n v="881627"/>
        <n v="737792"/>
        <n v="210474"/>
        <n v="1001289"/>
        <n v="622290"/>
        <n v="661563"/>
        <n v="498446"/>
        <n v="131817"/>
        <n v="684352"/>
        <n v="862860"/>
        <n v="725579"/>
        <n v="640116"/>
        <n v="29432"/>
        <n v="741978"/>
        <n v="740463"/>
        <n v="343636"/>
        <n v="900884"/>
        <n v="520939"/>
        <n v="1007159"/>
        <n v="438526"/>
        <n v="336608"/>
        <n v="191853"/>
        <n v="88678"/>
        <n v="262899"/>
        <n v="844636"/>
        <n v="684289"/>
        <n v="17550"/>
        <n v="930798"/>
        <n v="4788"/>
        <n v="627346"/>
        <n v="393888"/>
        <n v="130677"/>
        <n v="368617"/>
        <n v="544365"/>
        <n v="361632"/>
        <n v="863673"/>
        <n v="628575"/>
        <n v="526212"/>
        <n v="235374"/>
        <n v="745710"/>
        <n v="859096"/>
        <n v="434025"/>
        <n v="773117"/>
        <n v="456952"/>
        <n v="516550"/>
        <n v="507568"/>
        <n v="638677"/>
        <n v="528311"/>
        <n v="996178"/>
        <n v="319971"/>
        <n v="740249"/>
        <n v="925190"/>
        <n v="213133"/>
        <n v="351817"/>
        <n v="82961"/>
        <n v="786202"/>
        <n v="524026"/>
        <n v="25716"/>
        <n v="657510"/>
        <n v="898213"/>
        <n v="135149"/>
        <n v="667540"/>
        <n v="478552"/>
        <n v="776949"/>
        <n v="794219"/>
        <n v="952080"/>
        <n v="352496"/>
        <n v="344510"/>
        <n v="329948"/>
        <n v="313987"/>
        <n v="857213"/>
        <n v="729576"/>
        <n v="923091"/>
        <n v="275148"/>
        <n v="498102"/>
        <n v="463835"/>
        <n v="613326"/>
        <n v="242155"/>
        <n v="232030"/>
        <n v="800859"/>
        <n v="353620"/>
        <n v="60140"/>
        <n v="408569"/>
        <n v="713678"/>
        <n v="912208"/>
        <n v="609082"/>
        <n v="105491"/>
        <n v="692850"/>
        <n v="905221"/>
        <n v="297294"/>
        <n v="289476"/>
        <n v="660805"/>
        <n v="607012"/>
        <n v="929507"/>
        <n v="342113"/>
        <n v="468572"/>
        <n v="665488"/>
        <n v="851841"/>
        <n v="865905"/>
        <n v="317720"/>
        <n v="898634"/>
        <n v="667476"/>
        <n v="797668"/>
        <n v="190699"/>
        <n v="588005"/>
        <n v="265285"/>
        <n v="882104"/>
        <n v="607458"/>
        <n v="498887"/>
        <n v="450004"/>
        <n v="141427"/>
        <n v="213189"/>
        <n v="126584"/>
        <n v="136890"/>
        <n v="456814"/>
        <n v="239809"/>
        <n v="32901"/>
        <n v="608915"/>
        <n v="545478"/>
        <n v="275820"/>
        <n v="865488"/>
        <n v="515908"/>
        <n v="215993"/>
        <n v="569460"/>
        <n v="635443"/>
        <n v="990796"/>
        <n v="232827"/>
        <n v="150099"/>
        <n v="316401"/>
        <n v="94617"/>
        <n v="674259"/>
        <n v="382782"/>
        <n v="561714"/>
        <n v="809633"/>
        <n v="413514"/>
        <n v="735775"/>
        <n v="573347"/>
        <n v="282979"/>
        <n v="660235"/>
        <n v="176858"/>
        <n v="313866"/>
        <n v="818855"/>
        <n v="888364"/>
        <n v="276307"/>
        <n v="409359"/>
        <n v="559916"/>
        <n v="798392"/>
        <n v="300770"/>
        <n v="239746"/>
        <n v="169325"/>
        <n v="857032"/>
        <n v="415385"/>
        <n v="736717"/>
        <n v="922184"/>
        <n v="670108"/>
        <n v="370272"/>
        <n v="610421"/>
        <n v="257303"/>
        <n v="482199"/>
        <n v="148106"/>
        <n v="525392"/>
        <n v="57201"/>
        <n v="797864"/>
        <n v="15470"/>
        <n v="136750"/>
        <n v="418751"/>
        <n v="522107"/>
        <n v="477240"/>
        <n v="665009"/>
        <n v="892241"/>
      </sharedItems>
    </cacheField>
    <cacheField name="product_id" numFmtId="0">
      <sharedItems containsSemiMixedTypes="0" containsString="0" containsNumber="1" containsInteger="1" minValue="46036" maxValue="5134469"/>
    </cacheField>
    <cacheField name="avg_time_to_convert" numFmtId="0">
      <sharedItems containsSemiMixedTypes="0" containsString="0" containsNumber="1" minValue="3606.1" maxValue="12098.5"/>
    </cacheField>
    <cacheField name="Latency Segment" numFmtId="0">
      <sharedItems count="4">
        <s v="Medium"/>
        <s v="Low"/>
        <s v="Very High"/>
        <s v="High"/>
      </sharedItems>
    </cacheField>
    <cacheField name="Campaign ROI" numFmtId="0">
      <sharedItems containsSemiMixedTypes="0" containsString="0" containsNumber="1" containsInteger="1" minValue="50" maxValue="300"/>
    </cacheField>
    <cacheField name="Average time to convert in Hours" numFmtId="0">
      <sharedItems containsSemiMixedTypes="0" containsString="0" containsNumber="1" minValue="1" maxValue="3.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7">
  <r>
    <x v="0"/>
    <n v="48995"/>
    <n v="5041.3333329999996"/>
    <x v="0"/>
    <n v="100"/>
    <n v="1.4"/>
  </r>
  <r>
    <x v="1"/>
    <n v="60692"/>
    <n v="5033.2"/>
    <x v="0"/>
    <n v="100"/>
    <n v="1.4"/>
  </r>
  <r>
    <x v="2"/>
    <n v="317032"/>
    <n v="4312"/>
    <x v="1"/>
    <n v="50"/>
    <n v="1.2"/>
  </r>
  <r>
    <x v="3"/>
    <n v="344968"/>
    <n v="4092.333333"/>
    <x v="1"/>
    <n v="50"/>
    <n v="1.1399999999999999"/>
  </r>
  <r>
    <x v="4"/>
    <n v="891289"/>
    <n v="11246.46667"/>
    <x v="2"/>
    <n v="300"/>
    <n v="3.12"/>
  </r>
  <r>
    <x v="5"/>
    <n v="1109510"/>
    <n v="3755.583333"/>
    <x v="1"/>
    <n v="50"/>
    <n v="1.04"/>
  </r>
  <r>
    <x v="6"/>
    <n v="1178516"/>
    <n v="4764.1666670000004"/>
    <x v="0"/>
    <n v="100"/>
    <n v="1.32"/>
  </r>
  <r>
    <x v="7"/>
    <n v="1208487"/>
    <n v="11275.483329999999"/>
    <x v="2"/>
    <n v="300"/>
    <n v="3.13"/>
  </r>
  <r>
    <x v="8"/>
    <n v="1838487"/>
    <n v="4752.6000000000004"/>
    <x v="0"/>
    <n v="100"/>
    <n v="1.32"/>
  </r>
  <r>
    <x v="9"/>
    <n v="1893188"/>
    <n v="6049.2833330000003"/>
    <x v="0"/>
    <n v="100"/>
    <n v="1.68"/>
  </r>
  <r>
    <x v="10"/>
    <n v="1938055"/>
    <n v="4104.1000000000004"/>
    <x v="1"/>
    <n v="50"/>
    <n v="1.1399999999999999"/>
  </r>
  <r>
    <x v="11"/>
    <n v="1999347"/>
    <n v="5783.4833330000001"/>
    <x v="0"/>
    <n v="100"/>
    <n v="1.61"/>
  </r>
  <r>
    <x v="12"/>
    <n v="2085146"/>
    <n v="3630.166667"/>
    <x v="1"/>
    <n v="50"/>
    <n v="1.01"/>
  </r>
  <r>
    <x v="13"/>
    <n v="2085876"/>
    <n v="6028.2333330000001"/>
    <x v="0"/>
    <n v="100"/>
    <n v="1.67"/>
  </r>
  <r>
    <x v="14"/>
    <n v="2230415"/>
    <n v="3932.9"/>
    <x v="1"/>
    <n v="50"/>
    <n v="1.0900000000000001"/>
  </r>
  <r>
    <x v="15"/>
    <n v="2439940"/>
    <n v="4563.0833329999996"/>
    <x v="0"/>
    <n v="100"/>
    <n v="1.27"/>
  </r>
  <r>
    <x v="16"/>
    <n v="2486727"/>
    <n v="4575.8833329999998"/>
    <x v="0"/>
    <n v="100"/>
    <n v="1.27"/>
  </r>
  <r>
    <x v="17"/>
    <n v="2686209"/>
    <n v="8351.7999999999993"/>
    <x v="3"/>
    <n v="200"/>
    <n v="2.3199999999999998"/>
  </r>
  <r>
    <x v="18"/>
    <n v="2695558"/>
    <n v="4499.8"/>
    <x v="1"/>
    <n v="50"/>
    <n v="1.25"/>
  </r>
  <r>
    <x v="19"/>
    <n v="3073913"/>
    <n v="6126.4166670000004"/>
    <x v="0"/>
    <n v="100"/>
    <n v="1.7"/>
  </r>
  <r>
    <x v="20"/>
    <n v="3116774"/>
    <n v="3974.8166670000001"/>
    <x v="1"/>
    <n v="50"/>
    <n v="1.1000000000000001"/>
  </r>
  <r>
    <x v="21"/>
    <n v="3331987"/>
    <n v="4539.5833329999996"/>
    <x v="0"/>
    <n v="100"/>
    <n v="1.26"/>
  </r>
  <r>
    <x v="22"/>
    <n v="3360324"/>
    <n v="4642.0166669999999"/>
    <x v="0"/>
    <n v="100"/>
    <n v="1.29"/>
  </r>
  <r>
    <x v="23"/>
    <n v="3390839"/>
    <n v="9406.5833330000005"/>
    <x v="3"/>
    <n v="200"/>
    <n v="2.61"/>
  </r>
  <r>
    <x v="24"/>
    <n v="3519195"/>
    <n v="11108.866669999999"/>
    <x v="2"/>
    <n v="300"/>
    <n v="3.09"/>
  </r>
  <r>
    <x v="25"/>
    <n v="3754882"/>
    <n v="3828.5"/>
    <x v="1"/>
    <n v="50"/>
    <n v="1.06"/>
  </r>
  <r>
    <x v="26"/>
    <n v="3915717"/>
    <n v="4981.1833329999999"/>
    <x v="0"/>
    <n v="100"/>
    <n v="1.38"/>
  </r>
  <r>
    <x v="27"/>
    <n v="3917476"/>
    <n v="3692.2166670000001"/>
    <x v="1"/>
    <n v="50"/>
    <n v="1.03"/>
  </r>
  <r>
    <x v="28"/>
    <n v="4159294"/>
    <n v="3957.9666670000001"/>
    <x v="1"/>
    <n v="50"/>
    <n v="1.1000000000000001"/>
  </r>
  <r>
    <x v="29"/>
    <n v="4244755"/>
    <n v="5536.3166670000001"/>
    <x v="0"/>
    <n v="100"/>
    <n v="1.54"/>
  </r>
  <r>
    <x v="30"/>
    <n v="4480532"/>
    <n v="5589.3333329999996"/>
    <x v="0"/>
    <n v="100"/>
    <n v="1.55"/>
  </r>
  <r>
    <x v="31"/>
    <n v="4664121"/>
    <n v="5507"/>
    <x v="0"/>
    <n v="100"/>
    <n v="1.53"/>
  </r>
  <r>
    <x v="32"/>
    <n v="4722735"/>
    <n v="5901.0666670000001"/>
    <x v="0"/>
    <n v="100"/>
    <n v="1.64"/>
  </r>
  <r>
    <x v="33"/>
    <n v="4793721"/>
    <n v="5807.6"/>
    <x v="0"/>
    <n v="100"/>
    <n v="1.61"/>
  </r>
  <r>
    <x v="34"/>
    <n v="4854978"/>
    <n v="5100.05"/>
    <x v="0"/>
    <n v="100"/>
    <n v="1.42"/>
  </r>
  <r>
    <x v="35"/>
    <n v="141316"/>
    <n v="7320.7"/>
    <x v="0"/>
    <n v="100"/>
    <n v="2.0299999999999998"/>
  </r>
  <r>
    <x v="36"/>
    <n v="279673"/>
    <n v="8178.45"/>
    <x v="3"/>
    <n v="200"/>
    <n v="2.27"/>
  </r>
  <r>
    <x v="37"/>
    <n v="306257"/>
    <n v="4561.9833330000001"/>
    <x v="0"/>
    <n v="100"/>
    <n v="1.27"/>
  </r>
  <r>
    <x v="38"/>
    <n v="307882"/>
    <n v="7543.9333329999999"/>
    <x v="3"/>
    <n v="200"/>
    <n v="2.1"/>
  </r>
  <r>
    <x v="39"/>
    <n v="414618"/>
    <n v="4319.7"/>
    <x v="1"/>
    <n v="50"/>
    <n v="1.2"/>
  </r>
  <r>
    <x v="40"/>
    <n v="977627"/>
    <n v="5851.2666669999999"/>
    <x v="0"/>
    <n v="100"/>
    <n v="1.63"/>
  </r>
  <r>
    <x v="41"/>
    <n v="1048796"/>
    <n v="5754.6"/>
    <x v="0"/>
    <n v="100"/>
    <n v="1.6"/>
  </r>
  <r>
    <x v="42"/>
    <n v="1079981"/>
    <n v="8514.0166669999999"/>
    <x v="3"/>
    <n v="200"/>
    <n v="2.37"/>
  </r>
  <r>
    <x v="43"/>
    <n v="1093361"/>
    <n v="5274.2166669999997"/>
    <x v="0"/>
    <n v="100"/>
    <n v="1.47"/>
  </r>
  <r>
    <x v="44"/>
    <n v="1398644"/>
    <n v="7796.4"/>
    <x v="3"/>
    <n v="200"/>
    <n v="2.17"/>
  </r>
  <r>
    <x v="45"/>
    <n v="1446825"/>
    <n v="4146.8666670000002"/>
    <x v="1"/>
    <n v="50"/>
    <n v="1.1499999999999999"/>
  </r>
  <r>
    <x v="46"/>
    <n v="1719847"/>
    <n v="7151.7166669999997"/>
    <x v="0"/>
    <n v="100"/>
    <n v="1.99"/>
  </r>
  <r>
    <x v="47"/>
    <n v="1906137"/>
    <n v="10134.166670000001"/>
    <x v="2"/>
    <n v="300"/>
    <n v="2.82"/>
  </r>
  <r>
    <x v="48"/>
    <n v="1924632"/>
    <n v="5730.9166670000004"/>
    <x v="0"/>
    <n v="100"/>
    <n v="1.59"/>
  </r>
  <r>
    <x v="49"/>
    <n v="2286244"/>
    <n v="5247.35"/>
    <x v="0"/>
    <n v="100"/>
    <n v="1.46"/>
  </r>
  <r>
    <x v="50"/>
    <n v="2419802"/>
    <n v="5474.7833330000003"/>
    <x v="0"/>
    <n v="100"/>
    <n v="1.52"/>
  </r>
  <r>
    <x v="51"/>
    <n v="2474309"/>
    <n v="4429.6000000000004"/>
    <x v="1"/>
    <n v="50"/>
    <n v="1.23"/>
  </r>
  <r>
    <x v="52"/>
    <n v="2477034"/>
    <n v="4954.05"/>
    <x v="0"/>
    <n v="100"/>
    <n v="1.38"/>
  </r>
  <r>
    <x v="53"/>
    <n v="2550832"/>
    <n v="4007.85"/>
    <x v="1"/>
    <n v="50"/>
    <n v="1.1100000000000001"/>
  </r>
  <r>
    <x v="54"/>
    <n v="2568927"/>
    <n v="6296.2166669999997"/>
    <x v="0"/>
    <n v="100"/>
    <n v="1.75"/>
  </r>
  <r>
    <x v="55"/>
    <n v="2667881"/>
    <n v="6276.1333329999998"/>
    <x v="0"/>
    <n v="100"/>
    <n v="1.74"/>
  </r>
  <r>
    <x v="56"/>
    <n v="2808350"/>
    <n v="7040.05"/>
    <x v="0"/>
    <n v="100"/>
    <n v="1.96"/>
  </r>
  <r>
    <x v="57"/>
    <n v="2838066"/>
    <n v="3649.2666669999999"/>
    <x v="1"/>
    <n v="50"/>
    <n v="1.01"/>
  </r>
  <r>
    <x v="58"/>
    <n v="3050899"/>
    <n v="4275.3333334999998"/>
    <x v="1"/>
    <n v="50"/>
    <n v="1.19"/>
  </r>
  <r>
    <x v="59"/>
    <n v="3160591"/>
    <n v="3878.65"/>
    <x v="1"/>
    <n v="50"/>
    <n v="1.08"/>
  </r>
  <r>
    <x v="60"/>
    <n v="3338488"/>
    <n v="6396.8"/>
    <x v="0"/>
    <n v="100"/>
    <n v="1.78"/>
  </r>
  <r>
    <x v="61"/>
    <n v="3404238"/>
    <n v="4589.6333329999998"/>
    <x v="0"/>
    <n v="100"/>
    <n v="1.27"/>
  </r>
  <r>
    <x v="62"/>
    <n v="3581985"/>
    <n v="5051.4166670000004"/>
    <x v="0"/>
    <n v="100"/>
    <n v="1.4"/>
  </r>
  <r>
    <x v="63"/>
    <n v="3621263"/>
    <n v="11737.333329999999"/>
    <x v="2"/>
    <n v="300"/>
    <n v="3.26"/>
  </r>
  <r>
    <x v="64"/>
    <n v="3944994"/>
    <n v="4294.2833330000003"/>
    <x v="1"/>
    <n v="50"/>
    <n v="1.19"/>
  </r>
  <r>
    <x v="65"/>
    <n v="4109915"/>
    <n v="4473.7166669999997"/>
    <x v="1"/>
    <n v="50"/>
    <n v="1.24"/>
  </r>
  <r>
    <x v="66"/>
    <n v="4166760"/>
    <n v="7823.4333329999999"/>
    <x v="3"/>
    <n v="200"/>
    <n v="2.17"/>
  </r>
  <r>
    <x v="67"/>
    <n v="4333153"/>
    <n v="4733.8833329999998"/>
    <x v="0"/>
    <n v="100"/>
    <n v="1.31"/>
  </r>
  <r>
    <x v="68"/>
    <n v="4511447"/>
    <n v="5754.5666670000001"/>
    <x v="0"/>
    <n v="100"/>
    <n v="1.6"/>
  </r>
  <r>
    <x v="69"/>
    <n v="4530417"/>
    <n v="5197.9166670000004"/>
    <x v="0"/>
    <n v="100"/>
    <n v="1.44"/>
  </r>
  <r>
    <x v="70"/>
    <n v="4626061"/>
    <n v="8635.5499999999993"/>
    <x v="3"/>
    <n v="200"/>
    <n v="2.4"/>
  </r>
  <r>
    <x v="71"/>
    <n v="4630891"/>
    <n v="10035.18333"/>
    <x v="2"/>
    <n v="300"/>
    <n v="2.79"/>
  </r>
  <r>
    <x v="72"/>
    <n v="4732163"/>
    <n v="6631.5833329999996"/>
    <x v="0"/>
    <n v="100"/>
    <n v="1.84"/>
  </r>
  <r>
    <x v="73"/>
    <n v="4870782"/>
    <n v="4189.9333329999999"/>
    <x v="1"/>
    <n v="50"/>
    <n v="1.1599999999999999"/>
  </r>
  <r>
    <x v="74"/>
    <n v="4956274"/>
    <n v="3861.65"/>
    <x v="1"/>
    <n v="50"/>
    <n v="1.07"/>
  </r>
  <r>
    <x v="75"/>
    <n v="4975727"/>
    <n v="4402.1333329999998"/>
    <x v="1"/>
    <n v="50"/>
    <n v="1.22"/>
  </r>
  <r>
    <x v="76"/>
    <n v="5063985"/>
    <n v="4525.45"/>
    <x v="0"/>
    <n v="100"/>
    <n v="1.26"/>
  </r>
  <r>
    <x v="77"/>
    <n v="113654"/>
    <n v="6623.6833329999999"/>
    <x v="0"/>
    <n v="100"/>
    <n v="1.84"/>
  </r>
  <r>
    <x v="78"/>
    <n v="137349"/>
    <n v="5256.5166669999999"/>
    <x v="0"/>
    <n v="100"/>
    <n v="1.46"/>
  </r>
  <r>
    <x v="79"/>
    <n v="141261"/>
    <n v="5583.6333329999998"/>
    <x v="0"/>
    <n v="100"/>
    <n v="1.55"/>
  </r>
  <r>
    <x v="80"/>
    <n v="170410"/>
    <n v="4729.1166670000002"/>
    <x v="0"/>
    <n v="100"/>
    <n v="1.31"/>
  </r>
  <r>
    <x v="81"/>
    <n v="360764"/>
    <n v="3786.15"/>
    <x v="1"/>
    <n v="50"/>
    <n v="1.05"/>
  </r>
  <r>
    <x v="82"/>
    <n v="485394"/>
    <n v="7441.1166670000002"/>
    <x v="0"/>
    <n v="100"/>
    <n v="2.0699999999999998"/>
  </r>
  <r>
    <x v="83"/>
    <n v="594265"/>
    <n v="4265.95"/>
    <x v="1"/>
    <n v="50"/>
    <n v="1.18"/>
  </r>
  <r>
    <x v="84"/>
    <n v="600756"/>
    <n v="5036"/>
    <x v="0"/>
    <n v="100"/>
    <n v="1.4"/>
  </r>
  <r>
    <x v="85"/>
    <n v="687713"/>
    <n v="3784.85"/>
    <x v="1"/>
    <n v="50"/>
    <n v="1.05"/>
  </r>
  <r>
    <x v="86"/>
    <n v="729565"/>
    <n v="3851.7333330000001"/>
    <x v="1"/>
    <n v="50"/>
    <n v="1.07"/>
  </r>
  <r>
    <x v="87"/>
    <n v="855362"/>
    <n v="9058.6166670000002"/>
    <x v="3"/>
    <n v="200"/>
    <n v="2.52"/>
  </r>
  <r>
    <x v="88"/>
    <n v="929062"/>
    <n v="4161.9166670000004"/>
    <x v="1"/>
    <n v="50"/>
    <n v="1.1599999999999999"/>
  </r>
  <r>
    <x v="89"/>
    <n v="1223421"/>
    <n v="3776.6750001665"/>
    <x v="1"/>
    <n v="50"/>
    <n v="1.05"/>
  </r>
  <r>
    <x v="90"/>
    <n v="1635672"/>
    <n v="9847.0833330000005"/>
    <x v="3"/>
    <n v="200"/>
    <n v="2.74"/>
  </r>
  <r>
    <x v="91"/>
    <n v="1662406"/>
    <n v="3623.2583331649998"/>
    <x v="1"/>
    <n v="50"/>
    <n v="1.01"/>
  </r>
  <r>
    <x v="92"/>
    <n v="1733671"/>
    <n v="3951.2"/>
    <x v="1"/>
    <n v="50"/>
    <n v="1.1000000000000001"/>
  </r>
  <r>
    <x v="93"/>
    <n v="1879957"/>
    <n v="10243.93333"/>
    <x v="2"/>
    <n v="300"/>
    <n v="2.85"/>
  </r>
  <r>
    <x v="94"/>
    <n v="1976795"/>
    <n v="4372.1833329999999"/>
    <x v="1"/>
    <n v="50"/>
    <n v="1.21"/>
  </r>
  <r>
    <x v="95"/>
    <n v="2087705"/>
    <n v="3945.6"/>
    <x v="1"/>
    <n v="50"/>
    <n v="1.1000000000000001"/>
  </r>
  <r>
    <x v="96"/>
    <n v="2090774"/>
    <n v="4334.6333329999998"/>
    <x v="1"/>
    <n v="50"/>
    <n v="1.2"/>
  </r>
  <r>
    <x v="97"/>
    <n v="2390372"/>
    <n v="7363.6666670000004"/>
    <x v="0"/>
    <n v="100"/>
    <n v="2.0499999999999998"/>
  </r>
  <r>
    <x v="98"/>
    <n v="2398776"/>
    <n v="8384.7166670000006"/>
    <x v="3"/>
    <n v="200"/>
    <n v="2.33"/>
  </r>
  <r>
    <x v="99"/>
    <n v="2432123"/>
    <n v="4604.8999999999996"/>
    <x v="0"/>
    <n v="100"/>
    <n v="1.28"/>
  </r>
  <r>
    <x v="100"/>
    <n v="2593106"/>
    <n v="5404.1333329999998"/>
    <x v="0"/>
    <n v="100"/>
    <n v="1.5"/>
  </r>
  <r>
    <x v="101"/>
    <n v="2601131"/>
    <n v="8688.2166670000006"/>
    <x v="3"/>
    <n v="200"/>
    <n v="2.41"/>
  </r>
  <r>
    <x v="102"/>
    <n v="2900928"/>
    <n v="5240.8500000000004"/>
    <x v="0"/>
    <n v="100"/>
    <n v="1.46"/>
  </r>
  <r>
    <x v="103"/>
    <n v="2964774"/>
    <n v="3854.7666669999999"/>
    <x v="1"/>
    <n v="50"/>
    <n v="1.07"/>
  </r>
  <r>
    <x v="104"/>
    <n v="3106693"/>
    <n v="4231.6666670000004"/>
    <x v="1"/>
    <n v="50"/>
    <n v="1.18"/>
  </r>
  <r>
    <x v="105"/>
    <n v="3135672"/>
    <n v="3660.0166669999999"/>
    <x v="1"/>
    <n v="50"/>
    <n v="1.02"/>
  </r>
  <r>
    <x v="106"/>
    <n v="3162715"/>
    <n v="5709.4333329999999"/>
    <x v="0"/>
    <n v="100"/>
    <n v="1.59"/>
  </r>
  <r>
    <x v="107"/>
    <n v="3183664"/>
    <n v="4495.9333329999999"/>
    <x v="1"/>
    <n v="50"/>
    <n v="1.25"/>
  </r>
  <r>
    <x v="108"/>
    <n v="3199921"/>
    <n v="4232.7333330000001"/>
    <x v="1"/>
    <n v="50"/>
    <n v="1.18"/>
  </r>
  <r>
    <x v="109"/>
    <n v="3212227"/>
    <n v="8598.9666670000006"/>
    <x v="3"/>
    <n v="200"/>
    <n v="2.39"/>
  </r>
  <r>
    <x v="110"/>
    <n v="3636143"/>
    <n v="4575.8500000000004"/>
    <x v="0"/>
    <n v="100"/>
    <n v="1.27"/>
  </r>
  <r>
    <x v="111"/>
    <n v="3807774"/>
    <n v="8134.7166669999997"/>
    <x v="3"/>
    <n v="200"/>
    <n v="2.2599999999999998"/>
  </r>
  <r>
    <x v="112"/>
    <n v="3986887"/>
    <n v="6223.7833330000003"/>
    <x v="0"/>
    <n v="100"/>
    <n v="1.73"/>
  </r>
  <r>
    <x v="113"/>
    <n v="4229099"/>
    <n v="6875.7833330000003"/>
    <x v="0"/>
    <n v="100"/>
    <n v="1.91"/>
  </r>
  <r>
    <x v="114"/>
    <n v="4284073"/>
    <n v="4310.0833329999996"/>
    <x v="1"/>
    <n v="50"/>
    <n v="1.2"/>
  </r>
  <r>
    <x v="115"/>
    <n v="4404671"/>
    <n v="5269.3666670000002"/>
    <x v="0"/>
    <n v="100"/>
    <n v="1.46"/>
  </r>
  <r>
    <x v="116"/>
    <n v="4501890"/>
    <n v="4778.4666669999997"/>
    <x v="0"/>
    <n v="100"/>
    <n v="1.33"/>
  </r>
  <r>
    <x v="117"/>
    <n v="4599506"/>
    <n v="5970.95"/>
    <x v="0"/>
    <n v="100"/>
    <n v="1.66"/>
  </r>
  <r>
    <x v="118"/>
    <n v="4732163"/>
    <n v="4191.7666669999999"/>
    <x v="1"/>
    <n v="50"/>
    <n v="1.1599999999999999"/>
  </r>
  <r>
    <x v="119"/>
    <n v="4749751"/>
    <n v="8358.5"/>
    <x v="3"/>
    <n v="200"/>
    <n v="2.3199999999999998"/>
  </r>
  <r>
    <x v="120"/>
    <n v="5041055"/>
    <n v="5123.55"/>
    <x v="0"/>
    <n v="100"/>
    <n v="1.42"/>
  </r>
  <r>
    <x v="121"/>
    <n v="46036"/>
    <n v="10487.81667"/>
    <x v="2"/>
    <n v="300"/>
    <n v="2.91"/>
  </r>
  <r>
    <x v="122"/>
    <n v="52115"/>
    <n v="4553.0999998335001"/>
    <x v="0"/>
    <n v="100"/>
    <n v="1.26"/>
  </r>
  <r>
    <x v="123"/>
    <n v="134901"/>
    <n v="6388.7333330000001"/>
    <x v="0"/>
    <n v="100"/>
    <n v="1.77"/>
  </r>
  <r>
    <x v="124"/>
    <n v="276335"/>
    <n v="4948.0333330000003"/>
    <x v="0"/>
    <n v="100"/>
    <n v="1.37"/>
  </r>
  <r>
    <x v="125"/>
    <n v="301616"/>
    <n v="7877.1833329999999"/>
    <x v="3"/>
    <n v="200"/>
    <n v="2.19"/>
  </r>
  <r>
    <x v="126"/>
    <n v="547789"/>
    <n v="8215.25"/>
    <x v="3"/>
    <n v="200"/>
    <n v="2.2799999999999998"/>
  </r>
  <r>
    <x v="127"/>
    <n v="791378"/>
    <n v="10434.366669999999"/>
    <x v="2"/>
    <n v="300"/>
    <n v="2.9"/>
  </r>
  <r>
    <x v="128"/>
    <n v="1040073"/>
    <n v="4459.7833330000003"/>
    <x v="1"/>
    <n v="50"/>
    <n v="1.24"/>
  </r>
  <r>
    <x v="129"/>
    <n v="1114616"/>
    <n v="4806.3833334999999"/>
    <x v="0"/>
    <n v="100"/>
    <n v="1.34"/>
  </r>
  <r>
    <x v="130"/>
    <n v="1140618"/>
    <n v="4552.9666669999997"/>
    <x v="0"/>
    <n v="100"/>
    <n v="1.26"/>
  </r>
  <r>
    <x v="131"/>
    <n v="1383842"/>
    <n v="4236.75"/>
    <x v="1"/>
    <n v="50"/>
    <n v="1.18"/>
  </r>
  <r>
    <x v="132"/>
    <n v="1489984"/>
    <n v="5788.65"/>
    <x v="0"/>
    <n v="100"/>
    <n v="1.61"/>
  </r>
  <r>
    <x v="133"/>
    <n v="2051155"/>
    <n v="10674.3"/>
    <x v="2"/>
    <n v="300"/>
    <n v="2.97"/>
  </r>
  <r>
    <x v="134"/>
    <n v="2055733"/>
    <n v="6225.9"/>
    <x v="0"/>
    <n v="100"/>
    <n v="1.73"/>
  </r>
  <r>
    <x v="135"/>
    <n v="2101968"/>
    <n v="5874.0333330000003"/>
    <x v="0"/>
    <n v="100"/>
    <n v="1.63"/>
  </r>
  <r>
    <x v="136"/>
    <n v="2386066"/>
    <n v="3915.3"/>
    <x v="1"/>
    <n v="50"/>
    <n v="1.0900000000000001"/>
  </r>
  <r>
    <x v="137"/>
    <n v="2437517"/>
    <n v="5076.2666669999999"/>
    <x v="0"/>
    <n v="100"/>
    <n v="1.41"/>
  </r>
  <r>
    <x v="138"/>
    <n v="2468309"/>
    <n v="11004.083329999999"/>
    <x v="2"/>
    <n v="300"/>
    <n v="3.06"/>
  </r>
  <r>
    <x v="139"/>
    <n v="2523453"/>
    <n v="5801.8333329999996"/>
    <x v="0"/>
    <n v="100"/>
    <n v="1.61"/>
  </r>
  <r>
    <x v="140"/>
    <n v="2572863"/>
    <n v="4517.0166669999999"/>
    <x v="0"/>
    <n v="100"/>
    <n v="1.25"/>
  </r>
  <r>
    <x v="141"/>
    <n v="2911060"/>
    <n v="9303"/>
    <x v="3"/>
    <n v="200"/>
    <n v="2.58"/>
  </r>
  <r>
    <x v="142"/>
    <n v="3087961"/>
    <n v="10306.799999999999"/>
    <x v="2"/>
    <n v="300"/>
    <n v="2.86"/>
  </r>
  <r>
    <x v="143"/>
    <n v="3293923"/>
    <n v="8903.6166670000002"/>
    <x v="3"/>
    <n v="200"/>
    <n v="2.4700000000000002"/>
  </r>
  <r>
    <x v="144"/>
    <n v="3332457"/>
    <n v="8601.1166670000002"/>
    <x v="3"/>
    <n v="200"/>
    <n v="2.39"/>
  </r>
  <r>
    <x v="145"/>
    <n v="3428766"/>
    <n v="4277.1499999999996"/>
    <x v="1"/>
    <n v="50"/>
    <n v="1.19"/>
  </r>
  <r>
    <x v="146"/>
    <n v="3560918"/>
    <n v="7093.25"/>
    <x v="0"/>
    <n v="100"/>
    <n v="1.97"/>
  </r>
  <r>
    <x v="147"/>
    <n v="3608407"/>
    <n v="5396.5333330000003"/>
    <x v="0"/>
    <n v="100"/>
    <n v="1.5"/>
  </r>
  <r>
    <x v="148"/>
    <n v="3664207"/>
    <n v="7179.55"/>
    <x v="0"/>
    <n v="100"/>
    <n v="1.99"/>
  </r>
  <r>
    <x v="149"/>
    <n v="3669021"/>
    <n v="4732.2833330000003"/>
    <x v="0"/>
    <n v="100"/>
    <n v="1.31"/>
  </r>
  <r>
    <x v="150"/>
    <n v="3685189"/>
    <n v="8032.3166670000001"/>
    <x v="3"/>
    <n v="200"/>
    <n v="2.23"/>
  </r>
  <r>
    <x v="151"/>
    <n v="3710116"/>
    <n v="5392.25"/>
    <x v="0"/>
    <n v="100"/>
    <n v="1.5"/>
  </r>
  <r>
    <x v="152"/>
    <n v="3717378"/>
    <n v="5085.6666670000004"/>
    <x v="0"/>
    <n v="100"/>
    <n v="1.41"/>
  </r>
  <r>
    <x v="153"/>
    <n v="3878985"/>
    <n v="6055.1"/>
    <x v="0"/>
    <n v="100"/>
    <n v="1.68"/>
  </r>
  <r>
    <x v="154"/>
    <n v="4024409"/>
    <n v="5567.7333330000001"/>
    <x v="0"/>
    <n v="100"/>
    <n v="1.55"/>
  </r>
  <r>
    <x v="155"/>
    <n v="4203292"/>
    <n v="9674.4333330000009"/>
    <x v="3"/>
    <n v="200"/>
    <n v="2.69"/>
  </r>
  <r>
    <x v="156"/>
    <n v="4299390"/>
    <n v="5063.5333330000003"/>
    <x v="0"/>
    <n v="100"/>
    <n v="1.41"/>
  </r>
  <r>
    <x v="157"/>
    <n v="4344039"/>
    <n v="3618.7833331665001"/>
    <x v="1"/>
    <n v="50"/>
    <n v="1.01"/>
  </r>
  <r>
    <x v="158"/>
    <n v="4549308"/>
    <n v="5811.2666669999999"/>
    <x v="0"/>
    <n v="100"/>
    <n v="1.61"/>
  </r>
  <r>
    <x v="159"/>
    <n v="4595865"/>
    <n v="4644.0833329999996"/>
    <x v="0"/>
    <n v="100"/>
    <n v="1.29"/>
  </r>
  <r>
    <x v="160"/>
    <n v="4604158"/>
    <n v="4375.4333329999999"/>
    <x v="1"/>
    <n v="50"/>
    <n v="1.22"/>
  </r>
  <r>
    <x v="161"/>
    <n v="4745036"/>
    <n v="4299.5"/>
    <x v="1"/>
    <n v="50"/>
    <n v="1.19"/>
  </r>
  <r>
    <x v="162"/>
    <n v="4828777"/>
    <n v="5264.15"/>
    <x v="0"/>
    <n v="100"/>
    <n v="1.46"/>
  </r>
  <r>
    <x v="163"/>
    <n v="4881681"/>
    <n v="5721.7"/>
    <x v="0"/>
    <n v="100"/>
    <n v="1.59"/>
  </r>
  <r>
    <x v="164"/>
    <n v="5086213"/>
    <n v="12098.5"/>
    <x v="2"/>
    <n v="300"/>
    <n v="3.36"/>
  </r>
  <r>
    <x v="165"/>
    <n v="479452"/>
    <n v="9141.3166669999991"/>
    <x v="3"/>
    <n v="200"/>
    <n v="2.54"/>
  </r>
  <r>
    <x v="166"/>
    <n v="688991"/>
    <n v="6077.3666670000002"/>
    <x v="0"/>
    <n v="100"/>
    <n v="1.69"/>
  </r>
  <r>
    <x v="167"/>
    <n v="751298"/>
    <n v="6916.45"/>
    <x v="0"/>
    <n v="100"/>
    <n v="1.92"/>
  </r>
  <r>
    <x v="168"/>
    <n v="1117064"/>
    <n v="4512.95"/>
    <x v="0"/>
    <n v="100"/>
    <n v="1.25"/>
  </r>
  <r>
    <x v="169"/>
    <n v="1131491"/>
    <n v="5735.0166669999999"/>
    <x v="0"/>
    <n v="100"/>
    <n v="1.59"/>
  </r>
  <r>
    <x v="170"/>
    <n v="1419645"/>
    <n v="6437.8833329999998"/>
    <x v="0"/>
    <n v="100"/>
    <n v="1.79"/>
  </r>
  <r>
    <x v="171"/>
    <n v="1486733"/>
    <n v="5642.9833330000001"/>
    <x v="0"/>
    <n v="100"/>
    <n v="1.57"/>
  </r>
  <r>
    <x v="172"/>
    <n v="1552558"/>
    <n v="3846.25"/>
    <x v="1"/>
    <n v="50"/>
    <n v="1.07"/>
  </r>
  <r>
    <x v="173"/>
    <n v="1653667"/>
    <n v="4868.8666670000002"/>
    <x v="0"/>
    <n v="100"/>
    <n v="1.35"/>
  </r>
  <r>
    <x v="174"/>
    <n v="1677003"/>
    <n v="9558.6166670000002"/>
    <x v="3"/>
    <n v="200"/>
    <n v="2.66"/>
  </r>
  <r>
    <x v="175"/>
    <n v="1837383"/>
    <n v="3937.666667"/>
    <x v="1"/>
    <n v="50"/>
    <n v="1.0900000000000001"/>
  </r>
  <r>
    <x v="176"/>
    <n v="1944987"/>
    <n v="4177.2833330000003"/>
    <x v="1"/>
    <n v="50"/>
    <n v="1.1599999999999999"/>
  </r>
  <r>
    <x v="177"/>
    <n v="2047347"/>
    <n v="4555.3666670000002"/>
    <x v="0"/>
    <n v="100"/>
    <n v="1.27"/>
  </r>
  <r>
    <x v="178"/>
    <n v="2210026"/>
    <n v="5725.1333329999998"/>
    <x v="0"/>
    <n v="100"/>
    <n v="1.59"/>
  </r>
  <r>
    <x v="179"/>
    <n v="2267659"/>
    <n v="4378.9833330000001"/>
    <x v="1"/>
    <n v="50"/>
    <n v="1.22"/>
  </r>
  <r>
    <x v="180"/>
    <n v="2284656"/>
    <n v="4994.9666669999997"/>
    <x v="0"/>
    <n v="100"/>
    <n v="1.39"/>
  </r>
  <r>
    <x v="181"/>
    <n v="2402579"/>
    <n v="5783.6166670000002"/>
    <x v="0"/>
    <n v="100"/>
    <n v="1.61"/>
  </r>
  <r>
    <x v="182"/>
    <n v="2425879"/>
    <n v="3692"/>
    <x v="1"/>
    <n v="50"/>
    <n v="1.03"/>
  </r>
  <r>
    <x v="183"/>
    <n v="2492961"/>
    <n v="6107.5166669999999"/>
    <x v="0"/>
    <n v="100"/>
    <n v="1.7"/>
  </r>
  <r>
    <x v="184"/>
    <n v="2529000"/>
    <n v="6207.6"/>
    <x v="0"/>
    <n v="100"/>
    <n v="1.72"/>
  </r>
  <r>
    <x v="185"/>
    <n v="2639048"/>
    <n v="4513.5166669999999"/>
    <x v="0"/>
    <n v="100"/>
    <n v="1.25"/>
  </r>
  <r>
    <x v="186"/>
    <n v="2933834"/>
    <n v="4391.6166670000002"/>
    <x v="1"/>
    <n v="50"/>
    <n v="1.22"/>
  </r>
  <r>
    <x v="187"/>
    <n v="3151670"/>
    <n v="4251.2"/>
    <x v="1"/>
    <n v="50"/>
    <n v="1.18"/>
  </r>
  <r>
    <x v="188"/>
    <n v="3328486"/>
    <n v="7603.5166669999999"/>
    <x v="3"/>
    <n v="200"/>
    <n v="2.11"/>
  </r>
  <r>
    <x v="189"/>
    <n v="3481591"/>
    <n v="7665.55"/>
    <x v="3"/>
    <n v="200"/>
    <n v="2.13"/>
  </r>
  <r>
    <x v="190"/>
    <n v="3997260"/>
    <n v="4340.4166670000004"/>
    <x v="1"/>
    <n v="50"/>
    <n v="1.21"/>
  </r>
  <r>
    <x v="191"/>
    <n v="4204018"/>
    <n v="5034.1499999999996"/>
    <x v="0"/>
    <n v="100"/>
    <n v="1.4"/>
  </r>
  <r>
    <x v="192"/>
    <n v="4226017"/>
    <n v="4775.55"/>
    <x v="0"/>
    <n v="100"/>
    <n v="1.33"/>
  </r>
  <r>
    <x v="193"/>
    <n v="4293745"/>
    <n v="5096.3166670000001"/>
    <x v="0"/>
    <n v="100"/>
    <n v="1.42"/>
  </r>
  <r>
    <x v="194"/>
    <n v="4337209"/>
    <n v="4453.0833329999996"/>
    <x v="1"/>
    <n v="50"/>
    <n v="1.24"/>
  </r>
  <r>
    <x v="195"/>
    <n v="4360096"/>
    <n v="4784.6499999999996"/>
    <x v="0"/>
    <n v="100"/>
    <n v="1.33"/>
  </r>
  <r>
    <x v="196"/>
    <n v="4370251"/>
    <n v="4020.2916664999998"/>
    <x v="1"/>
    <n v="50"/>
    <n v="1.1200000000000001"/>
  </r>
  <r>
    <x v="197"/>
    <n v="4463389"/>
    <n v="6053.8666670000002"/>
    <x v="0"/>
    <n v="100"/>
    <n v="1.68"/>
  </r>
  <r>
    <x v="198"/>
    <n v="4512654"/>
    <n v="4949.8"/>
    <x v="0"/>
    <n v="100"/>
    <n v="1.37"/>
  </r>
  <r>
    <x v="199"/>
    <n v="4576241"/>
    <n v="4679.9333329999999"/>
    <x v="0"/>
    <n v="100"/>
    <n v="1.3"/>
  </r>
  <r>
    <x v="200"/>
    <n v="4689827"/>
    <n v="4421.4333329999999"/>
    <x v="1"/>
    <n v="50"/>
    <n v="1.23"/>
  </r>
  <r>
    <x v="201"/>
    <n v="4718133"/>
    <n v="6613.5166669999999"/>
    <x v="0"/>
    <n v="100"/>
    <n v="1.84"/>
  </r>
  <r>
    <x v="202"/>
    <n v="4740109"/>
    <n v="7532.1666670000004"/>
    <x v="3"/>
    <n v="200"/>
    <n v="2.09"/>
  </r>
  <r>
    <x v="203"/>
    <n v="4747566"/>
    <n v="5827.1333329999998"/>
    <x v="0"/>
    <n v="100"/>
    <n v="1.62"/>
  </r>
  <r>
    <x v="204"/>
    <n v="4836094"/>
    <n v="3849.54444333333"/>
    <x v="1"/>
    <n v="50"/>
    <n v="1.07"/>
  </r>
  <r>
    <x v="205"/>
    <n v="5044199"/>
    <n v="5404.7333330000001"/>
    <x v="0"/>
    <n v="100"/>
    <n v="1.5"/>
  </r>
  <r>
    <x v="206"/>
    <n v="218533"/>
    <n v="6581.9333329999999"/>
    <x v="0"/>
    <n v="100"/>
    <n v="1.83"/>
  </r>
  <r>
    <x v="207"/>
    <n v="224835"/>
    <n v="4635.9833330000001"/>
    <x v="0"/>
    <n v="100"/>
    <n v="1.29"/>
  </r>
  <r>
    <x v="208"/>
    <n v="232491"/>
    <n v="7993.9833330000001"/>
    <x v="3"/>
    <n v="200"/>
    <n v="2.2200000000000002"/>
  </r>
  <r>
    <x v="209"/>
    <n v="329023"/>
    <n v="4205.3999999999996"/>
    <x v="1"/>
    <n v="50"/>
    <n v="1.17"/>
  </r>
  <r>
    <x v="210"/>
    <n v="401681"/>
    <n v="5543.4333329999999"/>
    <x v="0"/>
    <n v="100"/>
    <n v="1.54"/>
  </r>
  <r>
    <x v="211"/>
    <n v="423109"/>
    <n v="3610.5916665"/>
    <x v="1"/>
    <n v="50"/>
    <n v="1"/>
  </r>
  <r>
    <x v="212"/>
    <n v="700302"/>
    <n v="5650.3833329999998"/>
    <x v="0"/>
    <n v="100"/>
    <n v="1.57"/>
  </r>
  <r>
    <x v="213"/>
    <n v="980696"/>
    <n v="4178.1333329999998"/>
    <x v="1"/>
    <n v="50"/>
    <n v="1.1599999999999999"/>
  </r>
  <r>
    <x v="214"/>
    <n v="1057022"/>
    <n v="3606.1"/>
    <x v="1"/>
    <n v="50"/>
    <n v="1"/>
  </r>
  <r>
    <x v="215"/>
    <n v="1233295"/>
    <n v="4319.3833329999998"/>
    <x v="1"/>
    <n v="50"/>
    <n v="1.2"/>
  </r>
  <r>
    <x v="216"/>
    <n v="1763248"/>
    <n v="8889.2999999999993"/>
    <x v="3"/>
    <n v="200"/>
    <n v="2.4700000000000002"/>
  </r>
  <r>
    <x v="217"/>
    <n v="1856676"/>
    <n v="8322.9"/>
    <x v="3"/>
    <n v="200"/>
    <n v="2.31"/>
  </r>
  <r>
    <x v="218"/>
    <n v="1951907"/>
    <n v="9416.4666670000006"/>
    <x v="3"/>
    <n v="200"/>
    <n v="2.62"/>
  </r>
  <r>
    <x v="219"/>
    <n v="2030285"/>
    <n v="4270.6166670000002"/>
    <x v="1"/>
    <n v="50"/>
    <n v="1.19"/>
  </r>
  <r>
    <x v="220"/>
    <n v="2065862"/>
    <n v="4249.55"/>
    <x v="1"/>
    <n v="50"/>
    <n v="1.18"/>
  </r>
  <r>
    <x v="221"/>
    <n v="2167765"/>
    <n v="4403.4666669999997"/>
    <x v="1"/>
    <n v="50"/>
    <n v="1.22"/>
  </r>
  <r>
    <x v="222"/>
    <n v="2284378"/>
    <n v="4352.95"/>
    <x v="1"/>
    <n v="50"/>
    <n v="1.21"/>
  </r>
  <r>
    <x v="223"/>
    <n v="2313884"/>
    <n v="6291.2333330000001"/>
    <x v="0"/>
    <n v="100"/>
    <n v="1.75"/>
  </r>
  <r>
    <x v="224"/>
    <n v="2596902"/>
    <n v="5476.95"/>
    <x v="0"/>
    <n v="100"/>
    <n v="1.52"/>
  </r>
  <r>
    <x v="225"/>
    <n v="2697073"/>
    <n v="3930.7666669999999"/>
    <x v="1"/>
    <n v="50"/>
    <n v="1.0900000000000001"/>
  </r>
  <r>
    <x v="226"/>
    <n v="2768072"/>
    <n v="3870.9666670000001"/>
    <x v="1"/>
    <n v="50"/>
    <n v="1.08"/>
  </r>
  <r>
    <x v="227"/>
    <n v="2842268"/>
    <n v="3735.7666669999999"/>
    <x v="1"/>
    <n v="50"/>
    <n v="1.04"/>
  </r>
  <r>
    <x v="228"/>
    <n v="2859421"/>
    <n v="8989"/>
    <x v="3"/>
    <n v="200"/>
    <n v="2.5"/>
  </r>
  <r>
    <x v="229"/>
    <n v="3033663"/>
    <n v="4469.9333329999999"/>
    <x v="1"/>
    <n v="50"/>
    <n v="1.24"/>
  </r>
  <r>
    <x v="230"/>
    <n v="3078938"/>
    <n v="4306.7"/>
    <x v="1"/>
    <n v="50"/>
    <n v="1.2"/>
  </r>
  <r>
    <x v="231"/>
    <n v="3157301"/>
    <n v="8533.7666669999999"/>
    <x v="3"/>
    <n v="200"/>
    <n v="2.37"/>
  </r>
  <r>
    <x v="232"/>
    <n v="3332880"/>
    <n v="4439.4333329999999"/>
    <x v="1"/>
    <n v="50"/>
    <n v="1.23"/>
  </r>
  <r>
    <x v="233"/>
    <n v="3347807"/>
    <n v="6372.0666670000001"/>
    <x v="0"/>
    <n v="100"/>
    <n v="1.77"/>
  </r>
  <r>
    <x v="234"/>
    <n v="3488746"/>
    <n v="7128.3666670000002"/>
    <x v="0"/>
    <n v="100"/>
    <n v="1.98"/>
  </r>
  <r>
    <x v="235"/>
    <n v="3821191"/>
    <n v="6127.4666669999997"/>
    <x v="0"/>
    <n v="100"/>
    <n v="1.7"/>
  </r>
  <r>
    <x v="236"/>
    <n v="3832805"/>
    <n v="8721.4333330000009"/>
    <x v="3"/>
    <n v="200"/>
    <n v="2.42"/>
  </r>
  <r>
    <x v="237"/>
    <n v="3983173"/>
    <n v="6010.8166670000001"/>
    <x v="0"/>
    <n v="100"/>
    <n v="1.67"/>
  </r>
  <r>
    <x v="238"/>
    <n v="4104826"/>
    <n v="10085.583329999999"/>
    <x v="2"/>
    <n v="300"/>
    <n v="2.8"/>
  </r>
  <r>
    <x v="239"/>
    <n v="4258680"/>
    <n v="7645.45"/>
    <x v="3"/>
    <n v="200"/>
    <n v="2.12"/>
  </r>
  <r>
    <x v="240"/>
    <n v="4478783"/>
    <n v="5314.75"/>
    <x v="0"/>
    <n v="100"/>
    <n v="1.48"/>
  </r>
  <r>
    <x v="241"/>
    <n v="4514302"/>
    <n v="5000.6499999999996"/>
    <x v="0"/>
    <n v="100"/>
    <n v="1.39"/>
  </r>
  <r>
    <x v="242"/>
    <n v="4601011"/>
    <n v="9056.6666669999995"/>
    <x v="3"/>
    <n v="200"/>
    <n v="2.52"/>
  </r>
  <r>
    <x v="243"/>
    <n v="4645994"/>
    <n v="5824.6"/>
    <x v="0"/>
    <n v="100"/>
    <n v="1.62"/>
  </r>
  <r>
    <x v="244"/>
    <n v="4800088"/>
    <n v="6345.8666670000002"/>
    <x v="0"/>
    <n v="100"/>
    <n v="1.76"/>
  </r>
  <r>
    <x v="245"/>
    <n v="4943898"/>
    <n v="9935.0166669999999"/>
    <x v="3"/>
    <n v="200"/>
    <n v="2.76"/>
  </r>
  <r>
    <x v="246"/>
    <n v="4960620"/>
    <n v="8187.7"/>
    <x v="3"/>
    <n v="200"/>
    <n v="2.27"/>
  </r>
  <r>
    <x v="247"/>
    <n v="4967119"/>
    <n v="8204.4500000000007"/>
    <x v="3"/>
    <n v="200"/>
    <n v="2.2799999999999998"/>
  </r>
  <r>
    <x v="248"/>
    <n v="60802"/>
    <n v="3922.3166670000001"/>
    <x v="1"/>
    <n v="50"/>
    <n v="1.0900000000000001"/>
  </r>
  <r>
    <x v="249"/>
    <n v="107214"/>
    <n v="5791.4166670000004"/>
    <x v="0"/>
    <n v="100"/>
    <n v="1.61"/>
  </r>
  <r>
    <x v="250"/>
    <n v="191131"/>
    <n v="4315.5166669999999"/>
    <x v="1"/>
    <n v="50"/>
    <n v="1.2"/>
  </r>
  <r>
    <x v="251"/>
    <n v="468606"/>
    <n v="5500.8"/>
    <x v="0"/>
    <n v="100"/>
    <n v="1.53"/>
  </r>
  <r>
    <x v="252"/>
    <n v="523042"/>
    <n v="5731.1166670000002"/>
    <x v="0"/>
    <n v="100"/>
    <n v="1.59"/>
  </r>
  <r>
    <x v="253"/>
    <n v="683172"/>
    <n v="5274.8333329999996"/>
    <x v="0"/>
    <n v="100"/>
    <n v="1.47"/>
  </r>
  <r>
    <x v="254"/>
    <n v="704801"/>
    <n v="6462.1166670000002"/>
    <x v="0"/>
    <n v="100"/>
    <n v="1.8"/>
  </r>
  <r>
    <x v="255"/>
    <n v="735378"/>
    <n v="3915.6833329999999"/>
    <x v="1"/>
    <n v="50"/>
    <n v="1.0900000000000001"/>
  </r>
  <r>
    <x v="256"/>
    <n v="827611"/>
    <n v="4473.55"/>
    <x v="1"/>
    <n v="50"/>
    <n v="1.24"/>
  </r>
  <r>
    <x v="257"/>
    <n v="890416"/>
    <n v="3649.5"/>
    <x v="1"/>
    <n v="50"/>
    <n v="1.01"/>
  </r>
  <r>
    <x v="258"/>
    <n v="1003203"/>
    <n v="6355.85"/>
    <x v="0"/>
    <n v="100"/>
    <n v="1.77"/>
  </r>
  <r>
    <x v="259"/>
    <n v="1037624"/>
    <n v="8580.5"/>
    <x v="3"/>
    <n v="200"/>
    <n v="2.38"/>
  </r>
  <r>
    <x v="260"/>
    <n v="1039472"/>
    <n v="3894.8833330000002"/>
    <x v="1"/>
    <n v="50"/>
    <n v="1.08"/>
  </r>
  <r>
    <x v="261"/>
    <n v="1150807"/>
    <n v="5715.65"/>
    <x v="0"/>
    <n v="100"/>
    <n v="1.59"/>
  </r>
  <r>
    <x v="262"/>
    <n v="1336957"/>
    <n v="5793.7166669999997"/>
    <x v="0"/>
    <n v="100"/>
    <n v="1.61"/>
  </r>
  <r>
    <x v="263"/>
    <n v="1602185"/>
    <n v="5644.0333330000003"/>
    <x v="0"/>
    <n v="100"/>
    <n v="1.57"/>
  </r>
  <r>
    <x v="264"/>
    <n v="1681913"/>
    <n v="3962.5666670000001"/>
    <x v="1"/>
    <n v="50"/>
    <n v="1.1000000000000001"/>
  </r>
  <r>
    <x v="265"/>
    <n v="1727100"/>
    <n v="6409.6"/>
    <x v="0"/>
    <n v="100"/>
    <n v="1.78"/>
  </r>
  <r>
    <x v="266"/>
    <n v="1853155"/>
    <n v="5884.8"/>
    <x v="0"/>
    <n v="100"/>
    <n v="1.63"/>
  </r>
  <r>
    <x v="267"/>
    <n v="1856518"/>
    <n v="4597.6000000000004"/>
    <x v="0"/>
    <n v="100"/>
    <n v="1.28"/>
  </r>
  <r>
    <x v="268"/>
    <n v="1866481"/>
    <n v="3995.5333329999999"/>
    <x v="1"/>
    <n v="50"/>
    <n v="1.1100000000000001"/>
  </r>
  <r>
    <x v="269"/>
    <n v="1981693"/>
    <n v="8507.7166670000006"/>
    <x v="3"/>
    <n v="200"/>
    <n v="2.36"/>
  </r>
  <r>
    <x v="270"/>
    <n v="2020628"/>
    <n v="4276.6000000000004"/>
    <x v="1"/>
    <n v="50"/>
    <n v="1.19"/>
  </r>
  <r>
    <x v="271"/>
    <n v="2058463"/>
    <n v="4598.2333330000001"/>
    <x v="0"/>
    <n v="100"/>
    <n v="1.28"/>
  </r>
  <r>
    <x v="272"/>
    <n v="2180984"/>
    <n v="5106.5000016664999"/>
    <x v="0"/>
    <n v="100"/>
    <n v="1.42"/>
  </r>
  <r>
    <x v="273"/>
    <n v="2369267"/>
    <n v="4962.1499999999996"/>
    <x v="0"/>
    <n v="100"/>
    <n v="1.38"/>
  </r>
  <r>
    <x v="274"/>
    <n v="2404889"/>
    <n v="4582.8999999999996"/>
    <x v="0"/>
    <n v="100"/>
    <n v="1.27"/>
  </r>
  <r>
    <x v="275"/>
    <n v="2629942"/>
    <n v="5116.7666669999999"/>
    <x v="0"/>
    <n v="100"/>
    <n v="1.42"/>
  </r>
  <r>
    <x v="276"/>
    <n v="2693518"/>
    <n v="3880.666667"/>
    <x v="1"/>
    <n v="50"/>
    <n v="1.08"/>
  </r>
  <r>
    <x v="277"/>
    <n v="2782189"/>
    <n v="7983"/>
    <x v="3"/>
    <n v="200"/>
    <n v="2.2200000000000002"/>
  </r>
  <r>
    <x v="278"/>
    <n v="2790543"/>
    <n v="4317.2166669999997"/>
    <x v="1"/>
    <n v="50"/>
    <n v="1.2"/>
  </r>
  <r>
    <x v="279"/>
    <n v="2843360"/>
    <n v="4611.8916666650002"/>
    <x v="0"/>
    <n v="100"/>
    <n v="1.28"/>
  </r>
  <r>
    <x v="280"/>
    <n v="3190441"/>
    <n v="4945.1166670000002"/>
    <x v="0"/>
    <n v="100"/>
    <n v="1.37"/>
  </r>
  <r>
    <x v="281"/>
    <n v="3452112"/>
    <n v="6345.1666670000004"/>
    <x v="0"/>
    <n v="100"/>
    <n v="1.76"/>
  </r>
  <r>
    <x v="282"/>
    <n v="3609468"/>
    <n v="4437.3666670000002"/>
    <x v="1"/>
    <n v="50"/>
    <n v="1.23"/>
  </r>
  <r>
    <x v="283"/>
    <n v="3643129"/>
    <n v="3623.083333"/>
    <x v="1"/>
    <n v="50"/>
    <n v="1.01"/>
  </r>
  <r>
    <x v="284"/>
    <n v="3667351"/>
    <n v="9538.4833330000001"/>
    <x v="3"/>
    <n v="200"/>
    <n v="2.65"/>
  </r>
  <r>
    <x v="285"/>
    <n v="3683755"/>
    <n v="7951.9833330000001"/>
    <x v="3"/>
    <n v="200"/>
    <n v="2.21"/>
  </r>
  <r>
    <x v="286"/>
    <n v="3792683"/>
    <n v="4839.5833329999996"/>
    <x v="0"/>
    <n v="100"/>
    <n v="1.34"/>
  </r>
  <r>
    <x v="287"/>
    <n v="3988604"/>
    <n v="9531.2666669999999"/>
    <x v="3"/>
    <n v="200"/>
    <n v="2.65"/>
  </r>
  <r>
    <x v="288"/>
    <n v="4018132"/>
    <n v="7303.2166669999997"/>
    <x v="0"/>
    <n v="100"/>
    <n v="2.0299999999999998"/>
  </r>
  <r>
    <x v="289"/>
    <n v="4019667"/>
    <n v="5783.95"/>
    <x v="0"/>
    <n v="100"/>
    <n v="1.61"/>
  </r>
  <r>
    <x v="290"/>
    <n v="4024409"/>
    <n v="3755.3"/>
    <x v="1"/>
    <n v="50"/>
    <n v="1.04"/>
  </r>
  <r>
    <x v="291"/>
    <n v="4088401"/>
    <n v="4649.6000000000004"/>
    <x v="0"/>
    <n v="100"/>
    <n v="1.29"/>
  </r>
  <r>
    <x v="292"/>
    <n v="4251025"/>
    <n v="5628.4"/>
    <x v="0"/>
    <n v="100"/>
    <n v="1.56"/>
  </r>
  <r>
    <x v="293"/>
    <n v="4274539"/>
    <n v="9883.1333329999998"/>
    <x v="3"/>
    <n v="200"/>
    <n v="2.75"/>
  </r>
  <r>
    <x v="294"/>
    <n v="4277622"/>
    <n v="5476.6833329999999"/>
    <x v="0"/>
    <n v="100"/>
    <n v="1.52"/>
  </r>
  <r>
    <x v="295"/>
    <n v="4312513"/>
    <n v="6981.0333330000003"/>
    <x v="0"/>
    <n v="100"/>
    <n v="1.94"/>
  </r>
  <r>
    <x v="296"/>
    <n v="4401676"/>
    <n v="9797.2000000000007"/>
    <x v="3"/>
    <n v="200"/>
    <n v="2.72"/>
  </r>
  <r>
    <x v="297"/>
    <n v="4444358"/>
    <n v="5456.9666669999997"/>
    <x v="0"/>
    <n v="100"/>
    <n v="1.52"/>
  </r>
  <r>
    <x v="298"/>
    <n v="4691922"/>
    <n v="3701.583333"/>
    <x v="1"/>
    <n v="50"/>
    <n v="1.03"/>
  </r>
  <r>
    <x v="299"/>
    <n v="4989934"/>
    <n v="4933.5333330000003"/>
    <x v="0"/>
    <n v="100"/>
    <n v="1.37"/>
  </r>
  <r>
    <x v="300"/>
    <n v="5083723"/>
    <n v="4952.4166670000004"/>
    <x v="0"/>
    <n v="100"/>
    <n v="1.38"/>
  </r>
  <r>
    <x v="301"/>
    <n v="78142"/>
    <n v="4724.3999999999996"/>
    <x v="0"/>
    <n v="100"/>
    <n v="1.31"/>
  </r>
  <r>
    <x v="302"/>
    <n v="153297"/>
    <n v="11974.9"/>
    <x v="2"/>
    <n v="300"/>
    <n v="3.33"/>
  </r>
  <r>
    <x v="303"/>
    <n v="216164"/>
    <n v="8608.6166670000002"/>
    <x v="3"/>
    <n v="200"/>
    <n v="2.39"/>
  </r>
  <r>
    <x v="304"/>
    <n v="673866"/>
    <n v="4393.5833329999996"/>
    <x v="1"/>
    <n v="50"/>
    <n v="1.22"/>
  </r>
  <r>
    <x v="305"/>
    <n v="716271"/>
    <n v="4536.1666670000004"/>
    <x v="0"/>
    <n v="100"/>
    <n v="1.26"/>
  </r>
  <r>
    <x v="306"/>
    <n v="760017"/>
    <n v="6653.3666670000002"/>
    <x v="0"/>
    <n v="100"/>
    <n v="1.85"/>
  </r>
  <r>
    <x v="307"/>
    <n v="777108"/>
    <n v="6272.3333329999996"/>
    <x v="0"/>
    <n v="100"/>
    <n v="1.74"/>
  </r>
  <r>
    <x v="308"/>
    <n v="939641"/>
    <n v="11382.25"/>
    <x v="2"/>
    <n v="300"/>
    <n v="3.16"/>
  </r>
  <r>
    <x v="309"/>
    <n v="1052736"/>
    <n v="5002.9333329999999"/>
    <x v="0"/>
    <n v="100"/>
    <n v="1.39"/>
  </r>
  <r>
    <x v="310"/>
    <n v="1173608"/>
    <n v="6574.6666670000004"/>
    <x v="0"/>
    <n v="100"/>
    <n v="1.83"/>
  </r>
  <r>
    <x v="311"/>
    <n v="1174324"/>
    <n v="5467.1833329999999"/>
    <x v="0"/>
    <n v="100"/>
    <n v="1.52"/>
  </r>
  <r>
    <x v="312"/>
    <n v="1190577"/>
    <n v="7726.3333329999996"/>
    <x v="3"/>
    <n v="200"/>
    <n v="2.15"/>
  </r>
  <r>
    <x v="313"/>
    <n v="1387875"/>
    <n v="4371.5249999999996"/>
    <x v="1"/>
    <n v="50"/>
    <n v="1.21"/>
  </r>
  <r>
    <x v="314"/>
    <n v="1490774"/>
    <n v="3901.45"/>
    <x v="1"/>
    <n v="50"/>
    <n v="1.08"/>
  </r>
  <r>
    <x v="315"/>
    <n v="1648831"/>
    <n v="4343.1333329999998"/>
    <x v="1"/>
    <n v="50"/>
    <n v="1.21"/>
  </r>
  <r>
    <x v="316"/>
    <n v="1839755"/>
    <n v="5827.65"/>
    <x v="0"/>
    <n v="100"/>
    <n v="1.62"/>
  </r>
  <r>
    <x v="317"/>
    <n v="2073959"/>
    <n v="6072.6"/>
    <x v="0"/>
    <n v="100"/>
    <n v="1.69"/>
  </r>
  <r>
    <x v="318"/>
    <n v="2100609"/>
    <n v="6463.0333330000003"/>
    <x v="0"/>
    <n v="100"/>
    <n v="1.8"/>
  </r>
  <r>
    <x v="319"/>
    <n v="2332453"/>
    <n v="4731.0833329999996"/>
    <x v="0"/>
    <n v="100"/>
    <n v="1.31"/>
  </r>
  <r>
    <x v="320"/>
    <n v="2449912"/>
    <n v="5326.3166670000001"/>
    <x v="0"/>
    <n v="100"/>
    <n v="1.48"/>
  </r>
  <r>
    <x v="321"/>
    <n v="2576368"/>
    <n v="4198.7166669999997"/>
    <x v="1"/>
    <n v="50"/>
    <n v="1.17"/>
  </r>
  <r>
    <x v="322"/>
    <n v="2648375"/>
    <n v="4384.0333330000003"/>
    <x v="1"/>
    <n v="50"/>
    <n v="1.22"/>
  </r>
  <r>
    <x v="323"/>
    <n v="2682924"/>
    <n v="4697.0666670000001"/>
    <x v="0"/>
    <n v="100"/>
    <n v="1.3"/>
  </r>
  <r>
    <x v="324"/>
    <n v="2767355"/>
    <n v="5219.3166670000001"/>
    <x v="0"/>
    <n v="100"/>
    <n v="1.45"/>
  </r>
  <r>
    <x v="325"/>
    <n v="2884879"/>
    <n v="5024.1083333349998"/>
    <x v="0"/>
    <n v="100"/>
    <n v="1.4"/>
  </r>
  <r>
    <x v="326"/>
    <n v="2922504"/>
    <n v="5996.9"/>
    <x v="0"/>
    <n v="100"/>
    <n v="1.67"/>
  </r>
  <r>
    <x v="327"/>
    <n v="3014024"/>
    <n v="8345.2999999999993"/>
    <x v="3"/>
    <n v="200"/>
    <n v="2.3199999999999998"/>
  </r>
  <r>
    <x v="328"/>
    <n v="3049033"/>
    <n v="9760.8833329999998"/>
    <x v="3"/>
    <n v="200"/>
    <n v="2.71"/>
  </r>
  <r>
    <x v="329"/>
    <n v="3332827"/>
    <n v="5921.1"/>
    <x v="0"/>
    <n v="100"/>
    <n v="1.64"/>
  </r>
  <r>
    <x v="330"/>
    <n v="3653685"/>
    <n v="4410.3833329999998"/>
    <x v="1"/>
    <n v="50"/>
    <n v="1.23"/>
  </r>
  <r>
    <x v="331"/>
    <n v="3735700"/>
    <n v="5748.2833330000003"/>
    <x v="0"/>
    <n v="100"/>
    <n v="1.6"/>
  </r>
  <r>
    <x v="332"/>
    <n v="3755606"/>
    <n v="5647.0333330000003"/>
    <x v="0"/>
    <n v="100"/>
    <n v="1.57"/>
  </r>
  <r>
    <x v="333"/>
    <n v="3850423"/>
    <n v="5602.55"/>
    <x v="0"/>
    <n v="100"/>
    <n v="1.56"/>
  </r>
  <r>
    <x v="334"/>
    <n v="3863770"/>
    <n v="9889.0499999999993"/>
    <x v="3"/>
    <n v="200"/>
    <n v="2.75"/>
  </r>
  <r>
    <x v="335"/>
    <n v="3960759"/>
    <n v="5755.8"/>
    <x v="0"/>
    <n v="100"/>
    <n v="1.6"/>
  </r>
  <r>
    <x v="336"/>
    <n v="4098302"/>
    <n v="7152.8166670000001"/>
    <x v="0"/>
    <n v="100"/>
    <n v="1.99"/>
  </r>
  <r>
    <x v="337"/>
    <n v="4456821"/>
    <n v="8301.5499999999993"/>
    <x v="3"/>
    <n v="200"/>
    <n v="2.31"/>
  </r>
  <r>
    <x v="338"/>
    <n v="4505689"/>
    <n v="5764.25"/>
    <x v="0"/>
    <n v="100"/>
    <n v="1.6"/>
  </r>
  <r>
    <x v="339"/>
    <n v="4607034"/>
    <n v="4503.0250001650002"/>
    <x v="0"/>
    <n v="100"/>
    <n v="1.25"/>
  </r>
  <r>
    <x v="340"/>
    <n v="4668687"/>
    <n v="6537.5"/>
    <x v="0"/>
    <n v="100"/>
    <n v="1.82"/>
  </r>
  <r>
    <x v="341"/>
    <n v="4721641"/>
    <n v="4948.3500000000004"/>
    <x v="0"/>
    <n v="100"/>
    <n v="1.37"/>
  </r>
  <r>
    <x v="342"/>
    <n v="4909975"/>
    <n v="7040.35"/>
    <x v="0"/>
    <n v="100"/>
    <n v="1.96"/>
  </r>
  <r>
    <x v="343"/>
    <n v="4991917"/>
    <n v="6111.3"/>
    <x v="0"/>
    <n v="100"/>
    <n v="1.7"/>
  </r>
  <r>
    <x v="344"/>
    <n v="5118314"/>
    <n v="5491.2"/>
    <x v="0"/>
    <n v="100"/>
    <n v="1.53"/>
  </r>
  <r>
    <x v="345"/>
    <n v="5130584"/>
    <n v="4661.0666670000001"/>
    <x v="0"/>
    <n v="100"/>
    <n v="1.29"/>
  </r>
  <r>
    <x v="346"/>
    <n v="5134469"/>
    <n v="4751.5333330000003"/>
    <x v="0"/>
    <n v="100"/>
    <n v="1.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62E0BC-CF12-4B80-909B-A0192BA4CFE9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Latency Segments">
  <location ref="A1:C6" firstHeaderRow="0" firstDataRow="1" firstDataCol="1"/>
  <pivotFields count="6">
    <pivotField dataField="1" showAll="0">
      <items count="348">
        <item x="43"/>
        <item x="95"/>
        <item x="205"/>
        <item x="340"/>
        <item x="203"/>
        <item x="52"/>
        <item x="234"/>
        <item x="189"/>
        <item x="13"/>
        <item x="293"/>
        <item x="116"/>
        <item x="0"/>
        <item x="338"/>
        <item x="84"/>
        <item x="126"/>
        <item x="85"/>
        <item x="60"/>
        <item x="258"/>
        <item x="78"/>
        <item x="15"/>
        <item x="2"/>
        <item x="108"/>
        <item x="145"/>
        <item x="74"/>
        <item x="21"/>
        <item x="231"/>
        <item x="132"/>
        <item x="17"/>
        <item x="161"/>
        <item x="199"/>
        <item x="44"/>
        <item x="306"/>
        <item x="263"/>
        <item x="42"/>
        <item x="39"/>
        <item x="71"/>
        <item x="88"/>
        <item x="289"/>
        <item x="50"/>
        <item x="208"/>
        <item x="184"/>
        <item x="160"/>
        <item x="237"/>
        <item x="341"/>
        <item x="290"/>
        <item x="287"/>
        <item x="76"/>
        <item x="45"/>
        <item x="54"/>
        <item x="336"/>
        <item x="51"/>
        <item x="6"/>
        <item x="304"/>
        <item x="63"/>
        <item x="81"/>
        <item x="143"/>
        <item x="326"/>
        <item x="8"/>
        <item x="316"/>
        <item x="4"/>
        <item x="23"/>
        <item x="75"/>
        <item x="280"/>
        <item x="198"/>
        <item x="98"/>
        <item x="179"/>
        <item x="229"/>
        <item x="288"/>
        <item x="299"/>
        <item x="91"/>
        <item x="115"/>
        <item x="64"/>
        <item x="255"/>
        <item x="303"/>
        <item x="83"/>
        <item x="215"/>
        <item x="1"/>
        <item x="149"/>
        <item x="124"/>
        <item x="325"/>
        <item x="292"/>
        <item x="53"/>
        <item x="254"/>
        <item x="93"/>
        <item x="113"/>
        <item x="163"/>
        <item x="14"/>
        <item x="334"/>
        <item x="62"/>
        <item x="102"/>
        <item x="200"/>
        <item x="282"/>
        <item x="92"/>
        <item x="250"/>
        <item x="296"/>
        <item x="320"/>
        <item x="146"/>
        <item x="171"/>
        <item x="314"/>
        <item x="267"/>
        <item x="119"/>
        <item x="266"/>
        <item x="324"/>
        <item x="317"/>
        <item x="246"/>
        <item x="305"/>
        <item x="276"/>
        <item x="226"/>
        <item x="245"/>
        <item x="67"/>
        <item x="197"/>
        <item x="271"/>
        <item x="192"/>
        <item x="244"/>
        <item x="156"/>
        <item x="96"/>
        <item x="46"/>
        <item x="49"/>
        <item x="118"/>
        <item x="230"/>
        <item x="243"/>
        <item x="257"/>
        <item x="211"/>
        <item x="137"/>
        <item x="58"/>
        <item x="209"/>
        <item x="332"/>
        <item x="142"/>
        <item x="69"/>
        <item x="308"/>
        <item x="207"/>
        <item x="47"/>
        <item x="259"/>
        <item x="321"/>
        <item x="311"/>
        <item x="328"/>
        <item x="112"/>
        <item x="41"/>
        <item x="342"/>
        <item x="141"/>
        <item x="90"/>
        <item x="218"/>
        <item x="196"/>
        <item x="105"/>
        <item x="120"/>
        <item x="5"/>
        <item x="286"/>
        <item x="100"/>
        <item x="11"/>
        <item x="291"/>
        <item x="220"/>
        <item x="121"/>
        <item x="94"/>
        <item x="55"/>
        <item x="111"/>
        <item x="252"/>
        <item x="27"/>
        <item x="272"/>
        <item x="148"/>
        <item x="344"/>
        <item x="239"/>
        <item x="147"/>
        <item x="176"/>
        <item x="40"/>
        <item x="335"/>
        <item x="36"/>
        <item x="125"/>
        <item x="59"/>
        <item x="170"/>
        <item x="251"/>
        <item x="183"/>
        <item x="285"/>
        <item x="159"/>
        <item x="222"/>
        <item x="37"/>
        <item x="298"/>
        <item x="221"/>
        <item x="194"/>
        <item x="34"/>
        <item x="343"/>
        <item x="233"/>
        <item x="337"/>
        <item x="214"/>
        <item x="224"/>
        <item x="134"/>
        <item x="144"/>
        <item x="117"/>
        <item x="166"/>
        <item x="210"/>
        <item x="295"/>
        <item x="107"/>
        <item x="322"/>
        <item x="56"/>
        <item x="309"/>
        <item x="169"/>
        <item x="300"/>
        <item x="167"/>
        <item x="313"/>
        <item x="281"/>
        <item x="129"/>
        <item x="26"/>
        <item x="269"/>
        <item x="284"/>
        <item x="294"/>
        <item x="262"/>
        <item x="333"/>
        <item x="253"/>
        <item x="150"/>
        <item x="61"/>
        <item x="181"/>
        <item x="206"/>
        <item x="213"/>
        <item x="18"/>
        <item x="114"/>
        <item x="33"/>
        <item x="301"/>
        <item x="223"/>
        <item x="104"/>
        <item x="188"/>
        <item x="77"/>
        <item x="140"/>
        <item x="153"/>
        <item x="86"/>
        <item x="235"/>
        <item x="315"/>
        <item x="268"/>
        <item x="182"/>
        <item x="345"/>
        <item x="273"/>
        <item x="278"/>
        <item x="238"/>
        <item x="331"/>
        <item x="133"/>
        <item x="123"/>
        <item x="35"/>
        <item x="307"/>
        <item x="109"/>
        <item x="122"/>
        <item x="202"/>
        <item x="185"/>
        <item x="16"/>
        <item x="127"/>
        <item x="264"/>
        <item x="68"/>
        <item x="135"/>
        <item x="97"/>
        <item x="260"/>
        <item x="38"/>
        <item x="128"/>
        <item x="187"/>
        <item x="248"/>
        <item x="312"/>
        <item x="329"/>
        <item x="178"/>
        <item x="174"/>
        <item x="227"/>
        <item x="191"/>
        <item x="190"/>
        <item x="164"/>
        <item x="216"/>
        <item x="89"/>
        <item x="157"/>
        <item x="9"/>
        <item x="73"/>
        <item x="22"/>
        <item x="131"/>
        <item x="162"/>
        <item x="219"/>
        <item x="82"/>
        <item x="240"/>
        <item x="101"/>
        <item x="99"/>
        <item x="232"/>
        <item x="241"/>
        <item x="279"/>
        <item x="339"/>
        <item x="323"/>
        <item x="256"/>
        <item x="172"/>
        <item x="310"/>
        <item x="154"/>
        <item x="66"/>
        <item x="318"/>
        <item x="57"/>
        <item x="30"/>
        <item x="12"/>
        <item x="139"/>
        <item x="25"/>
        <item x="201"/>
        <item x="274"/>
        <item x="110"/>
        <item x="327"/>
        <item x="29"/>
        <item x="247"/>
        <item x="217"/>
        <item x="103"/>
        <item x="175"/>
        <item x="31"/>
        <item x="186"/>
        <item x="212"/>
        <item x="79"/>
        <item x="297"/>
        <item x="275"/>
        <item x="24"/>
        <item x="168"/>
        <item x="136"/>
        <item x="177"/>
        <item x="283"/>
        <item x="70"/>
        <item x="319"/>
        <item x="152"/>
        <item x="173"/>
        <item x="346"/>
        <item x="236"/>
        <item x="151"/>
        <item x="277"/>
        <item x="138"/>
        <item x="193"/>
        <item x="265"/>
        <item x="165"/>
        <item x="261"/>
        <item x="48"/>
        <item x="330"/>
        <item x="249"/>
        <item x="228"/>
        <item x="10"/>
        <item x="270"/>
        <item x="204"/>
        <item x="158"/>
        <item x="242"/>
        <item x="28"/>
        <item x="19"/>
        <item x="3"/>
        <item x="87"/>
        <item x="32"/>
        <item x="7"/>
        <item x="130"/>
        <item x="65"/>
        <item x="106"/>
        <item x="155"/>
        <item x="302"/>
        <item x="225"/>
        <item x="20"/>
        <item x="180"/>
        <item x="195"/>
        <item x="72"/>
        <item x="80"/>
        <item t="default"/>
      </items>
    </pivotField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dataField="1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Users" fld="0" subtotal="count" baseField="3" baseItem="1"/>
    <dataField name="Estimated Revenue" fld="4" baseField="3" baseItem="1"/>
  </dataField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9F3484B-A5A6-4F6C-9006-11003C09ABE1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category_id" tableColumnId="1"/>
      <queryTableField id="2" name="total_actions" tableColumnId="2"/>
      <queryTableField id="3" name="total_views" tableColumnId="3"/>
      <queryTableField id="4" name="total_favorites" tableColumnId="4"/>
      <queryTableField id="5" name="total_carted" tableColumnId="5"/>
      <queryTableField id="6" name="total_converted" tableColumnId="6"/>
      <queryTableField id="7" dataBound="0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BC9F658-1CE2-4780-9008-4EDD06A43281}" autoFormatId="16" applyNumberFormats="0" applyBorderFormats="0" applyFontFormats="0" applyPatternFormats="0" applyAlignmentFormats="0" applyWidthHeightFormats="0">
  <queryTableRefresh nextId="4">
    <queryTableFields count="3">
      <queryTableField id="1" name="user_id" tableColumnId="1"/>
      <queryTableField id="2" name="product_id" tableColumnId="2"/>
      <queryTableField id="3" name="avg_time_to_convert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1DD32EB4-078D-4918-AA23-D9202FF04A14}" autoFormatId="16" applyNumberFormats="0" applyBorderFormats="0" applyFontFormats="0" applyPatternFormats="0" applyAlignmentFormats="0" applyWidthHeightFormats="0">
  <queryTableRefresh nextId="11" unboundColumnsRight="6">
    <queryTableFields count="9">
      <queryTableField id="1" name="user_id" tableColumnId="1"/>
      <queryTableField id="2" name="product_id" tableColumnId="2"/>
      <queryTableField id="3" name="avg_time_to_convert" tableColumnId="3"/>
      <queryTableField id="4" dataBound="0" tableColumnId="4"/>
      <queryTableField id="5" dataBound="0" tableColumnId="5"/>
      <queryTableField id="7" dataBound="0" tableColumnId="8"/>
      <queryTableField id="8" dataBound="0" tableColumnId="6"/>
      <queryTableField id="9" dataBound="0" tableColumnId="7"/>
      <queryTableField id="10" dataBound="0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6F137880-5113-4A96-B11F-334857DA4BFB}" autoFormatId="16" applyNumberFormats="0" applyBorderFormats="0" applyFontFormats="0" applyPatternFormats="0" applyAlignmentFormats="0" applyWidthHeightFormats="0">
  <queryTableRefresh nextId="10" unboundColumnsRight="4">
    <queryTableFields count="5">
      <queryTableField id="1" name="hour_of_day" tableColumnId="1"/>
      <queryTableField id="6" dataBound="0" tableColumnId="6"/>
      <queryTableField id="7" dataBound="0" tableColumnId="7"/>
      <queryTableField id="8" dataBound="0" tableColumnId="8"/>
      <queryTableField id="9" dataBound="0" tableColumnId="9"/>
    </queryTableFields>
    <queryTableDeletedFields count="4">
      <deletedField name="total_actions"/>
      <deletedField name="views"/>
      <deletedField name="carted"/>
      <deletedField name="converted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1ED9F71F-2A4A-4612-8307-29E96C083EE9}" autoFormatId="16" applyNumberFormats="0" applyBorderFormats="0" applyFontFormats="0" applyPatternFormats="0" applyAlignmentFormats="0" applyWidthHeightFormats="0">
  <queryTableRefresh nextId="18" unboundColumnsRight="11">
    <queryTableFields count="12">
      <queryTableField id="1" name="hour_of_day" tableColumnId="1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2"/>
      <queryTableField id="11" dataBound="0" tableColumnId="3"/>
      <queryTableField id="12" dataBound="0" tableColumnId="4"/>
      <queryTableField id="13" dataBound="0" tableColumnId="5"/>
      <queryTableField id="15" dataBound="0" tableColumnId="21"/>
      <queryTableField id="16" dataBound="0" tableColumnId="22"/>
      <queryTableField id="17" dataBound="0" tableColumnId="23"/>
    </queryTableFields>
    <queryTableDeletedFields count="4">
      <deletedField name="total_actions"/>
      <deletedField name="views"/>
      <deletedField name="carted"/>
      <deletedField name="converted"/>
    </queryTableDeleted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85547E2-1A01-4943-BE84-887369F8B70E}" name="Table5" displayName="Table5" ref="A1:C11441" totalsRowShown="0">
  <autoFilter ref="A1:C11441" xr:uid="{C85547E2-1A01-4943-BE84-887369F8B70E}"/>
  <tableColumns count="3">
    <tableColumn id="1" xr3:uid="{5BD2EFE1-42D2-4EF5-B059-6ADCF8577C97}" name="user_id"/>
    <tableColumn id="2" xr3:uid="{116131A4-FA8B-4D69-BD62-C7FEEE4E0CFA}" name="category_id"/>
    <tableColumn id="3" xr3:uid="{8F47F275-1116-4E20-9856-93FE2BD6F9A9}" name="last_carted_at" dataDxfId="113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BAAE0E6-E8A7-4BEC-9EC3-58DD10815394}" name="Table9" displayName="Table9" ref="A1:F2" totalsRowShown="0" headerRowDxfId="112" dataDxfId="111">
  <autoFilter ref="A1:F2" xr:uid="{FBAAE0E6-E8A7-4BEC-9EC3-58DD10815394}"/>
  <tableColumns count="6">
    <tableColumn id="1" xr3:uid="{02A066D0-64CB-4711-A48E-45C0A2B750C0}" name="Assumed Cart Value" dataDxfId="110"/>
    <tableColumn id="2" xr3:uid="{1820A3CB-4B51-4D68-A53C-8006FFC649B1}" name="Recovery Rate – Low" dataDxfId="109"/>
    <tableColumn id="3" xr3:uid="{C5CE46AF-FD0E-4BA9-B19F-AFB6C73AAA0B}" name="Recovery Rate – Mid" dataDxfId="108"/>
    <tableColumn id="4" xr3:uid="{CB1637BB-8339-449C-8B80-5536822DDC2A}" name="Recovery Rate – High" dataDxfId="107"/>
    <tableColumn id="5" xr3:uid="{063A977E-0170-4BBE-BF40-97CA437473FF}" name="Total Abandoned Carts" dataDxfId="106"/>
    <tableColumn id="6" xr3:uid="{6A1CED64-C1D9-49A5-ADD5-E204090143E9}" name="SMS Cost per User" dataDxfId="105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C29AAFF-836F-4A96-970D-8AB3A0ECA6BC}" name="Table11" displayName="Table11" ref="A1:F4" totalsRowShown="0">
  <autoFilter ref="A1:F4" xr:uid="{AC29AAFF-836F-4A96-970D-8AB3A0ECA6BC}"/>
  <tableColumns count="6">
    <tableColumn id="1" xr3:uid="{8DE35A83-DEA4-4E96-9E40-6229A4794ACA}" name="Projected Solution" dataDxfId="104"/>
    <tableColumn id="7" xr3:uid="{08E37E37-9D2C-417C-BF5A-F74081568721}" name="Carts Recovered" dataDxfId="103">
      <calculatedColumnFormula>Table9[[#This Row],[Total Abandoned Carts]]*Table9[[#This Row],[Recovery Rate – Low]]</calculatedColumnFormula>
    </tableColumn>
    <tableColumn id="8" xr3:uid="{F6D62882-9C77-4D6A-BFEC-0CE219A65BA1}" name="Revenue Generated" dataDxfId="102">
      <calculatedColumnFormula>Table11[[#This Row],[Carts Recovered]]*500</calculatedColumnFormula>
    </tableColumn>
    <tableColumn id="9" xr3:uid="{27BB79ED-AEF2-4210-9055-5076CD4097B5}" name="Campaign Cost" dataDxfId="101">
      <calculatedColumnFormula>Table9[[#This Row],[Total Abandoned Carts]]*1</calculatedColumnFormula>
    </tableColumn>
    <tableColumn id="10" xr3:uid="{2DF038CD-427B-4356-9CCD-C8241063D908}" name="Net Recovery" dataDxfId="100">
      <calculatedColumnFormula>C2-D2</calculatedColumnFormula>
    </tableColumn>
    <tableColumn id="2" xr3:uid="{C3D0EE5C-AA17-4942-ADF1-E700E5C7BB0E}" name="Abandoned Carts" dataDxfId="99">
      <calculatedColumnFormula>Table11[[#This Row],[Campaign Cost]]</calculatedColumnFormula>
    </tableColumn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676F2E-B2D8-4C8D-9C82-4F3B853A202B}" name="Table4" displayName="Table4" ref="A1:G10" totalsRowShown="0" headerRowDxfId="98" dataDxfId="97" tableBorderDxfId="96">
  <autoFilter ref="A1:G10" xr:uid="{34676F2E-B2D8-4C8D-9C82-4F3B853A202B}"/>
  <tableColumns count="7">
    <tableColumn id="1" xr3:uid="{3343924B-1CA5-42D9-95D9-8A8DF6EBA219}" name="category_id" dataDxfId="95"/>
    <tableColumn id="2" xr3:uid="{F55F81E8-9200-43FF-84EA-5A4F4ECE0BD3}" name="total_actions" dataDxfId="94"/>
    <tableColumn id="3" xr3:uid="{75F26175-799D-45B7-8159-8F349964C794}" name="total_views" dataDxfId="93"/>
    <tableColumn id="4" xr3:uid="{DEDE4CEA-70BC-4759-BCBD-B7FAFDADC254}" name="total_favorites" dataDxfId="92"/>
    <tableColumn id="5" xr3:uid="{4A186676-0C3C-4B62-AC48-2FE1DF25577C}" name="total_carted" dataDxfId="91"/>
    <tableColumn id="6" xr3:uid="{89CE62E2-9BE3-462D-BB9C-A91BB701D0D8}" name="total_converted" dataDxfId="90"/>
    <tableColumn id="7" xr3:uid="{049202C7-961B-4549-AC6D-5120037B506C}" name="Conversion Rate" dataDxfId="89">
      <calculatedColumnFormula>F2/C2</calculatedColumnFormula>
    </tableColumn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10B98E-B179-4887-86EE-932BEA3ADC67}" name="High_Potential_SKUs" displayName="High_Potential_SKUs" ref="A1:G25" tableType="queryTable" totalsRowShown="0">
  <autoFilter ref="A1:G25" xr:uid="{5310B98E-B179-4887-86EE-932BEA3ADC67}"/>
  <sortState xmlns:xlrd2="http://schemas.microsoft.com/office/spreadsheetml/2017/richdata2" ref="A2:F25">
    <sortCondition descending="1" ref="C2:C25"/>
  </sortState>
  <tableColumns count="7">
    <tableColumn id="1" xr3:uid="{04B7CD4B-4C44-4337-8E6F-0F85C7BAC951}" uniqueName="1" name="category_id" queryTableFieldId="1"/>
    <tableColumn id="2" xr3:uid="{78359605-EB4A-49FB-95BE-33C7450C92EF}" uniqueName="2" name="total_actions" queryTableFieldId="2"/>
    <tableColumn id="3" xr3:uid="{3C78D8C9-1BBF-46A2-A6DE-0E9333DBE1F4}" uniqueName="3" name="total_views" queryTableFieldId="3"/>
    <tableColumn id="4" xr3:uid="{D5D76E99-CDA9-4CC4-BD0F-5DF50CFED898}" uniqueName="4" name="total_favorites" queryTableFieldId="4"/>
    <tableColumn id="5" xr3:uid="{6EF5602C-AA1F-45FA-BFA0-47E46E0198BD}" uniqueName="5" name="total_carted" queryTableFieldId="5"/>
    <tableColumn id="6" xr3:uid="{7A7F82AB-F30A-4CB4-B5D0-933A567FB4C6}" uniqueName="6" name="total_converted" queryTableFieldId="6"/>
    <tableColumn id="7" xr3:uid="{74ABA4CB-9969-443F-8CD8-FCF7280F756F}" uniqueName="7" name="conversion rate" queryTableFieldId="7" dataDxfId="88">
      <calculatedColumnFormula>High_Potential_SKUs[[#This Row],[total_converted]]/High_Potential_SKUs[[#This Row],[total_views]]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51B09EC-D460-4678-89F8-36DE8F49437F}" name="Table14" displayName="Table14" ref="A1:H2" totalsRowShown="0" headerRowDxfId="87">
  <autoFilter ref="A1:H2" xr:uid="{251B09EC-D460-4678-89F8-36DE8F49437F}"/>
  <tableColumns count="8">
    <tableColumn id="1" xr3:uid="{CB81B4F1-6C8C-439B-813C-8730E9C9BC9A}" name="Total High-Attention Categories" dataDxfId="86"/>
    <tableColumn id="9" xr3:uid="{C69E925C-2AC5-4BD8-BF8A-08191451BDB8}" name="Avg Views per Category" dataDxfId="85">
      <calculatedColumnFormula>AVERAGE('HighPotentialSKUs-Data'!C2:'HighPotentialSKUs-Data'!C25)</calculatedColumnFormula>
    </tableColumn>
    <tableColumn id="10" xr3:uid="{E8E9D5FE-0BF7-43A8-A760-2FD25D2FBEE0}" name="Monetization Target (%)" dataDxfId="84"/>
    <tableColumn id="11" xr3:uid="{2F689CD4-D921-4781-BA8B-FA2038427F59}" name="Avg Conversion Rate (Base)" dataDxfId="83"/>
    <tableColumn id="12" xr3:uid="{2A562A87-C64B-421B-A5D3-9E9F2EDB6513}" name="SKUs Targeted" dataDxfId="82"/>
    <tableColumn id="13" xr3:uid="{C5A79765-B012-43D9-9E82-2BB4EB2BCB7B}" name="Total Views (Top SKUs)" dataDxfId="81"/>
    <tableColumn id="14" xr3:uid="{7482FA1D-8818-4E70-8A8F-4EF1C367907C}" name="Avg SKU Price" dataDxfId="80"/>
    <tableColumn id="15" xr3:uid="{B5EDCD81-9607-48D5-AF3F-86498992D14F}" name="Lifted Conversion Rate" dataDxfId="79"/>
  </tableColumns>
  <tableStyleInfo name="TableStyleDark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BAE4187-5509-475C-ACCC-CC7F382D14C6}" name="Table13" displayName="Table13" ref="A1:M4" totalsRowShown="0" headerRowDxfId="78" dataDxfId="77">
  <autoFilter ref="A1:M4" xr:uid="{2BAE4187-5509-475C-ACCC-CC7F382D14C6}"/>
  <tableColumns count="13">
    <tableColumn id="1" xr3:uid="{636F33D7-AC01-490E-8B55-7D0294885D44}" name="Projected Solution" dataDxfId="76"/>
    <tableColumn id="2" xr3:uid="{D2C70B93-4F61-4CDB-A6CB-25789740F61E}" name="SKUs Targeted" dataDxfId="75">
      <calculatedColumnFormula>'HighPotentialSKUs-Assumptions'!#REF!</calculatedColumnFormula>
    </tableColumn>
    <tableColumn id="3" xr3:uid="{E059262D-276B-4DBC-85BB-9D3394732D40}" name="Views" dataDxfId="74">
      <calculatedColumnFormula>Table14[[#This Row],[Total Views (Top SKUs)]]</calculatedColumnFormula>
    </tableColumn>
    <tableColumn id="4" xr3:uid="{D4E9F55E-4C9E-44D6-BF48-F7E92BC05590}" name="Projected Conversions" dataDxfId="73">
      <calculatedColumnFormula>Table14[[#This Row],[Total Views (Top SKUs)]]*Table14[[#This Row],[Avg Conversion Rate (Base)]]</calculatedColumnFormula>
    </tableColumn>
    <tableColumn id="5" xr3:uid="{5875C3EE-1E20-496E-A32C-AD665C9EC2AB}" name="Revenue Generated" dataDxfId="72">
      <calculatedColumnFormula>D2*600</calculatedColumnFormula>
    </tableColumn>
    <tableColumn id="7" xr3:uid="{B5F2BA93-F9F6-4446-88A2-0876982A7B5B}" name="Conversion Rate" dataDxfId="71" dataCellStyle="Percent">
      <calculatedColumnFormula>ROUND(Table13[[#This Row],[Projected Conversions]]/Table13[[#This Row],[Views]],4)</calculatedColumnFormula>
    </tableColumn>
    <tableColumn id="8" xr3:uid="{519EF363-F191-4DE2-BAE8-D84C88BAFDD0}" name="Revenue Per SKU" dataDxfId="70">
      <calculatedColumnFormula>Table13[[#This Row],[Revenue Generated]]/Table13[[#This Row],[SKUs Targeted]]</calculatedColumnFormula>
    </tableColumn>
    <tableColumn id="9" xr3:uid="{1F6E1060-BE99-4335-A52F-4003739DC5D0}" name="Revenue Per View" dataDxfId="69">
      <calculatedColumnFormula>ROUND(Table13[[#This Row],[Revenue Generated]]/Table13[[#This Row],[Views]],2)</calculatedColumnFormula>
    </tableColumn>
    <tableColumn id="10" xr3:uid="{7F801D1F-7484-4F08-90EB-AF3F6A32B2CA}" name="Conversion Uplift vs Base" dataDxfId="68"/>
    <tableColumn id="12" xr3:uid="{C34ECBED-D279-4F53-87FF-D61EF4340671}" name="Revenue Uplift vs Base" dataDxfId="67"/>
    <tableColumn id="13" xr3:uid="{6D9B8A33-1D63-4B22-AEC9-318231B82A73}" name="Label for Waterfall" dataDxfId="66"/>
    <tableColumn id="14" xr3:uid="{96654435-FFA7-4C39-9BB0-7CB69F75DEBA}" name="Waterfall Value" dataDxfId="65"/>
    <tableColumn id="15" xr3:uid="{25CB8F91-26C8-4EEA-A5A6-3C1B41AE578A}" name="Waterfall Type" dataDxfId="64"/>
  </tableColumns>
  <tableStyleInfo name="TableStyleDark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7924845-E6E8-4770-A825-E3939C0542FD}" name="Table20" displayName="Table20" ref="A1:G10" totalsRowShown="0">
  <autoFilter ref="A1:G10" xr:uid="{E7924845-E6E8-4770-A825-E3939C0542FD}"/>
  <tableColumns count="7">
    <tableColumn id="1" xr3:uid="{8B47E738-5D5D-49B6-9A45-B40EFDE72577}" name="cohort_week" dataDxfId="63"/>
    <tableColumn id="2" xr3:uid="{B59A6CE0-21A2-422A-8162-B172FAD27A60}" name="cohort_week_number"/>
    <tableColumn id="3" xr3:uid="{88CE375F-403C-4E59-AB3A-6C9472861B33}" name="users"/>
    <tableColumn id="4" xr3:uid="{7F384105-40CA-44F7-BD9B-D8E3F2184340}" name="total_sessions"/>
    <tableColumn id="5" xr3:uid="{2903D04F-D03A-4E5A-BF7A-5241ACDF13C7}" name="avg_sessions_per_user"/>
    <tableColumn id="6" xr3:uid="{01AF513D-4BAC-4630-B87E-4224230A793A}" name="users_2plus_sessions"/>
    <tableColumn id="7" xr3:uid="{C1E518FD-AF4E-44DD-945B-C427EF0ACC3C}" name="session_1_to_2_retention"/>
  </tableColumns>
  <tableStyleInfo name="TableStyleMedium1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7A05E9-EDAA-4572-9DB7-A2A2881E89F5}" name="Table7" displayName="Table7" ref="A1:C4" totalsRowShown="0" headerRowDxfId="62">
  <autoFilter ref="A1:C4" xr:uid="{7C7A05E9-EDAA-4572-9DB7-A2A2881E89F5}"/>
  <tableColumns count="3">
    <tableColumn id="1" xr3:uid="{74B0B088-F874-45AE-861F-E74625F737B5}" name="Scenario" dataDxfId="61"/>
    <tableColumn id="2" xr3:uid="{09178C06-99E4-41D8-A3F5-5CF9986F8CEE}" name="Target Retention %" dataDxfId="60"/>
    <tableColumn id="3" xr3:uid="{AF1813F8-0932-4441-B4EB-63E45855BD8F}" name="Avg Revenue gain per user"/>
  </tableColumns>
  <tableStyleInfo name="TableStyleMedium1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9C8488-611A-461C-A021-03D5E26805B0}" name="Table1" displayName="Table1" ref="A1:D10" totalsRowShown="0" headerRowDxfId="59" dataDxfId="58">
  <autoFilter ref="A1:D10" xr:uid="{709C8488-611A-461C-A021-03D5E26805B0}"/>
  <tableColumns count="4">
    <tableColumn id="1" xr3:uid="{AF7F11F1-3A3D-4985-BE44-3715A51D3BA2}" name="cohort_week" dataDxfId="57"/>
    <tableColumn id="2" xr3:uid="{00298222-C435-44E1-935B-E1A7B96E1B62}" name="users" dataDxfId="56"/>
    <tableColumn id="3" xr3:uid="{F2EC8472-4DC2-454C-AC04-EBB7A9E4E1A7}" name="current_retention" dataDxfId="55"/>
    <tableColumn id="4" xr3:uid="{97FBAEC1-07BF-4B0D-A703-31DACB0343E0}" name="Current_Users_Retained">
      <calculatedColumnFormula>ROUND(B2*C2/100,0)</calculatedColumnFormula>
    </tableColumn>
  </tableColumns>
  <tableStyleInfo name="TableStyleMedium1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EF18355-0E18-4743-AFFD-2ECE6F18291D}" name="Table8" displayName="Table8" ref="A30:C39" totalsRowShown="0" tableBorderDxfId="54">
  <autoFilter ref="A30:C39" xr:uid="{BEF18355-0E18-4743-AFFD-2ECE6F18291D}"/>
  <tableColumns count="3">
    <tableColumn id="1" xr3:uid="{12FFF74B-C80E-4E8A-A44D-DF640002EA58}" name="users_retained_Best_case" dataDxfId="53">
      <calculatedColumnFormula>ROUND(B2*30/100,0)</calculatedColumnFormula>
    </tableColumn>
    <tableColumn id="2" xr3:uid="{A2DE0CF2-2F59-4EAA-A4AA-0F9A4BC1DCFB}" name="Additional_users_retained" dataDxfId="52">
      <calculatedColumnFormula>A31-D2</calculatedColumnFormula>
    </tableColumn>
    <tableColumn id="3" xr3:uid="{22B1D2FA-95F7-4CEE-9DA3-41A947FB44E4}" name="Revenue Gain_BestCase" dataDxfId="51">
      <calculatedColumnFormula>B31*250</calculatedColumnFormula>
    </tableColumn>
  </tableColumns>
  <tableStyleInfo name="TableStyleMedium1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7FC2E75-8500-4653-8D32-2C303709410E}" name="Table12" displayName="Table12" ref="E15:G24" totalsRowShown="0" tableBorderDxfId="50">
  <autoFilter ref="E15:G24" xr:uid="{E7FC2E75-8500-4653-8D32-2C303709410E}"/>
  <tableColumns count="3">
    <tableColumn id="1" xr3:uid="{1411B01E-AE17-4E2F-BCAF-BEE43AB0E1A0}" name="users_retained_Benchmark" dataDxfId="49">
      <calculatedColumnFormula>ROUND(B2*25/100,0)</calculatedColumnFormula>
    </tableColumn>
    <tableColumn id="2" xr3:uid="{AD6BEE27-BFAD-4FF3-821D-88014C5C66EB}" name="Additional_users_retained" dataDxfId="48">
      <calculatedColumnFormula>E16-D2</calculatedColumnFormula>
    </tableColumn>
    <tableColumn id="3" xr3:uid="{C61FC1DB-9B6E-413E-963A-03864656F246}" name="Revenue Gain_benchmark" dataDxfId="47">
      <calculatedColumnFormula>F16*250</calculatedColumnFormula>
    </tableColumn>
  </tableColumns>
  <tableStyleInfo name="TableStyleMedium1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062D12C-4CBE-459E-839F-54CD543E2813}" name="Table15" displayName="Table15" ref="A15:C24" totalsRowShown="0" tableBorderDxfId="46">
  <autoFilter ref="A15:C24" xr:uid="{B062D12C-4CBE-459E-839F-54CD543E2813}"/>
  <tableColumns count="3">
    <tableColumn id="1" xr3:uid="{FE41B2BE-64A0-4384-8DDD-A9760C9CBDDE}" name="users_retained_Conservative_Improvement" dataDxfId="45">
      <calculatedColumnFormula>ROUND(B2*15/100,0)</calculatedColumnFormula>
    </tableColumn>
    <tableColumn id="2" xr3:uid="{C27BF896-B342-43A5-BC29-22F929E66355}" name="Additional_users_retained" dataDxfId="44">
      <calculatedColumnFormula>ROUND(A16-D2,0)</calculatedColumnFormula>
    </tableColumn>
    <tableColumn id="3" xr3:uid="{359A8831-A17D-44CB-AD50-82767E22E13A}" name="Revenue Gain_CI" dataDxfId="43">
      <calculatedColumnFormula>B16*250</calculatedColumnFormula>
    </tableColumn>
  </tableColumns>
  <tableStyleInfo name="TableStyleMedium14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787331E-F25F-4903-8DDF-AEE106F8CD23}" name="Table117" displayName="Table117" ref="A1:O10" totalsRowShown="0" headerRowDxfId="42" dataDxfId="41">
  <autoFilter ref="A1:O10" xr:uid="{8787331E-F25F-4903-8DDF-AEE106F8CD23}"/>
  <tableColumns count="15">
    <tableColumn id="1" xr3:uid="{94D95993-AE8C-431C-AF19-08FCA87F059F}" name="cohort_week" dataDxfId="40"/>
    <tableColumn id="2" xr3:uid="{00D6FA3B-7D4B-4944-9666-DF04BA3B17B4}" name="users" dataDxfId="39"/>
    <tableColumn id="6" xr3:uid="{95D05DBA-676F-42E5-B958-DCF566CCB043}" name="current_retention" dataDxfId="38" dataCellStyle="Percent">
      <calculatedColumnFormula>D2/100</calculatedColumnFormula>
    </tableColumn>
    <tableColumn id="3" xr3:uid="{9023CDFE-FB92-40B9-A293-34646D9B299E}" name="current_retention2" dataDxfId="37"/>
    <tableColumn id="4" xr3:uid="{512EC423-5C01-418F-A504-15945A34BE75}" name="Current_Users_Retained">
      <calculatedColumnFormula>ROUND(B2*D2/100,0)</calculatedColumnFormula>
    </tableColumn>
    <tableColumn id="5" xr3:uid="{B9B9DC25-6952-4314-884A-A737AB636C21}" name="Estimated Revenue" dataDxfId="36">
      <calculatedColumnFormula>Table117[[#This Row],[Current_Users_Retained]]*250</calculatedColumnFormula>
    </tableColumn>
    <tableColumn id="11" xr3:uid="{FC42E3B8-FE67-4AC9-9584-EFC4D4435125}" name="users_retained_Conservative_Improvement" dataDxfId="35"/>
    <tableColumn id="12" xr3:uid="{C89F042A-498A-4193-9E47-062B068FEB0B}" name="users_retained_Benchmark" dataDxfId="34"/>
    <tableColumn id="13" xr3:uid="{9060E559-8347-4581-991C-134345416F78}" name="users_retained_Best_case" dataDxfId="33"/>
    <tableColumn id="8" xr3:uid="{57D095FA-AFCA-46EC-99C5-5EE50115573F}" name="Additional_users_Conservative" dataDxfId="32">
      <calculatedColumnFormula>'CohortRetention-Simulated_sol'!B16</calculatedColumnFormula>
    </tableColumn>
    <tableColumn id="9" xr3:uid="{9BC05836-0C73-443C-BA4A-2C83A176AC80}" name="Additional_users_Benchmark" dataDxfId="31">
      <calculatedColumnFormula>'CohortRetention-Simulated_sol'!F16</calculatedColumnFormula>
    </tableColumn>
    <tableColumn id="10" xr3:uid="{31AACAD3-0653-4564-846A-2660175C233A}" name="Additional_users_BestCase" dataDxfId="30">
      <calculatedColumnFormula>'CohortRetention-Simulated_sol'!B31</calculatedColumnFormula>
    </tableColumn>
    <tableColumn id="14" xr3:uid="{7E2616A0-E86B-4007-BE24-F32331BBA777}" name="Revenue Gain_CI" dataDxfId="29">
      <calculatedColumnFormula>'CohortRetention-Simulated_sol'!C16</calculatedColumnFormula>
    </tableColumn>
    <tableColumn id="15" xr3:uid="{AF366495-8457-46B8-8CA2-7BABA621054B}" name="Revenue Gain_benchmark" dataDxfId="28">
      <calculatedColumnFormula>'CohortRetention-Simulated_sol'!G16</calculatedColumnFormula>
    </tableColumn>
    <tableColumn id="16" xr3:uid="{9D16C21F-C8C7-49A0-956A-346E6E70C47B}" name="Revenue Gain_BestCase" dataDxfId="27">
      <calculatedColumnFormula>'CohortRetention-Simulated_sol'!C31</calculatedColumnFormula>
    </tableColumn>
  </tableColumns>
  <tableStyleInfo name="TableStyleMedium14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213229-D775-46A8-9B85-A11189C16BE4}" name="Latency_Based_Targeting" displayName="Latency_Based_Targeting" ref="A1:C348" tableType="queryTable" totalsRowShown="0">
  <autoFilter ref="A1:C348" xr:uid="{9E213229-D775-46A8-9B85-A11189C16BE4}"/>
  <tableColumns count="3">
    <tableColumn id="1" xr3:uid="{6ECFE073-C1F9-4B1E-B8E5-0D79DAAA2DA1}" uniqueName="1" name="user_id" queryTableFieldId="1"/>
    <tableColumn id="2" xr3:uid="{AD429D05-229C-4530-8FFD-75EA4FA744B2}" uniqueName="2" name="product_id" queryTableFieldId="2"/>
    <tableColumn id="3" xr3:uid="{D3152079-610D-419A-9FCA-D460785C296C}" uniqueName="3" name="avg_time_to_convert" queryTableFieldId="3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3BF54DF-195C-4A94-892B-D5EE06DB93C8}" name="Latency_Based_Targeting18" displayName="Latency_Based_Targeting18" ref="A1:I348" tableType="queryTable" totalsRowShown="0">
  <autoFilter ref="A1:I348" xr:uid="{9E213229-D775-46A8-9B85-A11189C16BE4}"/>
  <tableColumns count="9">
    <tableColumn id="1" xr3:uid="{E3649F5D-8293-4E6A-B6A4-D9E8BA1C61D2}" uniqueName="1" name="user_id" queryTableFieldId="1"/>
    <tableColumn id="2" xr3:uid="{A75B44E8-134D-4BA6-9BA8-9EEEC56F1712}" uniqueName="2" name="product_id" queryTableFieldId="2"/>
    <tableColumn id="3" xr3:uid="{3D058C09-EFA4-415E-8548-052A19818C23}" uniqueName="3" name="avg_time_to_convert in Minutes" queryTableFieldId="3"/>
    <tableColumn id="4" xr3:uid="{8903D7F0-F977-4CAF-805B-F651F89EE3A0}" uniqueName="4" name="Latency Segment" queryTableFieldId="4" dataDxfId="26">
      <calculatedColumnFormula>IF(F2&lt;=2.5, "Low",
 IF(F2&lt;=3.5, "Medium",
 IF(F2&lt;=5.5, "High", "Very High")))</calculatedColumnFormula>
    </tableColumn>
    <tableColumn id="5" xr3:uid="{24BE2745-A74A-46F7-91ED-1F23317DD6AD}" uniqueName="5" name="Campaign ROI" queryTableFieldId="5" dataDxfId="25">
      <calculatedColumnFormula>IF(D2="Very High", 300, IF(D2="High", 200, IF(D2="Medium", 100, 50)))</calculatedColumnFormula>
    </tableColumn>
    <tableColumn id="8" xr3:uid="{9A489345-05CF-4A50-A40D-7C964BB2E1EB}" uniqueName="8" name="Average time to convert in Days" queryTableFieldId="7">
      <calculatedColumnFormula>ROUND(C2/1440,2)</calculatedColumnFormula>
    </tableColumn>
    <tableColumn id="6" xr3:uid="{83FFAAB0-E14B-4A9F-9E59-E11329F30CCB}" uniqueName="6" name="Improved Time to convert" queryTableFieldId="8">
      <calculatedColumnFormula>IF(D2="High", F2*0.7,
 IF(D2="Very High", F2*0.65,
 F2))</calculatedColumnFormula>
    </tableColumn>
    <tableColumn id="7" xr3:uid="{27EDE2FD-FFB1-4EC2-BD35-48E2AFEC993B}" uniqueName="7" name="Time Saved" queryTableFieldId="9" dataDxfId="24">
      <calculatedColumnFormula>ROUND(Latency_Based_Targeting18[[#This Row],[Average time to convert in Days]]-Latency_Based_Targeting18[[#This Row],[Improved Time to convert]],2)</calculatedColumnFormula>
    </tableColumn>
    <tableColumn id="9" xr3:uid="{AA6A78EB-CE94-49E9-90DA-B05CC7EAADFE}" uniqueName="9" name="% Conversion Speedup" queryTableFieldId="10" dataCellStyle="Percent">
      <calculatedColumnFormula>Latency_Based_Targeting18[[#This Row],[Time Saved]]/Latency_Based_Targeting18[[#This Row],[Average time to convert in Days]]</calculatedColumnFormula>
    </tableColumn>
  </tableColumns>
  <tableStyleInfo name="TableStyleMedium14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D111C37-F244-4EB9-84A3-3CA7B0555827}" name="Table19" displayName="Table19" ref="A1:B601" totalsRowShown="0">
  <autoFilter ref="A1:B601" xr:uid="{0D111C37-F244-4EB9-84A3-3CA7B0555827}"/>
  <tableColumns count="2">
    <tableColumn id="1" xr3:uid="{AD01E7BC-4314-4D56-B4A2-3C33714A8238}" name="category_id"/>
    <tableColumn id="2" xr3:uid="{543E67F4-6FBB-4821-9D33-BD3A09AB02A3}" name="total_favorites"/>
  </tableColumns>
  <tableStyleInfo name="TableStyleMedium14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71E5A2C4-962A-4AA9-9FB3-2C90FC454D25}" name="Table29" displayName="Table29" ref="A1:G4" totalsRowShown="0" headerRowDxfId="23">
  <autoFilter ref="A1:G4" xr:uid="{71E5A2C4-962A-4AA9-9FB3-2C90FC454D25}"/>
  <tableColumns count="7">
    <tableColumn id="1" xr3:uid="{108EAA88-5038-4EF5-A5D3-E2C23BB77F68}" name="Conversion Rate" dataDxfId="22"/>
    <tableColumn id="2" xr3:uid="{654A24C1-3AD5-492F-8FD3-B78D6DDAF3EC}" name="Scenario Label" dataDxfId="21"/>
    <tableColumn id="3" xr3:uid="{48434F4E-C3B1-4BAC-A4EE-2D918BF414E5}" name="Total SKUs">
      <calculatedColumnFormula>COUNTA(Table19[category_id])</calculatedColumnFormula>
    </tableColumn>
    <tableColumn id="4" xr3:uid="{23198A23-AF37-4752-961D-345F4A9FDEE5}" name="Targeted SKUs">
      <calculatedColumnFormula>0.1*600</calculatedColumnFormula>
    </tableColumn>
    <tableColumn id="5" xr3:uid="{772ECE12-5066-4BC0-981B-E5E18621D6F7}" name="Revenue"/>
    <tableColumn id="6" xr3:uid="{9F05E325-57D9-40FB-9304-C55DE8040232}" name="Conversions"/>
    <tableColumn id="7" xr3:uid="{38D52F8C-C3CA-479D-AE34-088AA1AD38EF}" name="Targeted Favorites">
      <calculatedColumnFormula>SUM(Table1922[Total Favorites])</calculatedColumnFormula>
    </tableColumn>
  </tableColumns>
  <tableStyleInfo name="TableStyleMedium15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162BAB5-B239-498F-AC8A-8716E8FEACAA}" name="Table1922" displayName="Table1922" ref="A1:I61" totalsRowShown="0">
  <autoFilter ref="A1:I61" xr:uid="{0D111C37-F244-4EB9-84A3-3CA7B0555827}"/>
  <tableColumns count="9">
    <tableColumn id="1" xr3:uid="{9A5A9C12-EE14-41E1-B810-F47ADFB4776C}" name="SKU ID"/>
    <tableColumn id="2" xr3:uid="{FA67ABB4-84CD-4139-9CEF-51000DDE80A4}" name="Total Favorites"/>
    <tableColumn id="4" xr3:uid="{0E07A8D8-7D21-4AFA-ACEE-2F79E3F5E3C0}" name="Avg Order Value"/>
    <tableColumn id="5" xr3:uid="{BD0D8265-C882-4BE6-8EE3-8A46486C0EB4}" name="Conversions (Conservative)" dataDxfId="11">
      <calculatedColumnFormula>ROUND(Table1922[[#This Row],[Total Favorites]]*0.15,0)</calculatedColumnFormula>
    </tableColumn>
    <tableColumn id="6" xr3:uid="{A8EE9969-EC20-4C6D-937F-F7FFD2119E6D}" name="Revenue (Conservative)">
      <calculatedColumnFormula>Table1922[[#This Row],[Conversions (Conservative)]]*Table1922[[#This Row],[Avg Order Value]]</calculatedColumnFormula>
    </tableColumn>
    <tableColumn id="7" xr3:uid="{1B588A0E-83CB-4C26-967F-EA368C1B3732}" name="Conversions (Benchmark)" dataDxfId="10">
      <calculatedColumnFormula>ROUND(Table1922[[#This Row],[Total Favorites]]*0.25,0)</calculatedColumnFormula>
    </tableColumn>
    <tableColumn id="8" xr3:uid="{89202AFF-3FC6-439B-A1B0-F32E8A8A7828}" name="Revenue (Benchmark)" dataDxfId="9">
      <calculatedColumnFormula>Table1922[[#This Row],[Conversions (Benchmark)]]*Table1922[[#This Row],[Avg Order Value]]</calculatedColumnFormula>
    </tableColumn>
    <tableColumn id="9" xr3:uid="{834D383E-F1B9-4E2F-BA8E-1760688E66A2}" name="Conversions (Best Case)" dataDxfId="7">
      <calculatedColumnFormula>ROUND(Table1922[[#This Row],[Total Favorites]]*0.3,0)</calculatedColumnFormula>
    </tableColumn>
    <tableColumn id="10" xr3:uid="{27C1EB40-ADF8-4349-85B1-31BAE57DC215}" name="Revenue (Best Case)" dataDxfId="8">
      <calculatedColumnFormula>Table1922[[#This Row],[Conversions (Best Case)]]*Table1922[[#This Row],[Avg Order Value]]</calculatedColumnFormula>
    </tableColumn>
  </tableColumns>
  <tableStyleInfo name="TableStyleMedium14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471E0EA2-B0F8-491A-AAE4-DE9872AB2846}" name="Table24" displayName="Table24" ref="A1:F1902" totalsRowShown="0">
  <autoFilter ref="A1:F1902" xr:uid="{471E0EA2-B0F8-491A-AAE4-DE9872AB2846}"/>
  <sortState xmlns:xlrd2="http://schemas.microsoft.com/office/spreadsheetml/2017/richdata2" ref="A2:F1902">
    <sortCondition descending="1" ref="B2:B1902"/>
  </sortState>
  <tableColumns count="6">
    <tableColumn id="1" xr3:uid="{7FD8D092-5DDF-4961-A632-4120D58EE835}" name="user_id"/>
    <tableColumn id="2" xr3:uid="{33AC9E71-5E9C-44C7-96FF-D9E02476A260}" name="total_sessions"/>
    <tableColumn id="3" xr3:uid="{E6B402A9-05D1-4C3D-ADC8-8FC7786256D4}" name="total_purchases"/>
    <tableColumn id="4" xr3:uid="{FE81801B-27CA-4080-B3D6-35216C3537FF}" name="last_purchase_time" dataDxfId="20"/>
    <tableColumn id="5" xr3:uid="{2C425783-E69E-43FA-BF32-4D6460A01BBB}" name="days_since_last_purchase"/>
    <tableColumn id="6" xr3:uid="{BD547554-00E8-4A1C-8B0E-C1E8C1751BD7}" name="loyalty_tier"/>
  </tableColumns>
  <tableStyleInfo name="TableStyleMedium14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CF132F33-21BA-4466-A97B-09ECE66F3C57}" name="Table23" displayName="Table23" ref="A1:M4" totalsRowShown="0" headerRowDxfId="4" tableBorderDxfId="6">
  <autoFilter ref="A1:M4" xr:uid="{CF132F33-21BA-4466-A97B-09ECE66F3C57}"/>
  <tableColumns count="13">
    <tableColumn id="1" xr3:uid="{FC4F405C-6537-451C-8734-206B0BC7ECD3}" name="Conversion Rate"/>
    <tableColumn id="2" xr3:uid="{ACA156C7-4216-4D4A-9A7F-79BAE4DC668E}" name="Scenario "/>
    <tableColumn id="3" xr3:uid="{64A770E5-5D57-46E5-BE80-FA55C67EB68F}" name="Currently Loyal Users">
      <calculatedColumnFormula>COUNTIFS('LoyaltyUsers-Data'!B:B,"&gt;=2",'LoyaltyUsers-Data'!C:C,"&gt;=2")</calculatedColumnFormula>
    </tableColumn>
    <tableColumn id="4" xr3:uid="{A826DF13-C36A-43B6-A938-CC7A4523C7FC}" name="Total Users"/>
    <tableColumn id="5" xr3:uid="{E2844597-5200-4F01-A96C-7A69B92C7605}" name="Loyalty Rate">
      <calculatedColumnFormula>C2/D2</calculatedColumnFormula>
    </tableColumn>
    <tableColumn id="6" xr3:uid="{509F0FCA-AF04-4880-9AE3-6B775EE0B911}" name="Campaign Pool Size">
      <calculatedColumnFormula>COUNT('LoyaltyUsers-Data'!A:A)</calculatedColumnFormula>
    </tableColumn>
    <tableColumn id="7" xr3:uid="{572EE59E-79A7-4A46-B7ED-5E0BB0C04C2E}" name="Target Loyal Users">
      <calculatedColumnFormula>ROUND(0.01*D2,0)</calculatedColumnFormula>
    </tableColumn>
    <tableColumn id="8" xr3:uid="{49E9BA65-ADF9-4856-B932-DF95502BB889}" name="Expected New Loyal Users">
      <calculatedColumnFormula>ROUND(A2*F2,0)</calculatedColumnFormula>
    </tableColumn>
    <tableColumn id="13" xr3:uid="{029FD828-BC91-483E-B6B6-DA9A74ACC4D6}" name="Loyal Users after Campaign">
      <calculatedColumnFormula>Table23[[#This Row],[Expected New Loyal Users]]+Table23[[#This Row],[Currently Loyal Users]]</calculatedColumnFormula>
    </tableColumn>
    <tableColumn id="9" xr3:uid="{73B11B22-8EAB-4676-AF3B-579BB5633A6D}" name="Avg Revenue/User" dataDxfId="5"/>
    <tableColumn id="10" xr3:uid="{B1F9F4D6-221A-40B3-BE17-AE2839CC842C}" name="Projected Revenue Gain">
      <calculatedColumnFormula>H2*J2</calculatedColumnFormula>
    </tableColumn>
    <tableColumn id="11" xr3:uid="{D14F7704-8285-4F37-865F-2BEA1C71877D}" name="Post Campaign Loyalty">
      <calculatedColumnFormula>('LoyaltyUsers-Simulated Sol'!$H2+'LoyaltyUsers-Simulated Sol'!$C2)/'LoyaltyUsers-Simulated Sol'!$D2</calculatedColumnFormula>
    </tableColumn>
    <tableColumn id="12" xr3:uid="{21A85FDB-A7E4-4122-9ED8-63158F99AEBB}" name="Percentage Upliftment In Loyalty">
      <calculatedColumnFormula>('LoyaltyUsers-Simulated Sol'!$L2-'LoyaltyUsers-Simulated Sol'!$E2)/'LoyaltyUsers-Simulated Sol'!$E2</calculatedColumnFormula>
    </tableColumn>
  </tableColumns>
  <tableStyleInfo name="TableStyleLight14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38B7098-3D16-4DC1-9929-92E695A60EC5}" name="Time_Sensitive_Engagement_By_Hour" displayName="Time_Sensitive_Engagement_By_Hour" ref="A1:E25" tableType="queryTable" totalsRowShown="0">
  <autoFilter ref="A1:E25" xr:uid="{838B7098-3D16-4DC1-9929-92E695A60EC5}"/>
  <sortState xmlns:xlrd2="http://schemas.microsoft.com/office/spreadsheetml/2017/richdata2" ref="A2:E25">
    <sortCondition descending="1" ref="E25"/>
  </sortState>
  <tableColumns count="5">
    <tableColumn id="1" xr3:uid="{28E39A81-568B-45C3-8B07-5F65E6CCD676}" uniqueName="1" name="hour_of_day" queryTableFieldId="1"/>
    <tableColumn id="6" xr3:uid="{A73048BF-5724-452B-A1CF-E8E6CEABC175}" uniqueName="6" name="total_actions" queryTableFieldId="6"/>
    <tableColumn id="7" xr3:uid="{87296324-3CD2-425C-B480-91B413B920B0}" uniqueName="7" name="views" queryTableFieldId="7"/>
    <tableColumn id="8" xr3:uid="{3925A49B-BACD-4DB4-9214-1E6E8FAF5AF3}" uniqueName="8" name="carted" queryTableFieldId="8"/>
    <tableColumn id="9" xr3:uid="{0F8BAA85-B4D7-43E0-8E15-B67ADE89CA98}" uniqueName="9" name="converted" queryTableFieldId="9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58FE38E-03DC-402A-B110-C28A99E73310}" name="Time_Sensitive_Engagement_By_Hour27" displayName="Time_Sensitive_Engagement_By_Hour27" ref="A1:L25" tableType="queryTable" totalsRowShown="0">
  <autoFilter ref="A1:L25" xr:uid="{058FE38E-03DC-402A-B110-C28A99E73310}"/>
  <sortState xmlns:xlrd2="http://schemas.microsoft.com/office/spreadsheetml/2017/richdata2" ref="A2:L25">
    <sortCondition ref="A2:A25"/>
  </sortState>
  <tableColumns count="12">
    <tableColumn id="1" xr3:uid="{4F30B9FE-A250-4CAD-A44F-78CD9B9C2437}" uniqueName="1" name="hour_of_day" queryTableFieldId="1"/>
    <tableColumn id="6" xr3:uid="{1F3FB8CA-F50F-4D2B-BD1C-D4EF77B121CE}" uniqueName="6" name="total_actions" queryTableFieldId="6"/>
    <tableColumn id="7" xr3:uid="{05F7698F-B6E7-48A9-AD81-0D47F30BE978}" uniqueName="7" name="views" queryTableFieldId="7"/>
    <tableColumn id="8" xr3:uid="{6BFB2A0E-7540-4B0C-ACCB-9BE1EF1C8BDD}" uniqueName="8" name="carted" queryTableFieldId="8"/>
    <tableColumn id="9" xr3:uid="{EA0FC5C1-588A-4812-B090-0C13368E62EC}" uniqueName="9" name="converted" queryTableFieldId="9"/>
    <tableColumn id="2" xr3:uid="{CA11A242-8065-49DC-B623-BACDA6EDA052}" uniqueName="2" name="Conversion Rate" queryTableFieldId="10" dataDxfId="3" dataCellStyle="Percent">
      <calculatedColumnFormula>ROUND(Time_Sensitive_Engagement_By_Hour27[[#This Row],[converted]]/Time_Sensitive_Engagement_By_Hour27[[#This Row],[views]],5)</calculatedColumnFormula>
    </tableColumn>
    <tableColumn id="3" xr3:uid="{FB0D6D51-5B2E-48E1-99CD-529C3DEE5D85}" uniqueName="3" name="Avg Revenue/User" queryTableFieldId="11"/>
    <tableColumn id="4" xr3:uid="{399D14A9-15CF-4147-85E5-D240B08F91A1}" uniqueName="4" name="Campaign Cost per 1000 views" queryTableFieldId="12"/>
    <tableColumn id="5" xr3:uid="{0ED7DA98-D7A5-4644-A8BA-5B0D6B31E543}" uniqueName="5" name="Revenue per1000 views" queryTableFieldId="13">
      <calculatedColumnFormula>Time_Sensitive_Engagement_By_Hour27[[#This Row],[Avg Revenue/User]]*Time_Sensitive_Engagement_By_Hour27[[#This Row],[Conversion Rate]]*1000</calculatedColumnFormula>
    </tableColumn>
    <tableColumn id="21" xr3:uid="{0AC9EAE2-7A8E-4643-94FC-5E197B45F8FF}" uniqueName="21" name="Total Campaign Cost" queryTableFieldId="15">
      <calculatedColumnFormula>(Time_Sensitive_Engagement_By_Hour27[[#This Row],[Campaign Cost per 1000 views]]*Time_Sensitive_Engagement_By_Hour27[[#This Row],[views]])/1000</calculatedColumnFormula>
    </tableColumn>
    <tableColumn id="22" xr3:uid="{392601CA-1F67-4E0D-92D0-D10F3EF4536C}" uniqueName="22" name="Total Revenue" queryTableFieldId="16">
      <calculatedColumnFormula>Time_Sensitive_Engagement_By_Hour27[[#This Row],[Avg Revenue/User]]*Time_Sensitive_Engagement_By_Hour27[[#This Row],[converted]]</calculatedColumnFormula>
    </tableColumn>
    <tableColumn id="23" xr3:uid="{A029F8D0-141C-40BB-B3FB-1A6FD24F6DD0}" uniqueName="23" name="ROI Calculation" queryTableFieldId="17" dataDxfId="0">
      <calculatedColumnFormula>Time_Sensitive_Engagement_By_Hour27[[#This Row],[Total Revenue]]-Time_Sensitive_Engagement_By_Hour27[[#This Row],[Total Campaign Cost]]</calculatedColumnFormula>
    </tableColumn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A4FF14DA-17A0-4D1E-BA58-D3C128621FA1}" name="Table27" displayName="Table27" ref="B31:C35" totalsRowShown="0" headerRowDxfId="19" dataDxfId="18">
  <autoFilter ref="B31:C35" xr:uid="{A4FF14DA-17A0-4D1E-BA58-D3C128621FA1}"/>
  <tableColumns count="2">
    <tableColumn id="1" xr3:uid="{0BCCCA9C-58A8-43D6-A4D4-BF99C46C6F1C}" name="Metric" dataDxfId="17"/>
    <tableColumn id="2" xr3:uid="{B8BE082C-D346-4EE8-8007-717A4B000C27}" name="Value/Insight" dataDxfId="16"/>
  </tableColumns>
  <tableStyleInfo name="TableStyleMedium14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E9B4C5E5-D190-4279-A857-601FC9578EAB}" name="Table28" displayName="Table28" ref="F31:I35" totalsRowShown="0" headerRowDxfId="15" dataDxfId="14">
  <autoFilter ref="F31:I35" xr:uid="{E9B4C5E5-D190-4279-A857-601FC9578EAB}"/>
  <tableColumns count="4">
    <tableColumn id="1" xr3:uid="{948139CC-C01C-4A1E-AEAD-DB43369431DE}" name="Hour Range" dataDxfId="1" dataCellStyle="Percent"/>
    <tableColumn id="2" xr3:uid="{6722E4F1-D0F6-483F-A95C-09190EB4462A}" name="Campaign Window" dataDxfId="2"/>
    <tableColumn id="3" xr3:uid="{F3C5A502-04F2-4890-9120-F19FA2A222C3}" name="ROI Class" dataDxfId="13"/>
    <tableColumn id="4" xr3:uid="{C1234419-1407-421B-8D06-28CBD4A4334D}" name="Action" dataDxfId="12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drawing" Target="../drawings/drawing3.xml"/><Relationship Id="rId5" Type="http://schemas.openxmlformats.org/officeDocument/2006/relationships/table" Target="../tables/table13.xml"/><Relationship Id="rId4" Type="http://schemas.openxmlformats.org/officeDocument/2006/relationships/table" Target="../tables/table1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table" Target="../tables/table24.xml"/><Relationship Id="rId1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5101C-8C50-4378-B873-1A15BFF67075}">
  <dimension ref="A1:C11441"/>
  <sheetViews>
    <sheetView topLeftCell="A11418" workbookViewId="0">
      <selection sqref="A1:C11441"/>
    </sheetView>
  </sheetViews>
  <sheetFormatPr defaultRowHeight="14.4"/>
  <cols>
    <col min="1" max="1" width="26.44140625" customWidth="1"/>
    <col min="2" max="2" width="12.77734375" bestFit="1" customWidth="1"/>
    <col min="3" max="3" width="15.33203125" bestFit="1" customWidth="1"/>
    <col min="5" max="5" width="16.44140625" customWidth="1"/>
    <col min="6" max="6" width="9.66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48282</v>
      </c>
      <c r="B2">
        <v>570735</v>
      </c>
      <c r="C2" s="32">
        <v>43070.366284722222</v>
      </c>
    </row>
    <row r="3" spans="1:3">
      <c r="A3">
        <v>189909</v>
      </c>
      <c r="B3">
        <v>1464116</v>
      </c>
      <c r="C3" s="32">
        <v>43069.668819444443</v>
      </c>
    </row>
    <row r="4" spans="1:3">
      <c r="A4">
        <v>267270</v>
      </c>
      <c r="B4">
        <v>3607361</v>
      </c>
      <c r="C4" s="32">
        <v>43070.684571759259</v>
      </c>
    </row>
    <row r="5" spans="1:3">
      <c r="A5">
        <v>795532</v>
      </c>
      <c r="B5">
        <v>154040</v>
      </c>
      <c r="C5" s="32">
        <v>43070.291192129633</v>
      </c>
    </row>
    <row r="6" spans="1:3" ht="18.600000000000001" customHeight="1">
      <c r="A6">
        <v>425978</v>
      </c>
      <c r="B6">
        <v>4756105</v>
      </c>
      <c r="C6" s="32">
        <v>43071.134525462963</v>
      </c>
    </row>
    <row r="7" spans="1:3">
      <c r="A7">
        <v>401330</v>
      </c>
      <c r="B7">
        <v>3944885</v>
      </c>
      <c r="C7" s="32">
        <v>43071.245798611111</v>
      </c>
    </row>
    <row r="8" spans="1:3" ht="16.8" customHeight="1">
      <c r="A8">
        <v>880798</v>
      </c>
      <c r="B8">
        <v>2355072</v>
      </c>
      <c r="C8" s="32">
        <v>43072.171701388892</v>
      </c>
    </row>
    <row r="9" spans="1:3" ht="16.8" customHeight="1">
      <c r="A9">
        <v>514845</v>
      </c>
      <c r="B9">
        <v>1299190</v>
      </c>
      <c r="C9" s="32">
        <v>43072.190208333333</v>
      </c>
    </row>
    <row r="10" spans="1:3" ht="20.399999999999999" customHeight="1">
      <c r="A10">
        <v>1002755</v>
      </c>
      <c r="B10">
        <v>4217906</v>
      </c>
      <c r="C10" s="32">
        <v>43071.660312499997</v>
      </c>
    </row>
    <row r="11" spans="1:3">
      <c r="A11">
        <v>273459</v>
      </c>
      <c r="B11">
        <v>4625363</v>
      </c>
      <c r="C11" s="32">
        <v>43072.001516203702</v>
      </c>
    </row>
    <row r="12" spans="1:3">
      <c r="A12">
        <v>223260</v>
      </c>
      <c r="B12">
        <v>3004853</v>
      </c>
      <c r="C12" s="32">
        <v>43072.601018518515</v>
      </c>
    </row>
    <row r="13" spans="1:3">
      <c r="A13">
        <v>973755</v>
      </c>
      <c r="B13">
        <v>48094</v>
      </c>
      <c r="C13" s="32">
        <v>43070.423784722225</v>
      </c>
    </row>
    <row r="14" spans="1:3">
      <c r="A14">
        <v>433766</v>
      </c>
      <c r="B14">
        <v>4145813</v>
      </c>
      <c r="C14" s="32">
        <v>43072.372210648151</v>
      </c>
    </row>
    <row r="15" spans="1:3">
      <c r="A15">
        <v>567233</v>
      </c>
      <c r="B15">
        <v>3607361</v>
      </c>
      <c r="C15" s="32">
        <v>43072.599247685182</v>
      </c>
    </row>
    <row r="16" spans="1:3">
      <c r="A16">
        <v>316286</v>
      </c>
      <c r="B16">
        <v>2355072</v>
      </c>
      <c r="C16" s="32">
        <v>43071.559120370373</v>
      </c>
    </row>
    <row r="17" spans="1:3">
      <c r="A17">
        <v>949684</v>
      </c>
      <c r="B17">
        <v>634390</v>
      </c>
      <c r="C17" s="32">
        <v>43071.665289351855</v>
      </c>
    </row>
    <row r="18" spans="1:3">
      <c r="A18">
        <v>1015353</v>
      </c>
      <c r="B18">
        <v>2465336</v>
      </c>
      <c r="C18" s="32">
        <v>43071.495416666665</v>
      </c>
    </row>
    <row r="19" spans="1:3">
      <c r="A19">
        <v>349126</v>
      </c>
      <c r="B19">
        <v>307335</v>
      </c>
      <c r="C19" s="32">
        <v>43070.598541666666</v>
      </c>
    </row>
    <row r="20" spans="1:3">
      <c r="A20">
        <v>382149</v>
      </c>
      <c r="B20">
        <v>1678374</v>
      </c>
      <c r="C20" s="32">
        <v>43071.571608796294</v>
      </c>
    </row>
    <row r="21" spans="1:3">
      <c r="A21">
        <v>59845</v>
      </c>
      <c r="B21">
        <v>982926</v>
      </c>
      <c r="C21" s="32">
        <v>43070.281226851854</v>
      </c>
    </row>
    <row r="22" spans="1:3">
      <c r="A22">
        <v>555719</v>
      </c>
      <c r="B22">
        <v>4643350</v>
      </c>
      <c r="C22" s="32">
        <v>43069.668645833335</v>
      </c>
    </row>
    <row r="23" spans="1:3">
      <c r="A23">
        <v>82459</v>
      </c>
      <c r="B23">
        <v>2321441</v>
      </c>
      <c r="C23" s="32">
        <v>43071.65048611111</v>
      </c>
    </row>
    <row r="24" spans="1:3">
      <c r="A24">
        <v>764692</v>
      </c>
      <c r="B24">
        <v>4222383</v>
      </c>
      <c r="C24" s="32">
        <v>43071.21597222222</v>
      </c>
    </row>
    <row r="25" spans="1:3">
      <c r="A25">
        <v>646389</v>
      </c>
      <c r="B25">
        <v>448398</v>
      </c>
      <c r="C25" s="32">
        <v>43071.637372685182</v>
      </c>
    </row>
    <row r="26" spans="1:3">
      <c r="A26">
        <v>740761</v>
      </c>
      <c r="B26">
        <v>1859277</v>
      </c>
      <c r="C26" s="32">
        <v>43072.605590277781</v>
      </c>
    </row>
    <row r="27" spans="1:3">
      <c r="A27">
        <v>64701</v>
      </c>
      <c r="B27">
        <v>1231891</v>
      </c>
      <c r="C27" s="32">
        <v>43072.258449074077</v>
      </c>
    </row>
    <row r="28" spans="1:3">
      <c r="A28">
        <v>954344</v>
      </c>
      <c r="B28">
        <v>4756105</v>
      </c>
      <c r="C28" s="32">
        <v>43072.633252314816</v>
      </c>
    </row>
    <row r="29" spans="1:3">
      <c r="A29">
        <v>934462</v>
      </c>
      <c r="B29">
        <v>1419417</v>
      </c>
      <c r="C29" s="32">
        <v>43070.58152777778</v>
      </c>
    </row>
    <row r="30" spans="1:3">
      <c r="A30">
        <v>878094</v>
      </c>
      <c r="B30">
        <v>3189162</v>
      </c>
      <c r="C30" s="32">
        <v>43072.604178240741</v>
      </c>
    </row>
    <row r="31" spans="1:3">
      <c r="A31">
        <v>210755</v>
      </c>
      <c r="B31">
        <v>570735</v>
      </c>
      <c r="C31" s="32">
        <v>43071.089004629626</v>
      </c>
    </row>
    <row r="32" spans="1:3">
      <c r="A32">
        <v>327685</v>
      </c>
      <c r="B32">
        <v>3158249</v>
      </c>
      <c r="C32" s="32">
        <v>43070.971331018518</v>
      </c>
    </row>
    <row r="33" spans="1:3">
      <c r="A33">
        <v>281893</v>
      </c>
      <c r="B33">
        <v>4052307</v>
      </c>
      <c r="C33" s="32">
        <v>43071.660405092596</v>
      </c>
    </row>
    <row r="34" spans="1:3">
      <c r="A34">
        <v>626342</v>
      </c>
      <c r="B34">
        <v>1420205</v>
      </c>
      <c r="C34" s="32">
        <v>43071.666562500002</v>
      </c>
    </row>
    <row r="35" spans="1:3">
      <c r="A35">
        <v>415390</v>
      </c>
      <c r="B35">
        <v>570735</v>
      </c>
      <c r="C35" s="32">
        <v>43072.176944444444</v>
      </c>
    </row>
    <row r="36" spans="1:3">
      <c r="A36">
        <v>66215</v>
      </c>
      <c r="B36">
        <v>1320293</v>
      </c>
      <c r="C36" s="32">
        <v>43071.06962962963</v>
      </c>
    </row>
    <row r="37" spans="1:3">
      <c r="A37">
        <v>768115</v>
      </c>
      <c r="B37">
        <v>570735</v>
      </c>
      <c r="C37" s="32">
        <v>43070.461828703701</v>
      </c>
    </row>
    <row r="38" spans="1:3">
      <c r="A38">
        <v>581920</v>
      </c>
      <c r="B38">
        <v>4357323</v>
      </c>
      <c r="C38" s="32">
        <v>43071.519768518519</v>
      </c>
    </row>
    <row r="39" spans="1:3">
      <c r="A39">
        <v>407245</v>
      </c>
      <c r="B39">
        <v>3002561</v>
      </c>
      <c r="C39" s="32">
        <v>43070.450243055559</v>
      </c>
    </row>
    <row r="40" spans="1:3">
      <c r="A40">
        <v>346947</v>
      </c>
      <c r="B40">
        <v>235534</v>
      </c>
      <c r="C40" s="32">
        <v>43072.232303240744</v>
      </c>
    </row>
    <row r="41" spans="1:3">
      <c r="A41">
        <v>21038</v>
      </c>
      <c r="B41">
        <v>4145813</v>
      </c>
      <c r="C41" s="32">
        <v>43071.093657407408</v>
      </c>
    </row>
    <row r="42" spans="1:3">
      <c r="A42">
        <v>424594</v>
      </c>
      <c r="B42">
        <v>3604509</v>
      </c>
      <c r="C42" s="32">
        <v>43072.187754629631</v>
      </c>
    </row>
    <row r="43" spans="1:3">
      <c r="A43">
        <v>616202</v>
      </c>
      <c r="B43">
        <v>3645362</v>
      </c>
      <c r="C43" s="32">
        <v>43070.564143518517</v>
      </c>
    </row>
    <row r="44" spans="1:3">
      <c r="A44">
        <v>944579</v>
      </c>
      <c r="B44">
        <v>2885642</v>
      </c>
      <c r="C44" s="32">
        <v>43070.372361111113</v>
      </c>
    </row>
    <row r="45" spans="1:3">
      <c r="A45">
        <v>24021</v>
      </c>
      <c r="B45">
        <v>411153</v>
      </c>
      <c r="C45" s="32">
        <v>43072.213935185187</v>
      </c>
    </row>
    <row r="46" spans="1:3">
      <c r="A46">
        <v>287509</v>
      </c>
      <c r="B46">
        <v>4145813</v>
      </c>
      <c r="C46" s="32">
        <v>43072.481203703705</v>
      </c>
    </row>
    <row r="47" spans="1:3">
      <c r="A47">
        <v>408820</v>
      </c>
      <c r="B47">
        <v>3624696</v>
      </c>
      <c r="C47" s="32">
        <v>43071.779097222221</v>
      </c>
    </row>
    <row r="48" spans="1:3">
      <c r="A48">
        <v>104044</v>
      </c>
      <c r="B48">
        <v>3738615</v>
      </c>
      <c r="C48" s="32">
        <v>43072.59034722222</v>
      </c>
    </row>
    <row r="49" spans="1:3">
      <c r="A49">
        <v>720961</v>
      </c>
      <c r="B49">
        <v>3738615</v>
      </c>
      <c r="C49" s="32">
        <v>43071.594571759262</v>
      </c>
    </row>
    <row r="50" spans="1:3">
      <c r="A50">
        <v>734691</v>
      </c>
      <c r="B50">
        <v>3015852</v>
      </c>
      <c r="C50" s="32">
        <v>43072.564930555556</v>
      </c>
    </row>
    <row r="51" spans="1:3">
      <c r="A51">
        <v>157070</v>
      </c>
      <c r="B51">
        <v>982926</v>
      </c>
      <c r="C51" s="32">
        <v>43072.547465277778</v>
      </c>
    </row>
    <row r="52" spans="1:3">
      <c r="A52">
        <v>432237</v>
      </c>
      <c r="B52">
        <v>2131531</v>
      </c>
      <c r="C52" s="32">
        <v>43071.312060185184</v>
      </c>
    </row>
    <row r="53" spans="1:3">
      <c r="A53">
        <v>228088</v>
      </c>
      <c r="B53">
        <v>4756105</v>
      </c>
      <c r="C53" s="32">
        <v>43070.567939814813</v>
      </c>
    </row>
    <row r="54" spans="1:3">
      <c r="A54">
        <v>2031</v>
      </c>
      <c r="B54">
        <v>4869837</v>
      </c>
      <c r="C54" s="32">
        <v>43070.110879629632</v>
      </c>
    </row>
    <row r="55" spans="1:3">
      <c r="A55">
        <v>367797</v>
      </c>
      <c r="B55">
        <v>149192</v>
      </c>
      <c r="C55" s="32">
        <v>43071.076886574076</v>
      </c>
    </row>
    <row r="56" spans="1:3">
      <c r="A56">
        <v>149508</v>
      </c>
      <c r="B56">
        <v>4015820</v>
      </c>
      <c r="C56" s="32">
        <v>43071.569756944446</v>
      </c>
    </row>
    <row r="57" spans="1:3">
      <c r="A57">
        <v>547095</v>
      </c>
      <c r="B57">
        <v>72526</v>
      </c>
      <c r="C57" s="32">
        <v>43071.44326388889</v>
      </c>
    </row>
    <row r="58" spans="1:3">
      <c r="A58">
        <v>939530</v>
      </c>
      <c r="B58">
        <v>1368970</v>
      </c>
      <c r="C58" s="32">
        <v>43071.67596064815</v>
      </c>
    </row>
    <row r="59" spans="1:3">
      <c r="A59">
        <v>943913</v>
      </c>
      <c r="B59">
        <v>753984</v>
      </c>
      <c r="C59" s="32">
        <v>43070.326342592591</v>
      </c>
    </row>
    <row r="60" spans="1:3">
      <c r="A60">
        <v>862203</v>
      </c>
      <c r="B60">
        <v>3065645</v>
      </c>
      <c r="C60" s="32">
        <v>43070.081435185188</v>
      </c>
    </row>
    <row r="61" spans="1:3">
      <c r="A61">
        <v>855254</v>
      </c>
      <c r="B61">
        <v>1061857</v>
      </c>
      <c r="C61" s="32">
        <v>43072.071898148148</v>
      </c>
    </row>
    <row r="62" spans="1:3">
      <c r="A62">
        <v>753907</v>
      </c>
      <c r="B62">
        <v>149192</v>
      </c>
      <c r="C62" s="32">
        <v>43071.460231481484</v>
      </c>
    </row>
    <row r="63" spans="1:3">
      <c r="A63">
        <v>204396</v>
      </c>
      <c r="B63">
        <v>1029459</v>
      </c>
      <c r="C63" s="32">
        <v>43072.1483912037</v>
      </c>
    </row>
    <row r="64" spans="1:3">
      <c r="A64">
        <v>486867</v>
      </c>
      <c r="B64">
        <v>624370</v>
      </c>
      <c r="C64" s="32">
        <v>43072.306805555556</v>
      </c>
    </row>
    <row r="65" spans="1:3">
      <c r="A65">
        <v>948329</v>
      </c>
      <c r="B65">
        <v>4801426</v>
      </c>
      <c r="C65" s="32">
        <v>43072.219537037039</v>
      </c>
    </row>
    <row r="66" spans="1:3">
      <c r="A66">
        <v>681024</v>
      </c>
      <c r="B66">
        <v>1575622</v>
      </c>
      <c r="C66" s="32">
        <v>43072.117222222223</v>
      </c>
    </row>
    <row r="67" spans="1:3">
      <c r="A67">
        <v>337563</v>
      </c>
      <c r="B67">
        <v>922189</v>
      </c>
      <c r="C67" s="32">
        <v>43070.522731481484</v>
      </c>
    </row>
    <row r="68" spans="1:3">
      <c r="A68">
        <v>187147</v>
      </c>
      <c r="B68">
        <v>4758477</v>
      </c>
      <c r="C68" s="32">
        <v>43072.069872685184</v>
      </c>
    </row>
    <row r="69" spans="1:3">
      <c r="A69">
        <v>734084</v>
      </c>
      <c r="B69">
        <v>163196</v>
      </c>
      <c r="C69" s="32">
        <v>43069.788645833331</v>
      </c>
    </row>
    <row r="70" spans="1:3">
      <c r="A70">
        <v>869551</v>
      </c>
      <c r="B70">
        <v>4882154</v>
      </c>
      <c r="C70" s="32">
        <v>43070.553819444445</v>
      </c>
    </row>
    <row r="71" spans="1:3">
      <c r="A71">
        <v>854046</v>
      </c>
      <c r="B71">
        <v>1397912</v>
      </c>
      <c r="C71" s="32">
        <v>43071.794259259259</v>
      </c>
    </row>
    <row r="72" spans="1:3">
      <c r="A72">
        <v>23858</v>
      </c>
      <c r="B72">
        <v>3924783</v>
      </c>
      <c r="C72" s="32">
        <v>43072.292662037034</v>
      </c>
    </row>
    <row r="73" spans="1:3">
      <c r="A73">
        <v>894986</v>
      </c>
      <c r="B73">
        <v>1488813</v>
      </c>
      <c r="C73" s="32">
        <v>43070.116539351853</v>
      </c>
    </row>
    <row r="74" spans="1:3">
      <c r="A74">
        <v>150535</v>
      </c>
      <c r="B74">
        <v>155172</v>
      </c>
      <c r="C74" s="32">
        <v>43071.847071759257</v>
      </c>
    </row>
    <row r="75" spans="1:3">
      <c r="A75">
        <v>578461</v>
      </c>
      <c r="B75">
        <v>2520377</v>
      </c>
      <c r="C75" s="32">
        <v>43072.168981481482</v>
      </c>
    </row>
    <row r="76" spans="1:3">
      <c r="A76">
        <v>566600</v>
      </c>
      <c r="B76">
        <v>4672807</v>
      </c>
      <c r="C76" s="32">
        <v>43070.530578703707</v>
      </c>
    </row>
    <row r="77" spans="1:3">
      <c r="A77">
        <v>110174</v>
      </c>
      <c r="B77">
        <v>283996</v>
      </c>
      <c r="C77" s="32">
        <v>43072.202187499999</v>
      </c>
    </row>
    <row r="78" spans="1:3">
      <c r="A78">
        <v>770140</v>
      </c>
      <c r="B78">
        <v>1665989</v>
      </c>
      <c r="C78" s="32">
        <v>43070.581701388888</v>
      </c>
    </row>
    <row r="79" spans="1:3">
      <c r="A79">
        <v>170211</v>
      </c>
      <c r="B79">
        <v>1029459</v>
      </c>
      <c r="C79" s="32">
        <v>43071.450219907405</v>
      </c>
    </row>
    <row r="80" spans="1:3">
      <c r="A80">
        <v>547904</v>
      </c>
      <c r="B80">
        <v>570735</v>
      </c>
      <c r="C80" s="32">
        <v>43072.156527777777</v>
      </c>
    </row>
    <row r="81" spans="1:3">
      <c r="A81">
        <v>257371</v>
      </c>
      <c r="B81">
        <v>800581</v>
      </c>
      <c r="C81" s="32">
        <v>43071.289641203701</v>
      </c>
    </row>
    <row r="82" spans="1:3">
      <c r="A82">
        <v>966071</v>
      </c>
      <c r="B82">
        <v>3299155</v>
      </c>
      <c r="C82" s="32">
        <v>43071.365231481483</v>
      </c>
    </row>
    <row r="83" spans="1:3">
      <c r="A83">
        <v>363253</v>
      </c>
      <c r="B83">
        <v>149192</v>
      </c>
      <c r="C83" s="32">
        <v>43071.552488425928</v>
      </c>
    </row>
    <row r="84" spans="1:3">
      <c r="A84">
        <v>518924</v>
      </c>
      <c r="B84">
        <v>4217906</v>
      </c>
      <c r="C84" s="32">
        <v>43072.130497685182</v>
      </c>
    </row>
    <row r="85" spans="1:3">
      <c r="A85">
        <v>192101</v>
      </c>
      <c r="B85">
        <v>2885642</v>
      </c>
      <c r="C85" s="32">
        <v>43070.665243055555</v>
      </c>
    </row>
    <row r="86" spans="1:3">
      <c r="A86">
        <v>694777</v>
      </c>
      <c r="B86">
        <v>1349561</v>
      </c>
      <c r="C86" s="32">
        <v>43072.126388888886</v>
      </c>
    </row>
    <row r="87" spans="1:3">
      <c r="A87">
        <v>35571</v>
      </c>
      <c r="B87">
        <v>4217906</v>
      </c>
      <c r="C87" s="32">
        <v>43070.01021990741</v>
      </c>
    </row>
    <row r="88" spans="1:3">
      <c r="A88">
        <v>55127</v>
      </c>
      <c r="B88">
        <v>570735</v>
      </c>
      <c r="C88" s="32">
        <v>43072.529224537036</v>
      </c>
    </row>
    <row r="89" spans="1:3">
      <c r="A89">
        <v>224151</v>
      </c>
      <c r="B89">
        <v>1080785</v>
      </c>
      <c r="C89" s="32">
        <v>43071.431504629632</v>
      </c>
    </row>
    <row r="90" spans="1:3">
      <c r="A90">
        <v>7378</v>
      </c>
      <c r="B90">
        <v>2939262</v>
      </c>
      <c r="C90" s="32">
        <v>43070.002500000002</v>
      </c>
    </row>
    <row r="91" spans="1:3">
      <c r="A91">
        <v>14247</v>
      </c>
      <c r="B91">
        <v>4217906</v>
      </c>
      <c r="C91" s="32">
        <v>43070.590254629627</v>
      </c>
    </row>
    <row r="92" spans="1:3">
      <c r="A92">
        <v>142222</v>
      </c>
      <c r="B92">
        <v>2465336</v>
      </c>
      <c r="C92" s="32">
        <v>43071.617476851854</v>
      </c>
    </row>
    <row r="93" spans="1:3">
      <c r="A93">
        <v>803171</v>
      </c>
      <c r="B93">
        <v>3065645</v>
      </c>
      <c r="C93" s="32">
        <v>43070.210879629631</v>
      </c>
    </row>
    <row r="94" spans="1:3">
      <c r="A94">
        <v>940310</v>
      </c>
      <c r="B94">
        <v>2885642</v>
      </c>
      <c r="C94" s="32">
        <v>43072.631736111114</v>
      </c>
    </row>
    <row r="95" spans="1:3">
      <c r="A95">
        <v>929620</v>
      </c>
      <c r="B95">
        <v>2064458</v>
      </c>
      <c r="C95" s="32">
        <v>43070.912685185183</v>
      </c>
    </row>
    <row r="96" spans="1:3">
      <c r="A96">
        <v>27408</v>
      </c>
      <c r="B96">
        <v>2355072</v>
      </c>
      <c r="C96" s="32">
        <v>43070.889837962961</v>
      </c>
    </row>
    <row r="97" spans="1:3">
      <c r="A97">
        <v>690354</v>
      </c>
      <c r="B97">
        <v>4817379</v>
      </c>
      <c r="C97" s="32">
        <v>43071.453263888892</v>
      </c>
    </row>
    <row r="98" spans="1:3">
      <c r="A98">
        <v>291771</v>
      </c>
      <c r="B98">
        <v>3579754</v>
      </c>
      <c r="C98" s="32">
        <v>43071.476909722223</v>
      </c>
    </row>
    <row r="99" spans="1:3">
      <c r="A99">
        <v>429495</v>
      </c>
      <c r="B99">
        <v>2977477</v>
      </c>
      <c r="C99" s="32">
        <v>43071.448125000003</v>
      </c>
    </row>
    <row r="100" spans="1:3">
      <c r="A100">
        <v>669690</v>
      </c>
      <c r="B100">
        <v>3015852</v>
      </c>
      <c r="C100" s="32">
        <v>43071.593449074076</v>
      </c>
    </row>
    <row r="101" spans="1:3">
      <c r="A101">
        <v>769848</v>
      </c>
      <c r="B101">
        <v>2873526</v>
      </c>
      <c r="C101" s="32">
        <v>43071.642638888887</v>
      </c>
    </row>
    <row r="102" spans="1:3">
      <c r="A102">
        <v>797112</v>
      </c>
      <c r="B102">
        <v>1672186</v>
      </c>
      <c r="C102" s="32">
        <v>43070.081006944441</v>
      </c>
    </row>
    <row r="103" spans="1:3">
      <c r="A103">
        <v>412334</v>
      </c>
      <c r="B103">
        <v>4969568</v>
      </c>
      <c r="C103" s="32">
        <v>43070.46125</v>
      </c>
    </row>
    <row r="104" spans="1:3">
      <c r="A104">
        <v>283717</v>
      </c>
      <c r="B104">
        <v>4173315</v>
      </c>
      <c r="C104" s="32">
        <v>43069.675428240742</v>
      </c>
    </row>
    <row r="105" spans="1:3">
      <c r="A105">
        <v>19424</v>
      </c>
      <c r="B105">
        <v>2313309</v>
      </c>
      <c r="C105" s="32">
        <v>43071.564826388887</v>
      </c>
    </row>
    <row r="106" spans="1:3">
      <c r="A106">
        <v>127239</v>
      </c>
      <c r="B106">
        <v>4672807</v>
      </c>
      <c r="C106" s="32">
        <v>43070.208923611113</v>
      </c>
    </row>
    <row r="107" spans="1:3">
      <c r="A107">
        <v>130740</v>
      </c>
      <c r="B107">
        <v>1349561</v>
      </c>
      <c r="C107" s="32">
        <v>43070.583275462966</v>
      </c>
    </row>
    <row r="108" spans="1:3">
      <c r="A108">
        <v>537331</v>
      </c>
      <c r="B108">
        <v>3299155</v>
      </c>
      <c r="C108" s="32">
        <v>43070.523101851853</v>
      </c>
    </row>
    <row r="109" spans="1:3">
      <c r="A109">
        <v>936733</v>
      </c>
      <c r="B109">
        <v>1376358</v>
      </c>
      <c r="C109" s="32">
        <v>43071.426527777781</v>
      </c>
    </row>
    <row r="110" spans="1:3">
      <c r="A110">
        <v>443196</v>
      </c>
      <c r="B110">
        <v>1807584</v>
      </c>
      <c r="C110" s="32">
        <v>43071.708101851851</v>
      </c>
    </row>
    <row r="111" spans="1:3">
      <c r="A111">
        <v>445110</v>
      </c>
      <c r="B111">
        <v>4936889</v>
      </c>
      <c r="C111" s="32">
        <v>43071.613275462965</v>
      </c>
    </row>
    <row r="112" spans="1:3">
      <c r="A112">
        <v>241052</v>
      </c>
      <c r="B112">
        <v>1080785</v>
      </c>
      <c r="C112" s="32">
        <v>43071.033067129632</v>
      </c>
    </row>
    <row r="113" spans="1:3">
      <c r="A113">
        <v>940812</v>
      </c>
      <c r="B113">
        <v>4217906</v>
      </c>
      <c r="C113" s="32">
        <v>43072.101747685185</v>
      </c>
    </row>
    <row r="114" spans="1:3">
      <c r="A114">
        <v>41468</v>
      </c>
      <c r="B114">
        <v>4086613</v>
      </c>
      <c r="C114" s="32">
        <v>43072.231562499997</v>
      </c>
    </row>
    <row r="115" spans="1:3">
      <c r="A115">
        <v>350238</v>
      </c>
      <c r="B115">
        <v>4756105</v>
      </c>
      <c r="C115" s="32">
        <v>43071.025983796295</v>
      </c>
    </row>
    <row r="116" spans="1:3">
      <c r="A116">
        <v>601162</v>
      </c>
      <c r="B116">
        <v>2195789</v>
      </c>
      <c r="C116" s="32">
        <v>43072.630949074075</v>
      </c>
    </row>
    <row r="117" spans="1:3">
      <c r="A117">
        <v>732215</v>
      </c>
      <c r="B117">
        <v>2355072</v>
      </c>
      <c r="C117" s="32">
        <v>43072.472754629627</v>
      </c>
    </row>
    <row r="118" spans="1:3">
      <c r="A118">
        <v>951561</v>
      </c>
      <c r="B118">
        <v>1568197</v>
      </c>
      <c r="C118" s="32">
        <v>43071.416412037041</v>
      </c>
    </row>
    <row r="119" spans="1:3">
      <c r="A119">
        <v>178603</v>
      </c>
      <c r="B119">
        <v>4801426</v>
      </c>
      <c r="C119" s="32">
        <v>43071.095555555556</v>
      </c>
    </row>
    <row r="120" spans="1:3">
      <c r="A120">
        <v>262652</v>
      </c>
      <c r="B120">
        <v>149192</v>
      </c>
      <c r="C120" s="32">
        <v>43071.372465277775</v>
      </c>
    </row>
    <row r="121" spans="1:3">
      <c r="A121">
        <v>795176</v>
      </c>
      <c r="B121">
        <v>4756105</v>
      </c>
      <c r="C121" s="32">
        <v>43072.066284722219</v>
      </c>
    </row>
    <row r="122" spans="1:3">
      <c r="A122">
        <v>335257</v>
      </c>
      <c r="B122">
        <v>965809</v>
      </c>
      <c r="C122" s="32">
        <v>43069.72142361111</v>
      </c>
    </row>
    <row r="123" spans="1:3">
      <c r="A123">
        <v>115089</v>
      </c>
      <c r="B123">
        <v>2885642</v>
      </c>
      <c r="C123" s="32">
        <v>43072.407800925925</v>
      </c>
    </row>
    <row r="124" spans="1:3">
      <c r="A124">
        <v>450171</v>
      </c>
      <c r="B124">
        <v>1429156</v>
      </c>
      <c r="C124" s="32">
        <v>43070.650335648148</v>
      </c>
    </row>
    <row r="125" spans="1:3">
      <c r="A125">
        <v>64262</v>
      </c>
      <c r="B125">
        <v>1275696</v>
      </c>
      <c r="C125" s="32">
        <v>43070.331759259258</v>
      </c>
    </row>
    <row r="126" spans="1:3">
      <c r="A126">
        <v>883725</v>
      </c>
      <c r="B126">
        <v>1320530</v>
      </c>
      <c r="C126" s="32">
        <v>43072.118761574071</v>
      </c>
    </row>
    <row r="127" spans="1:3">
      <c r="A127">
        <v>9387</v>
      </c>
      <c r="B127">
        <v>2520377</v>
      </c>
      <c r="C127" s="32">
        <v>43072.017731481479</v>
      </c>
    </row>
    <row r="128" spans="1:3">
      <c r="A128">
        <v>364177</v>
      </c>
      <c r="B128">
        <v>3607361</v>
      </c>
      <c r="C128" s="32">
        <v>43072.385995370372</v>
      </c>
    </row>
    <row r="129" spans="1:3">
      <c r="A129">
        <v>409453</v>
      </c>
      <c r="B129">
        <v>4801426</v>
      </c>
      <c r="C129" s="32">
        <v>43071.995335648149</v>
      </c>
    </row>
    <row r="130" spans="1:3">
      <c r="A130">
        <v>261796</v>
      </c>
      <c r="B130">
        <v>2465336</v>
      </c>
      <c r="C130" s="32">
        <v>43072.459548611114</v>
      </c>
    </row>
    <row r="131" spans="1:3">
      <c r="A131">
        <v>300732</v>
      </c>
      <c r="B131">
        <v>2430608</v>
      </c>
      <c r="C131" s="32">
        <v>43072.579201388886</v>
      </c>
    </row>
    <row r="132" spans="1:3">
      <c r="A132">
        <v>661098</v>
      </c>
      <c r="B132">
        <v>4188178</v>
      </c>
      <c r="C132" s="32">
        <v>43070.615370370368</v>
      </c>
    </row>
    <row r="133" spans="1:3">
      <c r="A133">
        <v>138512</v>
      </c>
      <c r="B133">
        <v>149192</v>
      </c>
      <c r="C133" s="32">
        <v>43070.048356481479</v>
      </c>
    </row>
    <row r="134" spans="1:3">
      <c r="A134">
        <v>532875</v>
      </c>
      <c r="B134">
        <v>3673049</v>
      </c>
      <c r="C134" s="32">
        <v>43072.572824074072</v>
      </c>
    </row>
    <row r="135" spans="1:3">
      <c r="A135">
        <v>929473</v>
      </c>
      <c r="B135">
        <v>4170419</v>
      </c>
      <c r="C135" s="32">
        <v>43070.199652777781</v>
      </c>
    </row>
    <row r="136" spans="1:3">
      <c r="A136">
        <v>27349</v>
      </c>
      <c r="B136">
        <v>2885642</v>
      </c>
      <c r="C136" s="32">
        <v>43070.474027777775</v>
      </c>
    </row>
    <row r="137" spans="1:3">
      <c r="A137">
        <v>608472</v>
      </c>
      <c r="B137">
        <v>1068933</v>
      </c>
      <c r="C137" s="32">
        <v>43072.031469907408</v>
      </c>
    </row>
    <row r="138" spans="1:3">
      <c r="A138">
        <v>198840</v>
      </c>
      <c r="B138">
        <v>4145813</v>
      </c>
      <c r="C138" s="32">
        <v>43071.126458333332</v>
      </c>
    </row>
    <row r="139" spans="1:3">
      <c r="A139">
        <v>442508</v>
      </c>
      <c r="B139">
        <v>2581941</v>
      </c>
      <c r="C139" s="32">
        <v>43070.992615740739</v>
      </c>
    </row>
    <row r="140" spans="1:3">
      <c r="A140">
        <v>889016</v>
      </c>
      <c r="B140">
        <v>2640118</v>
      </c>
      <c r="C140" s="32">
        <v>43072.506712962961</v>
      </c>
    </row>
    <row r="141" spans="1:3">
      <c r="A141">
        <v>148991</v>
      </c>
      <c r="B141">
        <v>3616520</v>
      </c>
      <c r="C141" s="32">
        <v>43071.555289351854</v>
      </c>
    </row>
    <row r="142" spans="1:3">
      <c r="A142">
        <v>460946</v>
      </c>
      <c r="B142">
        <v>334831</v>
      </c>
      <c r="C142" s="32">
        <v>43071.357673611114</v>
      </c>
    </row>
    <row r="143" spans="1:3">
      <c r="A143">
        <v>996819</v>
      </c>
      <c r="B143">
        <v>4877478</v>
      </c>
      <c r="C143" s="32">
        <v>43072.245659722219</v>
      </c>
    </row>
    <row r="144" spans="1:3">
      <c r="A144">
        <v>724724</v>
      </c>
      <c r="B144">
        <v>3002561</v>
      </c>
      <c r="C144" s="32">
        <v>43072.143819444442</v>
      </c>
    </row>
    <row r="145" spans="1:3">
      <c r="A145">
        <v>956822</v>
      </c>
      <c r="B145">
        <v>4719814</v>
      </c>
      <c r="C145" s="32">
        <v>43072.250254629631</v>
      </c>
    </row>
    <row r="146" spans="1:3">
      <c r="A146">
        <v>288472</v>
      </c>
      <c r="B146">
        <v>634390</v>
      </c>
      <c r="C146" s="32">
        <v>43072.425104166665</v>
      </c>
    </row>
    <row r="147" spans="1:3">
      <c r="A147">
        <v>409788</v>
      </c>
      <c r="B147">
        <v>1464116</v>
      </c>
      <c r="C147" s="32">
        <v>43072.161481481482</v>
      </c>
    </row>
    <row r="148" spans="1:3">
      <c r="A148">
        <v>640341</v>
      </c>
      <c r="B148">
        <v>4756105</v>
      </c>
      <c r="C148" s="32">
        <v>43069.667048611111</v>
      </c>
    </row>
    <row r="149" spans="1:3">
      <c r="A149">
        <v>693967</v>
      </c>
      <c r="B149">
        <v>982926</v>
      </c>
      <c r="C149" s="32">
        <v>43071.319386574076</v>
      </c>
    </row>
    <row r="150" spans="1:3">
      <c r="A150">
        <v>107219</v>
      </c>
      <c r="B150">
        <v>2154867</v>
      </c>
      <c r="C150" s="32">
        <v>43071.666990740741</v>
      </c>
    </row>
    <row r="151" spans="1:3">
      <c r="A151">
        <v>884533</v>
      </c>
      <c r="B151">
        <v>4869837</v>
      </c>
      <c r="C151" s="32">
        <v>43070.596759259257</v>
      </c>
    </row>
    <row r="152" spans="1:3">
      <c r="A152">
        <v>905466</v>
      </c>
      <c r="B152">
        <v>4217906</v>
      </c>
      <c r="C152" s="32">
        <v>43070.657060185185</v>
      </c>
    </row>
    <row r="153" spans="1:3">
      <c r="A153">
        <v>362013</v>
      </c>
      <c r="B153">
        <v>1464116</v>
      </c>
      <c r="C153" s="32">
        <v>43072.288032407407</v>
      </c>
    </row>
    <row r="154" spans="1:3">
      <c r="A154">
        <v>608674</v>
      </c>
      <c r="B154">
        <v>2247880</v>
      </c>
      <c r="C154" s="32">
        <v>43070.180717592593</v>
      </c>
    </row>
    <row r="155" spans="1:3">
      <c r="A155">
        <v>494638</v>
      </c>
      <c r="B155">
        <v>4217906</v>
      </c>
      <c r="C155" s="32">
        <v>43070.25986111111</v>
      </c>
    </row>
    <row r="156" spans="1:3">
      <c r="A156">
        <v>244209</v>
      </c>
      <c r="B156">
        <v>4672807</v>
      </c>
      <c r="C156" s="32">
        <v>43072.04346064815</v>
      </c>
    </row>
    <row r="157" spans="1:3">
      <c r="A157">
        <v>978900</v>
      </c>
      <c r="B157">
        <v>2520377</v>
      </c>
      <c r="C157" s="32">
        <v>43072.029629629629</v>
      </c>
    </row>
    <row r="158" spans="1:3">
      <c r="A158">
        <v>914325</v>
      </c>
      <c r="B158">
        <v>1080785</v>
      </c>
      <c r="C158" s="32">
        <v>43071.33452546296</v>
      </c>
    </row>
    <row r="159" spans="1:3">
      <c r="A159">
        <v>19254</v>
      </c>
      <c r="B159">
        <v>2520377</v>
      </c>
      <c r="C159" s="32">
        <v>43071.961782407408</v>
      </c>
    </row>
    <row r="160" spans="1:3">
      <c r="A160">
        <v>861962</v>
      </c>
      <c r="B160">
        <v>154040</v>
      </c>
      <c r="C160" s="32">
        <v>43070.956782407404</v>
      </c>
    </row>
    <row r="161" spans="1:3">
      <c r="A161">
        <v>243506</v>
      </c>
      <c r="B161">
        <v>1575622</v>
      </c>
      <c r="C161" s="32">
        <v>43071.09034722222</v>
      </c>
    </row>
    <row r="162" spans="1:3">
      <c r="A162">
        <v>227556</v>
      </c>
      <c r="B162">
        <v>2429887</v>
      </c>
      <c r="C162" s="32">
        <v>43071.554490740738</v>
      </c>
    </row>
    <row r="163" spans="1:3">
      <c r="A163">
        <v>390200</v>
      </c>
      <c r="B163">
        <v>4145813</v>
      </c>
      <c r="C163" s="32">
        <v>43072.630162037036</v>
      </c>
    </row>
    <row r="164" spans="1:3">
      <c r="A164">
        <v>479087</v>
      </c>
      <c r="B164">
        <v>2982027</v>
      </c>
      <c r="C164" s="32">
        <v>43072.220208333332</v>
      </c>
    </row>
    <row r="165" spans="1:3">
      <c r="A165">
        <v>788579</v>
      </c>
      <c r="B165">
        <v>4712571</v>
      </c>
      <c r="C165" s="32">
        <v>43070.620011574072</v>
      </c>
    </row>
    <row r="166" spans="1:3">
      <c r="A166">
        <v>1008732</v>
      </c>
      <c r="B166">
        <v>2355072</v>
      </c>
      <c r="C166" s="32">
        <v>43070.685914351852</v>
      </c>
    </row>
    <row r="167" spans="1:3">
      <c r="A167">
        <v>136651</v>
      </c>
      <c r="B167">
        <v>2982027</v>
      </c>
      <c r="C167" s="32">
        <v>43072.212129629632</v>
      </c>
    </row>
    <row r="168" spans="1:3">
      <c r="A168">
        <v>415493</v>
      </c>
      <c r="B168">
        <v>4756105</v>
      </c>
      <c r="C168" s="32">
        <v>43071.504479166666</v>
      </c>
    </row>
    <row r="169" spans="1:3">
      <c r="A169">
        <v>506429</v>
      </c>
      <c r="B169">
        <v>2013232</v>
      </c>
      <c r="C169" s="32">
        <v>43071.675717592596</v>
      </c>
    </row>
    <row r="170" spans="1:3">
      <c r="A170">
        <v>975368</v>
      </c>
      <c r="B170">
        <v>4756105</v>
      </c>
      <c r="C170" s="32">
        <v>43072.338518518518</v>
      </c>
    </row>
    <row r="171" spans="1:3">
      <c r="A171">
        <v>451976</v>
      </c>
      <c r="B171">
        <v>4362740</v>
      </c>
      <c r="C171" s="32">
        <v>43071.332291666666</v>
      </c>
    </row>
    <row r="172" spans="1:3">
      <c r="A172">
        <v>655859</v>
      </c>
      <c r="B172">
        <v>4576874</v>
      </c>
      <c r="C172" s="32">
        <v>43071.580185185187</v>
      </c>
    </row>
    <row r="173" spans="1:3">
      <c r="A173">
        <v>264085</v>
      </c>
      <c r="B173">
        <v>1595193</v>
      </c>
      <c r="C173" s="32">
        <v>43072.662314814814</v>
      </c>
    </row>
    <row r="174" spans="1:3">
      <c r="A174">
        <v>207861</v>
      </c>
      <c r="B174">
        <v>4217906</v>
      </c>
      <c r="C174" s="32">
        <v>43069.735011574077</v>
      </c>
    </row>
    <row r="175" spans="1:3">
      <c r="A175">
        <v>258430</v>
      </c>
      <c r="B175">
        <v>4238377</v>
      </c>
      <c r="C175" s="32">
        <v>43071.595682870371</v>
      </c>
    </row>
    <row r="176" spans="1:3">
      <c r="A176">
        <v>70598</v>
      </c>
      <c r="B176">
        <v>3607361</v>
      </c>
      <c r="C176" s="32">
        <v>43070.468217592592</v>
      </c>
    </row>
    <row r="177" spans="1:3">
      <c r="A177">
        <v>281541</v>
      </c>
      <c r="B177">
        <v>4962280</v>
      </c>
      <c r="C177" s="32">
        <v>43072.379652777781</v>
      </c>
    </row>
    <row r="178" spans="1:3">
      <c r="A178">
        <v>238449</v>
      </c>
      <c r="B178">
        <v>3598912</v>
      </c>
      <c r="C178" s="32">
        <v>43070.610844907409</v>
      </c>
    </row>
    <row r="179" spans="1:3">
      <c r="A179">
        <v>809645</v>
      </c>
      <c r="B179">
        <v>2355072</v>
      </c>
      <c r="C179" s="32">
        <v>43072.567986111113</v>
      </c>
    </row>
    <row r="180" spans="1:3">
      <c r="A180">
        <v>143715</v>
      </c>
      <c r="B180">
        <v>4181361</v>
      </c>
      <c r="C180" s="32">
        <v>43071.370428240742</v>
      </c>
    </row>
    <row r="181" spans="1:3">
      <c r="A181">
        <v>792441</v>
      </c>
      <c r="B181">
        <v>306202</v>
      </c>
      <c r="C181" s="32">
        <v>43071.552372685182</v>
      </c>
    </row>
    <row r="182" spans="1:3">
      <c r="A182">
        <v>378015</v>
      </c>
      <c r="B182">
        <v>3015852</v>
      </c>
      <c r="C182" s="32">
        <v>43072.161562499998</v>
      </c>
    </row>
    <row r="183" spans="1:3">
      <c r="A183">
        <v>384212</v>
      </c>
      <c r="B183">
        <v>1320293</v>
      </c>
      <c r="C183" s="32">
        <v>43071.50105324074</v>
      </c>
    </row>
    <row r="184" spans="1:3">
      <c r="A184">
        <v>505804</v>
      </c>
      <c r="B184">
        <v>3774512</v>
      </c>
      <c r="C184" s="32">
        <v>43072.381712962961</v>
      </c>
    </row>
    <row r="185" spans="1:3">
      <c r="A185">
        <v>56156</v>
      </c>
      <c r="B185">
        <v>1029459</v>
      </c>
      <c r="C185" s="32">
        <v>43071.125057870369</v>
      </c>
    </row>
    <row r="186" spans="1:3">
      <c r="A186">
        <v>305084</v>
      </c>
      <c r="B186">
        <v>4672807</v>
      </c>
      <c r="C186" s="32">
        <v>43070.468807870369</v>
      </c>
    </row>
    <row r="187" spans="1:3">
      <c r="A187">
        <v>163102</v>
      </c>
      <c r="B187">
        <v>1646753</v>
      </c>
      <c r="C187" s="32">
        <v>43071.049930555557</v>
      </c>
    </row>
    <row r="188" spans="1:3">
      <c r="A188">
        <v>746711</v>
      </c>
      <c r="B188">
        <v>1575622</v>
      </c>
      <c r="C188" s="32">
        <v>43071.495127314818</v>
      </c>
    </row>
    <row r="189" spans="1:3">
      <c r="A189">
        <v>58827</v>
      </c>
      <c r="B189">
        <v>308413</v>
      </c>
      <c r="C189" s="32">
        <v>43072.399687500001</v>
      </c>
    </row>
    <row r="190" spans="1:3">
      <c r="A190">
        <v>945149</v>
      </c>
      <c r="B190">
        <v>1068933</v>
      </c>
      <c r="C190" s="32">
        <v>43071.299571759257</v>
      </c>
    </row>
    <row r="191" spans="1:3">
      <c r="A191">
        <v>200036</v>
      </c>
      <c r="B191">
        <v>4643350</v>
      </c>
      <c r="C191" s="32">
        <v>43070.223865740743</v>
      </c>
    </row>
    <row r="192" spans="1:3">
      <c r="A192">
        <v>343339</v>
      </c>
      <c r="B192">
        <v>1008362</v>
      </c>
      <c r="C192" s="32">
        <v>43071.386423611111</v>
      </c>
    </row>
    <row r="193" spans="1:3">
      <c r="A193">
        <v>501446</v>
      </c>
      <c r="B193">
        <v>2735466</v>
      </c>
      <c r="C193" s="32">
        <v>43072.187986111108</v>
      </c>
    </row>
    <row r="194" spans="1:3">
      <c r="A194">
        <v>539988</v>
      </c>
      <c r="B194">
        <v>562852</v>
      </c>
      <c r="C194" s="32">
        <v>43069.901805555557</v>
      </c>
    </row>
    <row r="195" spans="1:3">
      <c r="A195">
        <v>632069</v>
      </c>
      <c r="B195">
        <v>4181361</v>
      </c>
      <c r="C195" s="32">
        <v>43069.704155092593</v>
      </c>
    </row>
    <row r="196" spans="1:3">
      <c r="A196">
        <v>1548</v>
      </c>
      <c r="B196">
        <v>965809</v>
      </c>
      <c r="C196" s="32">
        <v>43072.241018518522</v>
      </c>
    </row>
    <row r="197" spans="1:3">
      <c r="A197">
        <v>89573</v>
      </c>
      <c r="B197">
        <v>245312</v>
      </c>
      <c r="C197" s="32">
        <v>43072.551620370374</v>
      </c>
    </row>
    <row r="198" spans="1:3">
      <c r="A198">
        <v>436671</v>
      </c>
      <c r="B198">
        <v>366112</v>
      </c>
      <c r="C198" s="32">
        <v>43071.676805555559</v>
      </c>
    </row>
    <row r="199" spans="1:3">
      <c r="A199">
        <v>427747</v>
      </c>
      <c r="B199">
        <v>4217906</v>
      </c>
      <c r="C199" s="32">
        <v>43071.634629629632</v>
      </c>
    </row>
    <row r="200" spans="1:3">
      <c r="A200">
        <v>558374</v>
      </c>
      <c r="B200">
        <v>4145813</v>
      </c>
      <c r="C200" s="32">
        <v>43071.504664351851</v>
      </c>
    </row>
    <row r="201" spans="1:3">
      <c r="A201">
        <v>507931</v>
      </c>
      <c r="B201">
        <v>4756105</v>
      </c>
      <c r="C201" s="32">
        <v>43072.091284722221</v>
      </c>
    </row>
    <row r="202" spans="1:3">
      <c r="A202">
        <v>131370</v>
      </c>
      <c r="B202">
        <v>4339722</v>
      </c>
      <c r="C202" s="32">
        <v>43072.376944444448</v>
      </c>
    </row>
    <row r="203" spans="1:3">
      <c r="A203">
        <v>976810</v>
      </c>
      <c r="B203">
        <v>924708</v>
      </c>
      <c r="C203" s="32">
        <v>43070.670960648145</v>
      </c>
    </row>
    <row r="204" spans="1:3">
      <c r="A204">
        <v>935586</v>
      </c>
      <c r="B204">
        <v>4069500</v>
      </c>
      <c r="C204" s="32">
        <v>43072.317916666667</v>
      </c>
    </row>
    <row r="205" spans="1:3">
      <c r="A205">
        <v>153933</v>
      </c>
      <c r="B205">
        <v>622168</v>
      </c>
      <c r="C205" s="32">
        <v>43071.116180555553</v>
      </c>
    </row>
    <row r="206" spans="1:3">
      <c r="A206">
        <v>4396</v>
      </c>
      <c r="B206">
        <v>2520377</v>
      </c>
      <c r="C206" s="32">
        <v>43071.994722222225</v>
      </c>
    </row>
    <row r="207" spans="1:3">
      <c r="A207">
        <v>181623</v>
      </c>
      <c r="B207">
        <v>1879194</v>
      </c>
      <c r="C207" s="32">
        <v>43072.153113425928</v>
      </c>
    </row>
    <row r="208" spans="1:3">
      <c r="A208">
        <v>331587</v>
      </c>
      <c r="B208">
        <v>2578647</v>
      </c>
      <c r="C208" s="32">
        <v>43070.58320601852</v>
      </c>
    </row>
    <row r="209" spans="1:3">
      <c r="A209">
        <v>78243</v>
      </c>
      <c r="B209">
        <v>3607361</v>
      </c>
      <c r="C209" s="32">
        <v>43071.392951388887</v>
      </c>
    </row>
    <row r="210" spans="1:3">
      <c r="A210">
        <v>616627</v>
      </c>
      <c r="B210">
        <v>149192</v>
      </c>
      <c r="C210" s="32">
        <v>43070.046423611115</v>
      </c>
    </row>
    <row r="211" spans="1:3">
      <c r="A211">
        <v>1008703</v>
      </c>
      <c r="B211">
        <v>4145813</v>
      </c>
      <c r="C211" s="32">
        <v>43072.50503472222</v>
      </c>
    </row>
    <row r="212" spans="1:3">
      <c r="A212">
        <v>586454</v>
      </c>
      <c r="B212">
        <v>1464116</v>
      </c>
      <c r="C212" s="32">
        <v>43072.644108796296</v>
      </c>
    </row>
    <row r="213" spans="1:3">
      <c r="A213">
        <v>388666</v>
      </c>
      <c r="B213">
        <v>1867533</v>
      </c>
      <c r="C213" s="32">
        <v>43072.306840277779</v>
      </c>
    </row>
    <row r="214" spans="1:3">
      <c r="A214">
        <v>921466</v>
      </c>
      <c r="B214">
        <v>4284875</v>
      </c>
      <c r="C214" s="32">
        <v>43072.559756944444</v>
      </c>
    </row>
    <row r="215" spans="1:3">
      <c r="A215">
        <v>809958</v>
      </c>
      <c r="B215">
        <v>1487591</v>
      </c>
      <c r="C215" s="32">
        <v>43070.361261574071</v>
      </c>
    </row>
    <row r="216" spans="1:3">
      <c r="A216">
        <v>484380</v>
      </c>
      <c r="B216">
        <v>3441583</v>
      </c>
      <c r="C216" s="32">
        <v>43072.278946759259</v>
      </c>
    </row>
    <row r="217" spans="1:3">
      <c r="A217">
        <v>940917</v>
      </c>
      <c r="B217">
        <v>2465336</v>
      </c>
      <c r="C217" s="32">
        <v>43072.464432870373</v>
      </c>
    </row>
    <row r="218" spans="1:3">
      <c r="A218">
        <v>492509</v>
      </c>
      <c r="B218">
        <v>2355072</v>
      </c>
      <c r="C218" s="32">
        <v>43071.358472222222</v>
      </c>
    </row>
    <row r="219" spans="1:3">
      <c r="A219">
        <v>58730</v>
      </c>
      <c r="B219">
        <v>3607361</v>
      </c>
      <c r="C219" s="32">
        <v>43071.547071759262</v>
      </c>
    </row>
    <row r="220" spans="1:3">
      <c r="A220">
        <v>630356</v>
      </c>
      <c r="B220">
        <v>3740459</v>
      </c>
      <c r="C220" s="32">
        <v>43070.122731481482</v>
      </c>
    </row>
    <row r="221" spans="1:3">
      <c r="A221">
        <v>998790</v>
      </c>
      <c r="B221">
        <v>3002561</v>
      </c>
      <c r="C221" s="32">
        <v>43072.553240740737</v>
      </c>
    </row>
    <row r="222" spans="1:3">
      <c r="A222">
        <v>674489</v>
      </c>
      <c r="B222">
        <v>5120683</v>
      </c>
      <c r="C222" s="32">
        <v>43071.644733796296</v>
      </c>
    </row>
    <row r="223" spans="1:3">
      <c r="A223">
        <v>8761</v>
      </c>
      <c r="B223">
        <v>5147460</v>
      </c>
      <c r="C223" s="32">
        <v>43070.392407407409</v>
      </c>
    </row>
    <row r="224" spans="1:3">
      <c r="A224">
        <v>894229</v>
      </c>
      <c r="B224">
        <v>1089685</v>
      </c>
      <c r="C224" s="32">
        <v>43071.159930555557</v>
      </c>
    </row>
    <row r="225" spans="1:3">
      <c r="A225">
        <v>45181</v>
      </c>
      <c r="B225">
        <v>4368942</v>
      </c>
      <c r="C225" s="32">
        <v>43070.054571759261</v>
      </c>
    </row>
    <row r="226" spans="1:3">
      <c r="A226">
        <v>592337</v>
      </c>
      <c r="B226">
        <v>3607361</v>
      </c>
      <c r="C226" s="32">
        <v>43070.597974537035</v>
      </c>
    </row>
    <row r="227" spans="1:3">
      <c r="A227">
        <v>869913</v>
      </c>
      <c r="B227">
        <v>800190</v>
      </c>
      <c r="C227" s="32">
        <v>43072.622673611113</v>
      </c>
    </row>
    <row r="228" spans="1:3">
      <c r="A228">
        <v>351249</v>
      </c>
      <c r="B228">
        <v>4756105</v>
      </c>
      <c r="C228" s="32">
        <v>43071.571863425925</v>
      </c>
    </row>
    <row r="229" spans="1:3">
      <c r="A229">
        <v>294211</v>
      </c>
      <c r="B229">
        <v>4163659</v>
      </c>
      <c r="C229" s="32">
        <v>43071.505150462966</v>
      </c>
    </row>
    <row r="230" spans="1:3">
      <c r="A230">
        <v>650110</v>
      </c>
      <c r="B230">
        <v>384755</v>
      </c>
      <c r="C230" s="32">
        <v>43072.484074074076</v>
      </c>
    </row>
    <row r="231" spans="1:3">
      <c r="A231">
        <v>260342</v>
      </c>
      <c r="B231">
        <v>2520377</v>
      </c>
      <c r="C231" s="32">
        <v>43072.409050925926</v>
      </c>
    </row>
    <row r="232" spans="1:3">
      <c r="A232">
        <v>157494</v>
      </c>
      <c r="B232">
        <v>1421739</v>
      </c>
      <c r="C232" s="32">
        <v>43071.015300925923</v>
      </c>
    </row>
    <row r="233" spans="1:3">
      <c r="A233">
        <v>234483</v>
      </c>
      <c r="B233">
        <v>2355072</v>
      </c>
      <c r="C233" s="32">
        <v>43071.502268518518</v>
      </c>
    </row>
    <row r="234" spans="1:3">
      <c r="A234">
        <v>178340</v>
      </c>
      <c r="B234">
        <v>1807416</v>
      </c>
      <c r="C234" s="32">
        <v>43072.280335648145</v>
      </c>
    </row>
    <row r="235" spans="1:3">
      <c r="A235">
        <v>563810</v>
      </c>
      <c r="B235">
        <v>2181935</v>
      </c>
      <c r="C235" s="32">
        <v>43071.062743055554</v>
      </c>
    </row>
    <row r="236" spans="1:3">
      <c r="A236">
        <v>619302</v>
      </c>
      <c r="B236">
        <v>4022701</v>
      </c>
      <c r="C236" s="32">
        <v>43070.614236111112</v>
      </c>
    </row>
    <row r="237" spans="1:3">
      <c r="A237">
        <v>704891</v>
      </c>
      <c r="B237">
        <v>2735466</v>
      </c>
      <c r="C237" s="32">
        <v>43071.198136574072</v>
      </c>
    </row>
    <row r="238" spans="1:3">
      <c r="A238">
        <v>716427</v>
      </c>
      <c r="B238">
        <v>4558987</v>
      </c>
      <c r="C238" s="32">
        <v>43070.580081018517</v>
      </c>
    </row>
    <row r="239" spans="1:3">
      <c r="A239">
        <v>598088</v>
      </c>
      <c r="B239">
        <v>1879194</v>
      </c>
      <c r="C239" s="32">
        <v>43072.600057870368</v>
      </c>
    </row>
    <row r="240" spans="1:3">
      <c r="A240">
        <v>666836</v>
      </c>
      <c r="B240">
        <v>1299190</v>
      </c>
      <c r="C240" s="32">
        <v>43071.092893518522</v>
      </c>
    </row>
    <row r="241" spans="1:3">
      <c r="A241">
        <v>113041</v>
      </c>
      <c r="B241">
        <v>570735</v>
      </c>
      <c r="C241" s="32">
        <v>43071.697118055556</v>
      </c>
    </row>
    <row r="242" spans="1:3">
      <c r="A242">
        <v>38576</v>
      </c>
      <c r="B242">
        <v>2982027</v>
      </c>
      <c r="C242" s="32">
        <v>43071.41034722222</v>
      </c>
    </row>
    <row r="243" spans="1:3">
      <c r="A243">
        <v>392270</v>
      </c>
      <c r="B243">
        <v>5108899</v>
      </c>
      <c r="C243" s="32">
        <v>43070.648645833331</v>
      </c>
    </row>
    <row r="244" spans="1:3">
      <c r="A244">
        <v>465854</v>
      </c>
      <c r="B244">
        <v>4082778</v>
      </c>
      <c r="C244" s="32">
        <v>43070.571319444447</v>
      </c>
    </row>
    <row r="245" spans="1:3">
      <c r="A245">
        <v>92637</v>
      </c>
      <c r="B245">
        <v>1974051</v>
      </c>
      <c r="C245" s="32">
        <v>43071.172546296293</v>
      </c>
    </row>
    <row r="246" spans="1:3">
      <c r="A246">
        <v>626537</v>
      </c>
      <c r="B246">
        <v>982926</v>
      </c>
      <c r="C246" s="32">
        <v>43071.134965277779</v>
      </c>
    </row>
    <row r="247" spans="1:3">
      <c r="A247">
        <v>266051</v>
      </c>
      <c r="B247">
        <v>154040</v>
      </c>
      <c r="C247" s="32">
        <v>43072.609756944446</v>
      </c>
    </row>
    <row r="248" spans="1:3">
      <c r="A248">
        <v>357844</v>
      </c>
      <c r="B248">
        <v>1320293</v>
      </c>
      <c r="C248" s="32">
        <v>43070.450694444444</v>
      </c>
    </row>
    <row r="249" spans="1:3">
      <c r="A249">
        <v>716350</v>
      </c>
      <c r="B249">
        <v>2355072</v>
      </c>
      <c r="C249" s="32">
        <v>43072.12641203704</v>
      </c>
    </row>
    <row r="250" spans="1:3">
      <c r="A250">
        <v>902803</v>
      </c>
      <c r="B250">
        <v>4339722</v>
      </c>
      <c r="C250" s="32">
        <v>43070.705300925925</v>
      </c>
    </row>
    <row r="251" spans="1:3">
      <c r="A251">
        <v>844323</v>
      </c>
      <c r="B251">
        <v>3598912</v>
      </c>
      <c r="C251" s="32">
        <v>43072.66033564815</v>
      </c>
    </row>
    <row r="252" spans="1:3">
      <c r="A252">
        <v>185498</v>
      </c>
      <c r="B252">
        <v>2355072</v>
      </c>
      <c r="C252" s="32">
        <v>43070.456631944442</v>
      </c>
    </row>
    <row r="253" spans="1:3">
      <c r="A253">
        <v>593831</v>
      </c>
      <c r="B253">
        <v>4217906</v>
      </c>
      <c r="C253" s="32">
        <v>43071.544872685183</v>
      </c>
    </row>
    <row r="254" spans="1:3">
      <c r="A254">
        <v>364138</v>
      </c>
      <c r="B254">
        <v>4756105</v>
      </c>
      <c r="C254" s="32">
        <v>43070.585057870368</v>
      </c>
    </row>
    <row r="255" spans="1:3">
      <c r="A255">
        <v>501627</v>
      </c>
      <c r="B255">
        <v>135038</v>
      </c>
      <c r="C255" s="32">
        <v>43071.699861111112</v>
      </c>
    </row>
    <row r="256" spans="1:3">
      <c r="A256">
        <v>886090</v>
      </c>
      <c r="B256">
        <v>1859277</v>
      </c>
      <c r="C256" s="32">
        <v>43070.517476851855</v>
      </c>
    </row>
    <row r="257" spans="1:3">
      <c r="A257">
        <v>300625</v>
      </c>
      <c r="B257">
        <v>1851156</v>
      </c>
      <c r="C257" s="32">
        <v>43071.451249999998</v>
      </c>
    </row>
    <row r="258" spans="1:3">
      <c r="A258">
        <v>96053</v>
      </c>
      <c r="B258">
        <v>4145813</v>
      </c>
      <c r="C258" s="32">
        <v>43070.536111111112</v>
      </c>
    </row>
    <row r="259" spans="1:3">
      <c r="A259">
        <v>560361</v>
      </c>
      <c r="B259">
        <v>4756105</v>
      </c>
      <c r="C259" s="32">
        <v>43070.676053240742</v>
      </c>
    </row>
    <row r="260" spans="1:3">
      <c r="A260">
        <v>552394</v>
      </c>
      <c r="B260">
        <v>381850</v>
      </c>
      <c r="C260" s="32">
        <v>43072.439398148148</v>
      </c>
    </row>
    <row r="261" spans="1:3">
      <c r="A261">
        <v>11624</v>
      </c>
      <c r="B261">
        <v>4756105</v>
      </c>
      <c r="C261" s="32">
        <v>43072.537199074075</v>
      </c>
    </row>
    <row r="262" spans="1:3">
      <c r="A262">
        <v>461138</v>
      </c>
      <c r="B262">
        <v>4559624</v>
      </c>
      <c r="C262" s="32">
        <v>43071.590451388889</v>
      </c>
    </row>
    <row r="263" spans="1:3">
      <c r="A263">
        <v>236000</v>
      </c>
      <c r="B263">
        <v>3738615</v>
      </c>
      <c r="C263" s="32">
        <v>43071.755046296297</v>
      </c>
    </row>
    <row r="264" spans="1:3">
      <c r="A264">
        <v>732942</v>
      </c>
      <c r="B264">
        <v>4969568</v>
      </c>
      <c r="C264" s="32">
        <v>43071.86451388889</v>
      </c>
    </row>
    <row r="265" spans="1:3">
      <c r="A265">
        <v>805117</v>
      </c>
      <c r="B265">
        <v>2735466</v>
      </c>
      <c r="C265" s="32">
        <v>43070.32775462963</v>
      </c>
    </row>
    <row r="266" spans="1:3">
      <c r="A266">
        <v>278817</v>
      </c>
      <c r="B266">
        <v>235534</v>
      </c>
      <c r="C266" s="32">
        <v>43071.613287037035</v>
      </c>
    </row>
    <row r="267" spans="1:3">
      <c r="A267">
        <v>989879</v>
      </c>
      <c r="B267">
        <v>3381583</v>
      </c>
      <c r="C267" s="32">
        <v>43071.593611111108</v>
      </c>
    </row>
    <row r="268" spans="1:3">
      <c r="A268">
        <v>134074</v>
      </c>
      <c r="B268">
        <v>4145813</v>
      </c>
      <c r="C268" s="32">
        <v>43072.137546296297</v>
      </c>
    </row>
    <row r="269" spans="1:3">
      <c r="A269">
        <v>416022</v>
      </c>
      <c r="B269">
        <v>1471163</v>
      </c>
      <c r="C269" s="32">
        <v>43071.260995370372</v>
      </c>
    </row>
    <row r="270" spans="1:3">
      <c r="A270">
        <v>100696</v>
      </c>
      <c r="B270">
        <v>982926</v>
      </c>
      <c r="C270" s="32">
        <v>43071.392476851855</v>
      </c>
    </row>
    <row r="271" spans="1:3">
      <c r="A271">
        <v>934648</v>
      </c>
      <c r="B271">
        <v>1881956</v>
      </c>
      <c r="C271" s="32">
        <v>43071.55741898148</v>
      </c>
    </row>
    <row r="272" spans="1:3">
      <c r="A272">
        <v>126443</v>
      </c>
      <c r="B272">
        <v>2158079</v>
      </c>
      <c r="C272" s="32">
        <v>43071.510509259257</v>
      </c>
    </row>
    <row r="273" spans="1:3">
      <c r="A273">
        <v>970285</v>
      </c>
      <c r="B273">
        <v>4145813</v>
      </c>
      <c r="C273" s="32">
        <v>43069.928495370368</v>
      </c>
    </row>
    <row r="274" spans="1:3">
      <c r="A274">
        <v>555154</v>
      </c>
      <c r="B274">
        <v>3398567</v>
      </c>
      <c r="C274" s="32">
        <v>43070.0858912037</v>
      </c>
    </row>
    <row r="275" spans="1:3">
      <c r="A275">
        <v>402810</v>
      </c>
      <c r="B275">
        <v>3635558</v>
      </c>
      <c r="C275" s="32">
        <v>43071.395949074074</v>
      </c>
    </row>
    <row r="276" spans="1:3">
      <c r="A276">
        <v>345162</v>
      </c>
      <c r="B276">
        <v>2131531</v>
      </c>
      <c r="C276" s="32">
        <v>43070.591898148145</v>
      </c>
    </row>
    <row r="277" spans="1:3">
      <c r="A277">
        <v>424955</v>
      </c>
      <c r="B277">
        <v>965809</v>
      </c>
      <c r="C277" s="32">
        <v>43072.206087962964</v>
      </c>
    </row>
    <row r="278" spans="1:3">
      <c r="A278">
        <v>800938</v>
      </c>
      <c r="B278">
        <v>4756105</v>
      </c>
      <c r="C278" s="32">
        <v>43072.247175925928</v>
      </c>
    </row>
    <row r="279" spans="1:3">
      <c r="A279">
        <v>79068</v>
      </c>
      <c r="B279">
        <v>2465336</v>
      </c>
      <c r="C279" s="32">
        <v>43072.506631944445</v>
      </c>
    </row>
    <row r="280" spans="1:3">
      <c r="A280">
        <v>843935</v>
      </c>
      <c r="B280">
        <v>542908</v>
      </c>
      <c r="C280" s="32">
        <v>43070.644432870373</v>
      </c>
    </row>
    <row r="281" spans="1:3">
      <c r="A281">
        <v>240941</v>
      </c>
      <c r="B281">
        <v>3607361</v>
      </c>
      <c r="C281" s="32">
        <v>43072.393136574072</v>
      </c>
    </row>
    <row r="282" spans="1:3">
      <c r="A282">
        <v>346990</v>
      </c>
      <c r="B282">
        <v>672001</v>
      </c>
      <c r="C282" s="32">
        <v>43070.591666666667</v>
      </c>
    </row>
    <row r="283" spans="1:3">
      <c r="A283">
        <v>645615</v>
      </c>
      <c r="B283">
        <v>5071267</v>
      </c>
      <c r="C283" s="32">
        <v>43071.108460648145</v>
      </c>
    </row>
    <row r="284" spans="1:3">
      <c r="A284">
        <v>480273</v>
      </c>
      <c r="B284">
        <v>4756105</v>
      </c>
      <c r="C284" s="32">
        <v>43072.150995370372</v>
      </c>
    </row>
    <row r="285" spans="1:3">
      <c r="A285">
        <v>126443</v>
      </c>
      <c r="B285">
        <v>800581</v>
      </c>
      <c r="C285" s="32">
        <v>43071.531851851854</v>
      </c>
    </row>
    <row r="286" spans="1:3">
      <c r="A286">
        <v>852973</v>
      </c>
      <c r="B286">
        <v>4181361</v>
      </c>
      <c r="C286" s="32">
        <v>43072.121539351851</v>
      </c>
    </row>
    <row r="287" spans="1:3">
      <c r="A287">
        <v>594860</v>
      </c>
      <c r="B287">
        <v>4357323</v>
      </c>
      <c r="C287" s="32">
        <v>43071.328877314816</v>
      </c>
    </row>
    <row r="288" spans="1:3">
      <c r="A288">
        <v>909055</v>
      </c>
      <c r="B288">
        <v>1320293</v>
      </c>
      <c r="C288" s="32">
        <v>43070.652291666665</v>
      </c>
    </row>
    <row r="289" spans="1:3">
      <c r="A289">
        <v>737662</v>
      </c>
      <c r="B289">
        <v>3108044</v>
      </c>
      <c r="C289" s="32">
        <v>43072.594074074077</v>
      </c>
    </row>
    <row r="290" spans="1:3">
      <c r="A290">
        <v>16328</v>
      </c>
      <c r="B290">
        <v>4690421</v>
      </c>
      <c r="C290" s="32">
        <v>43072.184004629627</v>
      </c>
    </row>
    <row r="291" spans="1:3">
      <c r="A291">
        <v>71755</v>
      </c>
      <c r="B291">
        <v>1575622</v>
      </c>
      <c r="C291" s="32">
        <v>43072.154907407406</v>
      </c>
    </row>
    <row r="292" spans="1:3">
      <c r="A292">
        <v>180344</v>
      </c>
      <c r="B292">
        <v>690811</v>
      </c>
      <c r="C292" s="32">
        <v>43071.403182870374</v>
      </c>
    </row>
    <row r="293" spans="1:3">
      <c r="A293">
        <v>763646</v>
      </c>
      <c r="B293">
        <v>2355072</v>
      </c>
      <c r="C293" s="32">
        <v>43070.689560185187</v>
      </c>
    </row>
    <row r="294" spans="1:3">
      <c r="A294">
        <v>495040</v>
      </c>
      <c r="B294">
        <v>2465336</v>
      </c>
      <c r="C294" s="32">
        <v>43070.53197916667</v>
      </c>
    </row>
    <row r="295" spans="1:3">
      <c r="A295">
        <v>826268</v>
      </c>
      <c r="B295">
        <v>1973012</v>
      </c>
      <c r="C295" s="32">
        <v>43071.138171296298</v>
      </c>
    </row>
    <row r="296" spans="1:3">
      <c r="A296">
        <v>731001</v>
      </c>
      <c r="B296">
        <v>3720767</v>
      </c>
      <c r="C296" s="32">
        <v>43071.464386574073</v>
      </c>
    </row>
    <row r="297" spans="1:3">
      <c r="A297">
        <v>292419</v>
      </c>
      <c r="B297">
        <v>1851156</v>
      </c>
      <c r="C297" s="32">
        <v>43072.58730324074</v>
      </c>
    </row>
    <row r="298" spans="1:3">
      <c r="A298">
        <v>232232</v>
      </c>
      <c r="B298">
        <v>2452793</v>
      </c>
      <c r="C298" s="32">
        <v>43072.323738425926</v>
      </c>
    </row>
    <row r="299" spans="1:3">
      <c r="A299">
        <v>51652</v>
      </c>
      <c r="B299">
        <v>4801426</v>
      </c>
      <c r="C299" s="32">
        <v>43071.072013888886</v>
      </c>
    </row>
    <row r="300" spans="1:3">
      <c r="A300">
        <v>647911</v>
      </c>
      <c r="B300">
        <v>149192</v>
      </c>
      <c r="C300" s="32">
        <v>43071.456608796296</v>
      </c>
    </row>
    <row r="301" spans="1:3">
      <c r="A301">
        <v>731001</v>
      </c>
      <c r="B301">
        <v>753984</v>
      </c>
      <c r="C301" s="32">
        <v>43072.528877314813</v>
      </c>
    </row>
    <row r="302" spans="1:3">
      <c r="A302">
        <v>443455</v>
      </c>
      <c r="B302">
        <v>4145813</v>
      </c>
      <c r="C302" s="32">
        <v>43070.539201388892</v>
      </c>
    </row>
    <row r="303" spans="1:3">
      <c r="A303">
        <v>89791</v>
      </c>
      <c r="B303">
        <v>174239</v>
      </c>
      <c r="C303" s="32">
        <v>43072.014999999999</v>
      </c>
    </row>
    <row r="304" spans="1:3">
      <c r="A304">
        <v>409294</v>
      </c>
      <c r="B304">
        <v>4949807</v>
      </c>
      <c r="C304" s="32">
        <v>43070.526562500003</v>
      </c>
    </row>
    <row r="305" spans="1:3">
      <c r="A305">
        <v>204353</v>
      </c>
      <c r="B305">
        <v>4654786</v>
      </c>
      <c r="C305" s="32">
        <v>43071.520949074074</v>
      </c>
    </row>
    <row r="306" spans="1:3">
      <c r="A306">
        <v>844046</v>
      </c>
      <c r="B306">
        <v>3398567</v>
      </c>
      <c r="C306" s="32">
        <v>43072.427974537037</v>
      </c>
    </row>
    <row r="307" spans="1:3">
      <c r="A307">
        <v>791881</v>
      </c>
      <c r="B307">
        <v>200278</v>
      </c>
      <c r="C307" s="32">
        <v>43071.677222222221</v>
      </c>
    </row>
    <row r="308" spans="1:3">
      <c r="A308">
        <v>668690</v>
      </c>
      <c r="B308">
        <v>1050400</v>
      </c>
      <c r="C308" s="32">
        <v>43071.471747685187</v>
      </c>
    </row>
    <row r="309" spans="1:3">
      <c r="A309">
        <v>120811</v>
      </c>
      <c r="B309">
        <v>3572920</v>
      </c>
      <c r="C309" s="32">
        <v>43072.179189814815</v>
      </c>
    </row>
    <row r="310" spans="1:3">
      <c r="A310">
        <v>783767</v>
      </c>
      <c r="B310">
        <v>4789432</v>
      </c>
      <c r="C310" s="32">
        <v>43071.769537037035</v>
      </c>
    </row>
    <row r="311" spans="1:3">
      <c r="A311">
        <v>552596</v>
      </c>
      <c r="B311">
        <v>4462359</v>
      </c>
      <c r="C311" s="32">
        <v>43071.980300925927</v>
      </c>
    </row>
    <row r="312" spans="1:3">
      <c r="A312">
        <v>992690</v>
      </c>
      <c r="B312">
        <v>1952564</v>
      </c>
      <c r="C312" s="32">
        <v>43072.492465277777</v>
      </c>
    </row>
    <row r="313" spans="1:3">
      <c r="A313">
        <v>781450</v>
      </c>
      <c r="B313">
        <v>4756105</v>
      </c>
      <c r="C313" s="32">
        <v>43070.08222222222</v>
      </c>
    </row>
    <row r="314" spans="1:3">
      <c r="A314">
        <v>458984</v>
      </c>
      <c r="B314">
        <v>4756105</v>
      </c>
      <c r="C314" s="32">
        <v>43072.579953703702</v>
      </c>
    </row>
    <row r="315" spans="1:3">
      <c r="A315">
        <v>160218</v>
      </c>
      <c r="B315">
        <v>753984</v>
      </c>
      <c r="C315" s="32">
        <v>43070.659583333334</v>
      </c>
    </row>
    <row r="316" spans="1:3">
      <c r="A316">
        <v>183252</v>
      </c>
      <c r="B316">
        <v>2465336</v>
      </c>
      <c r="C316" s="32">
        <v>43071.213287037041</v>
      </c>
    </row>
    <row r="317" spans="1:3">
      <c r="A317">
        <v>899089</v>
      </c>
      <c r="B317">
        <v>4756105</v>
      </c>
      <c r="C317" s="32">
        <v>43071.424432870372</v>
      </c>
    </row>
    <row r="318" spans="1:3">
      <c r="A318">
        <v>470086</v>
      </c>
      <c r="B318">
        <v>2617994</v>
      </c>
      <c r="C318" s="32">
        <v>43072.448009259257</v>
      </c>
    </row>
    <row r="319" spans="1:3">
      <c r="A319">
        <v>573517</v>
      </c>
      <c r="B319">
        <v>2885642</v>
      </c>
      <c r="C319" s="32">
        <v>43072.145335648151</v>
      </c>
    </row>
    <row r="320" spans="1:3">
      <c r="A320">
        <v>738700</v>
      </c>
      <c r="B320">
        <v>2649368</v>
      </c>
      <c r="C320" s="32">
        <v>43070.116863425923</v>
      </c>
    </row>
    <row r="321" spans="1:3">
      <c r="A321">
        <v>742213</v>
      </c>
      <c r="B321">
        <v>2735466</v>
      </c>
      <c r="C321" s="32">
        <v>43070.18822916667</v>
      </c>
    </row>
    <row r="322" spans="1:3">
      <c r="A322">
        <v>959283</v>
      </c>
      <c r="B322">
        <v>2926020</v>
      </c>
      <c r="C322" s="32">
        <v>43071.992291666669</v>
      </c>
    </row>
    <row r="323" spans="1:3">
      <c r="A323">
        <v>468808</v>
      </c>
      <c r="B323">
        <v>3679920</v>
      </c>
      <c r="C323" s="32">
        <v>43071.330810185187</v>
      </c>
    </row>
    <row r="324" spans="1:3">
      <c r="A324">
        <v>740461</v>
      </c>
      <c r="B324">
        <v>2939262</v>
      </c>
      <c r="C324" s="32">
        <v>43072.6015162037</v>
      </c>
    </row>
    <row r="325" spans="1:3">
      <c r="A325">
        <v>770687</v>
      </c>
      <c r="B325">
        <v>3002561</v>
      </c>
      <c r="C325" s="32">
        <v>43070.661550925928</v>
      </c>
    </row>
    <row r="326" spans="1:3">
      <c r="A326">
        <v>77107</v>
      </c>
      <c r="B326">
        <v>1080785</v>
      </c>
      <c r="C326" s="32">
        <v>43072.620752314811</v>
      </c>
    </row>
    <row r="327" spans="1:3">
      <c r="A327">
        <v>180372</v>
      </c>
      <c r="B327">
        <v>2030976</v>
      </c>
      <c r="C327" s="32">
        <v>43070.040532407409</v>
      </c>
    </row>
    <row r="328" spans="1:3">
      <c r="A328">
        <v>9644</v>
      </c>
      <c r="B328">
        <v>2486578</v>
      </c>
      <c r="C328" s="32">
        <v>43071.260509259257</v>
      </c>
    </row>
    <row r="329" spans="1:3">
      <c r="A329">
        <v>286301</v>
      </c>
      <c r="B329">
        <v>3826089</v>
      </c>
      <c r="C329" s="32">
        <v>43069.710312499999</v>
      </c>
    </row>
    <row r="330" spans="1:3">
      <c r="A330">
        <v>468867</v>
      </c>
      <c r="B330">
        <v>4238676</v>
      </c>
      <c r="C330" s="32">
        <v>43070.264074074075</v>
      </c>
    </row>
    <row r="331" spans="1:3">
      <c r="A331">
        <v>586833</v>
      </c>
      <c r="B331">
        <v>321567</v>
      </c>
      <c r="C331" s="32">
        <v>43070.611608796295</v>
      </c>
    </row>
    <row r="332" spans="1:3">
      <c r="A332">
        <v>199149</v>
      </c>
      <c r="B332">
        <v>2196412</v>
      </c>
      <c r="C332" s="32">
        <v>43072.653425925928</v>
      </c>
    </row>
    <row r="333" spans="1:3">
      <c r="A333">
        <v>453180</v>
      </c>
      <c r="B333">
        <v>4217906</v>
      </c>
      <c r="C333" s="32">
        <v>43072.252083333333</v>
      </c>
    </row>
    <row r="334" spans="1:3">
      <c r="A334">
        <v>104897</v>
      </c>
      <c r="B334">
        <v>3619575</v>
      </c>
      <c r="C334" s="32">
        <v>43070.78833333333</v>
      </c>
    </row>
    <row r="335" spans="1:3">
      <c r="A335">
        <v>895457</v>
      </c>
      <c r="B335">
        <v>903809</v>
      </c>
      <c r="C335" s="32">
        <v>43072.650914351849</v>
      </c>
    </row>
    <row r="336" spans="1:3">
      <c r="A336">
        <v>435374</v>
      </c>
      <c r="B336">
        <v>1029459</v>
      </c>
      <c r="C336" s="32">
        <v>43070.470868055556</v>
      </c>
    </row>
    <row r="337" spans="1:3">
      <c r="A337">
        <v>170001</v>
      </c>
      <c r="B337">
        <v>4672807</v>
      </c>
      <c r="C337" s="32">
        <v>43072.657731481479</v>
      </c>
    </row>
    <row r="338" spans="1:3">
      <c r="A338">
        <v>893589</v>
      </c>
      <c r="B338">
        <v>1691699</v>
      </c>
      <c r="C338" s="32">
        <v>43070.136782407404</v>
      </c>
    </row>
    <row r="339" spans="1:3">
      <c r="A339">
        <v>73157</v>
      </c>
      <c r="B339">
        <v>2355072</v>
      </c>
      <c r="C339" s="32">
        <v>43072.441111111111</v>
      </c>
    </row>
    <row r="340" spans="1:3">
      <c r="A340">
        <v>116413</v>
      </c>
      <c r="B340">
        <v>1051370</v>
      </c>
      <c r="C340" s="32">
        <v>43072.23238425926</v>
      </c>
    </row>
    <row r="341" spans="1:3">
      <c r="A341">
        <v>268992</v>
      </c>
      <c r="B341">
        <v>4130426</v>
      </c>
      <c r="C341" s="32">
        <v>43071.366736111115</v>
      </c>
    </row>
    <row r="342" spans="1:3">
      <c r="A342">
        <v>632653</v>
      </c>
      <c r="B342">
        <v>982926</v>
      </c>
      <c r="C342" s="32">
        <v>43070.731504629628</v>
      </c>
    </row>
    <row r="343" spans="1:3">
      <c r="A343">
        <v>608340</v>
      </c>
      <c r="B343">
        <v>1338377</v>
      </c>
      <c r="C343" s="32">
        <v>43072.535162037035</v>
      </c>
    </row>
    <row r="344" spans="1:3">
      <c r="A344">
        <v>80325</v>
      </c>
      <c r="B344">
        <v>1988066</v>
      </c>
      <c r="C344" s="32">
        <v>43072.660868055558</v>
      </c>
    </row>
    <row r="345" spans="1:3">
      <c r="A345">
        <v>97555</v>
      </c>
      <c r="B345">
        <v>4919077</v>
      </c>
      <c r="C345" s="32">
        <v>43072.292280092595</v>
      </c>
    </row>
    <row r="346" spans="1:3">
      <c r="A346">
        <v>988157</v>
      </c>
      <c r="B346">
        <v>3607361</v>
      </c>
      <c r="C346" s="32">
        <v>43072.543564814812</v>
      </c>
    </row>
    <row r="347" spans="1:3">
      <c r="A347">
        <v>797420</v>
      </c>
      <c r="B347">
        <v>1277731</v>
      </c>
      <c r="C347" s="32">
        <v>43070.384143518517</v>
      </c>
    </row>
    <row r="348" spans="1:3">
      <c r="A348">
        <v>342032</v>
      </c>
      <c r="B348">
        <v>1575622</v>
      </c>
      <c r="C348" s="32">
        <v>43072.385231481479</v>
      </c>
    </row>
    <row r="349" spans="1:3">
      <c r="A349">
        <v>306256</v>
      </c>
      <c r="B349">
        <v>4576874</v>
      </c>
      <c r="C349" s="32">
        <v>43071.682222222225</v>
      </c>
    </row>
    <row r="350" spans="1:3">
      <c r="A350">
        <v>740488</v>
      </c>
      <c r="B350">
        <v>1568197</v>
      </c>
      <c r="C350" s="32">
        <v>43072.574884259258</v>
      </c>
    </row>
    <row r="351" spans="1:3">
      <c r="A351">
        <v>700729</v>
      </c>
      <c r="B351">
        <v>283996</v>
      </c>
      <c r="C351" s="32">
        <v>43069.841886574075</v>
      </c>
    </row>
    <row r="352" spans="1:3">
      <c r="A352">
        <v>464789</v>
      </c>
      <c r="B352">
        <v>338646</v>
      </c>
      <c r="C352" s="32">
        <v>43070.432581018518</v>
      </c>
    </row>
    <row r="353" spans="1:3">
      <c r="A353">
        <v>127890</v>
      </c>
      <c r="B353">
        <v>4756105</v>
      </c>
      <c r="C353" s="32">
        <v>43070.558020833334</v>
      </c>
    </row>
    <row r="354" spans="1:3">
      <c r="A354">
        <v>109669</v>
      </c>
      <c r="B354">
        <v>1988066</v>
      </c>
      <c r="C354" s="32">
        <v>43072.572812500002</v>
      </c>
    </row>
    <row r="355" spans="1:3">
      <c r="A355">
        <v>334587</v>
      </c>
      <c r="B355">
        <v>982926</v>
      </c>
      <c r="C355" s="32">
        <v>43072.633310185185</v>
      </c>
    </row>
    <row r="356" spans="1:3">
      <c r="A356">
        <v>330993</v>
      </c>
      <c r="B356">
        <v>3738615</v>
      </c>
      <c r="C356" s="32">
        <v>43070.635810185187</v>
      </c>
    </row>
    <row r="357" spans="1:3">
      <c r="A357">
        <v>102923</v>
      </c>
      <c r="B357">
        <v>3002561</v>
      </c>
      <c r="C357" s="32">
        <v>43072.210439814815</v>
      </c>
    </row>
    <row r="358" spans="1:3">
      <c r="A358">
        <v>565035</v>
      </c>
      <c r="B358">
        <v>1467750</v>
      </c>
      <c r="C358" s="32">
        <v>43072.153391203705</v>
      </c>
    </row>
    <row r="359" spans="1:3">
      <c r="A359">
        <v>816667</v>
      </c>
      <c r="B359">
        <v>2520377</v>
      </c>
      <c r="C359" s="32">
        <v>43070.564502314817</v>
      </c>
    </row>
    <row r="360" spans="1:3">
      <c r="A360">
        <v>1003702</v>
      </c>
      <c r="B360">
        <v>2195789</v>
      </c>
      <c r="C360" s="32">
        <v>43072.559988425928</v>
      </c>
    </row>
    <row r="361" spans="1:3">
      <c r="A361">
        <v>595880</v>
      </c>
      <c r="B361">
        <v>940822</v>
      </c>
      <c r="C361" s="32">
        <v>43070.650173611109</v>
      </c>
    </row>
    <row r="362" spans="1:3">
      <c r="A362">
        <v>778392</v>
      </c>
      <c r="B362">
        <v>4756105</v>
      </c>
      <c r="C362" s="32">
        <v>43072.594537037039</v>
      </c>
    </row>
    <row r="363" spans="1:3">
      <c r="A363">
        <v>135656</v>
      </c>
      <c r="B363">
        <v>3607361</v>
      </c>
      <c r="C363" s="32">
        <v>43070.373912037037</v>
      </c>
    </row>
    <row r="364" spans="1:3">
      <c r="A364">
        <v>465321</v>
      </c>
      <c r="B364">
        <v>4357323</v>
      </c>
      <c r="C364" s="32">
        <v>43071.648715277777</v>
      </c>
    </row>
    <row r="365" spans="1:3">
      <c r="A365">
        <v>155979</v>
      </c>
      <c r="B365">
        <v>249261</v>
      </c>
      <c r="C365" s="32">
        <v>43070.660856481481</v>
      </c>
    </row>
    <row r="366" spans="1:3">
      <c r="A366">
        <v>93100</v>
      </c>
      <c r="B366">
        <v>1508018</v>
      </c>
      <c r="C366" s="32">
        <v>43070.479004629633</v>
      </c>
    </row>
    <row r="367" spans="1:3">
      <c r="A367">
        <v>252340</v>
      </c>
      <c r="B367">
        <v>4462359</v>
      </c>
      <c r="C367" s="32">
        <v>43072.108437499999</v>
      </c>
    </row>
    <row r="368" spans="1:3">
      <c r="A368">
        <v>562342</v>
      </c>
      <c r="B368">
        <v>2926020</v>
      </c>
      <c r="C368" s="32">
        <v>43071.660520833335</v>
      </c>
    </row>
    <row r="369" spans="1:3">
      <c r="A369">
        <v>12046</v>
      </c>
      <c r="B369">
        <v>3844144</v>
      </c>
      <c r="C369" s="32">
        <v>43071.984143518515</v>
      </c>
    </row>
    <row r="370" spans="1:3">
      <c r="A370">
        <v>107245</v>
      </c>
      <c r="B370">
        <v>3975787</v>
      </c>
      <c r="C370" s="32">
        <v>43071.374224537038</v>
      </c>
    </row>
    <row r="371" spans="1:3">
      <c r="A371">
        <v>960146</v>
      </c>
      <c r="B371">
        <v>753984</v>
      </c>
      <c r="C371" s="32">
        <v>43070.510937500003</v>
      </c>
    </row>
    <row r="372" spans="1:3">
      <c r="A372">
        <v>706878</v>
      </c>
      <c r="B372">
        <v>4756105</v>
      </c>
      <c r="C372" s="32">
        <v>43071.225601851853</v>
      </c>
    </row>
    <row r="373" spans="1:3">
      <c r="A373">
        <v>538109</v>
      </c>
      <c r="B373">
        <v>883960</v>
      </c>
      <c r="C373" s="32">
        <v>43072.649340277778</v>
      </c>
    </row>
    <row r="374" spans="1:3">
      <c r="A374">
        <v>296922</v>
      </c>
      <c r="B374">
        <v>4756105</v>
      </c>
      <c r="C374" s="32">
        <v>43070.59784722222</v>
      </c>
    </row>
    <row r="375" spans="1:3">
      <c r="A375">
        <v>941626</v>
      </c>
      <c r="B375">
        <v>2986945</v>
      </c>
      <c r="C375" s="32">
        <v>43072.446817129632</v>
      </c>
    </row>
    <row r="376" spans="1:3">
      <c r="A376">
        <v>535943</v>
      </c>
      <c r="B376">
        <v>3158249</v>
      </c>
      <c r="C376" s="32">
        <v>43072.245243055557</v>
      </c>
    </row>
    <row r="377" spans="1:3">
      <c r="A377">
        <v>981726</v>
      </c>
      <c r="B377">
        <v>2465336</v>
      </c>
      <c r="C377" s="32">
        <v>43072.276400462964</v>
      </c>
    </row>
    <row r="378" spans="1:3">
      <c r="A378">
        <v>664546</v>
      </c>
      <c r="B378">
        <v>2558244</v>
      </c>
      <c r="C378" s="32">
        <v>43071.421805555554</v>
      </c>
    </row>
    <row r="379" spans="1:3">
      <c r="A379">
        <v>399041</v>
      </c>
      <c r="B379">
        <v>800581</v>
      </c>
      <c r="C379" s="32">
        <v>43071.62054398148</v>
      </c>
    </row>
    <row r="380" spans="1:3">
      <c r="A380">
        <v>325703</v>
      </c>
      <c r="B380">
        <v>3410573</v>
      </c>
      <c r="C380" s="32">
        <v>43071.290763888886</v>
      </c>
    </row>
    <row r="381" spans="1:3">
      <c r="A381">
        <v>699229</v>
      </c>
      <c r="B381">
        <v>2885642</v>
      </c>
      <c r="C381" s="32">
        <v>43072.636064814818</v>
      </c>
    </row>
    <row r="382" spans="1:3">
      <c r="A382">
        <v>517026</v>
      </c>
      <c r="B382">
        <v>2066454</v>
      </c>
      <c r="C382" s="32">
        <v>43072.237141203703</v>
      </c>
    </row>
    <row r="383" spans="1:3">
      <c r="A383">
        <v>184336</v>
      </c>
      <c r="B383">
        <v>4362740</v>
      </c>
      <c r="C383" s="32">
        <v>43072.202662037038</v>
      </c>
    </row>
    <row r="384" spans="1:3">
      <c r="A384">
        <v>588150</v>
      </c>
      <c r="B384">
        <v>1189158</v>
      </c>
      <c r="C384" s="32">
        <v>43070.548877314817</v>
      </c>
    </row>
    <row r="385" spans="1:3">
      <c r="A385">
        <v>906886</v>
      </c>
      <c r="B385">
        <v>3720767</v>
      </c>
      <c r="C385" s="32">
        <v>43072.654398148145</v>
      </c>
    </row>
    <row r="386" spans="1:3">
      <c r="A386">
        <v>437858</v>
      </c>
      <c r="B386">
        <v>2096639</v>
      </c>
      <c r="C386" s="32">
        <v>43071.17255787037</v>
      </c>
    </row>
    <row r="387" spans="1:3">
      <c r="A387">
        <v>158339</v>
      </c>
      <c r="B387">
        <v>2129666</v>
      </c>
      <c r="C387" s="32">
        <v>43071.217129629629</v>
      </c>
    </row>
    <row r="388" spans="1:3">
      <c r="A388">
        <v>785416</v>
      </c>
      <c r="B388">
        <v>3624696</v>
      </c>
      <c r="C388" s="32">
        <v>43070.565393518518</v>
      </c>
    </row>
    <row r="389" spans="1:3">
      <c r="A389">
        <v>720031</v>
      </c>
      <c r="B389">
        <v>4565874</v>
      </c>
      <c r="C389" s="32">
        <v>43070.281840277778</v>
      </c>
    </row>
    <row r="390" spans="1:3">
      <c r="A390">
        <v>893050</v>
      </c>
      <c r="B390">
        <v>50601</v>
      </c>
      <c r="C390" s="32">
        <v>43072.143935185188</v>
      </c>
    </row>
    <row r="391" spans="1:3">
      <c r="A391">
        <v>713152</v>
      </c>
      <c r="B391">
        <v>1029459</v>
      </c>
      <c r="C391" s="32">
        <v>43071.865706018521</v>
      </c>
    </row>
    <row r="392" spans="1:3">
      <c r="A392">
        <v>801772</v>
      </c>
      <c r="B392">
        <v>2640118</v>
      </c>
      <c r="C392" s="32">
        <v>43071.702824074076</v>
      </c>
    </row>
    <row r="393" spans="1:3">
      <c r="A393">
        <v>940502</v>
      </c>
      <c r="B393">
        <v>4170419</v>
      </c>
      <c r="C393" s="32">
        <v>43072.413935185185</v>
      </c>
    </row>
    <row r="394" spans="1:3">
      <c r="A394">
        <v>92627</v>
      </c>
      <c r="B394">
        <v>4756105</v>
      </c>
      <c r="C394" s="32">
        <v>43071.204259259262</v>
      </c>
    </row>
    <row r="395" spans="1:3">
      <c r="A395">
        <v>113180</v>
      </c>
      <c r="B395">
        <v>2355072</v>
      </c>
      <c r="C395" s="32">
        <v>43070.287465277775</v>
      </c>
    </row>
    <row r="396" spans="1:3">
      <c r="A396">
        <v>28698</v>
      </c>
      <c r="B396">
        <v>4627820</v>
      </c>
      <c r="C396" s="32">
        <v>43072.01703703704</v>
      </c>
    </row>
    <row r="397" spans="1:3">
      <c r="A397">
        <v>644783</v>
      </c>
      <c r="B397">
        <v>2465336</v>
      </c>
      <c r="C397" s="32">
        <v>43072.627800925926</v>
      </c>
    </row>
    <row r="398" spans="1:3">
      <c r="A398">
        <v>29886</v>
      </c>
      <c r="B398">
        <v>154040</v>
      </c>
      <c r="C398" s="32">
        <v>43071.21638888889</v>
      </c>
    </row>
    <row r="399" spans="1:3">
      <c r="A399">
        <v>1002307</v>
      </c>
      <c r="B399">
        <v>1008362</v>
      </c>
      <c r="C399" s="32">
        <v>43072.582245370373</v>
      </c>
    </row>
    <row r="400" spans="1:3">
      <c r="A400">
        <v>684985</v>
      </c>
      <c r="B400">
        <v>3776866</v>
      </c>
      <c r="C400" s="32">
        <v>43071.050578703704</v>
      </c>
    </row>
    <row r="401" spans="1:3">
      <c r="A401">
        <v>357739</v>
      </c>
      <c r="B401">
        <v>2640118</v>
      </c>
      <c r="C401" s="32">
        <v>43071.214247685188</v>
      </c>
    </row>
    <row r="402" spans="1:3">
      <c r="A402">
        <v>425923</v>
      </c>
      <c r="B402">
        <v>72526</v>
      </c>
      <c r="C402" s="32">
        <v>43070.603784722225</v>
      </c>
    </row>
    <row r="403" spans="1:3">
      <c r="A403">
        <v>172504</v>
      </c>
      <c r="B403">
        <v>1293225</v>
      </c>
      <c r="C403" s="32">
        <v>43072.298090277778</v>
      </c>
    </row>
    <row r="404" spans="1:3">
      <c r="A404">
        <v>274631</v>
      </c>
      <c r="B404">
        <v>737184</v>
      </c>
      <c r="C404" s="32">
        <v>43070.476053240738</v>
      </c>
    </row>
    <row r="405" spans="1:3">
      <c r="A405">
        <v>700295</v>
      </c>
      <c r="B405">
        <v>4756105</v>
      </c>
      <c r="C405" s="32">
        <v>43071.35324074074</v>
      </c>
    </row>
    <row r="406" spans="1:3">
      <c r="A406">
        <v>845945</v>
      </c>
      <c r="B406">
        <v>4801426</v>
      </c>
      <c r="C406" s="32">
        <v>43072.65824074074</v>
      </c>
    </row>
    <row r="407" spans="1:3">
      <c r="A407">
        <v>723377</v>
      </c>
      <c r="B407">
        <v>285583</v>
      </c>
      <c r="C407" s="32">
        <v>43071.386643518519</v>
      </c>
    </row>
    <row r="408" spans="1:3">
      <c r="A408">
        <v>195358</v>
      </c>
      <c r="B408">
        <v>2342116</v>
      </c>
      <c r="C408" s="32">
        <v>43071.433599537035</v>
      </c>
    </row>
    <row r="409" spans="1:3">
      <c r="A409">
        <v>50383</v>
      </c>
      <c r="B409">
        <v>3624696</v>
      </c>
      <c r="C409" s="32">
        <v>43071.915034722224</v>
      </c>
    </row>
    <row r="410" spans="1:3">
      <c r="A410">
        <v>309916</v>
      </c>
      <c r="B410">
        <v>1464116</v>
      </c>
      <c r="C410" s="32">
        <v>43070.536192129628</v>
      </c>
    </row>
    <row r="411" spans="1:3">
      <c r="A411">
        <v>502479</v>
      </c>
      <c r="B411">
        <v>4690421</v>
      </c>
      <c r="C411" s="32">
        <v>43072.527662037035</v>
      </c>
    </row>
    <row r="412" spans="1:3">
      <c r="A412">
        <v>983085</v>
      </c>
      <c r="B412">
        <v>1787510</v>
      </c>
      <c r="C412" s="32">
        <v>43071.313055555554</v>
      </c>
    </row>
    <row r="413" spans="1:3">
      <c r="A413">
        <v>827172</v>
      </c>
      <c r="B413">
        <v>794153</v>
      </c>
      <c r="C413" s="32">
        <v>43072.436226851853</v>
      </c>
    </row>
    <row r="414" spans="1:3">
      <c r="A414">
        <v>371647</v>
      </c>
      <c r="B414">
        <v>2520377</v>
      </c>
      <c r="C414" s="32">
        <v>43072.466874999998</v>
      </c>
    </row>
    <row r="415" spans="1:3">
      <c r="A415">
        <v>237369</v>
      </c>
      <c r="B415">
        <v>3381583</v>
      </c>
      <c r="C415" s="32">
        <v>43071.679282407407</v>
      </c>
    </row>
    <row r="416" spans="1:3">
      <c r="A416">
        <v>663427</v>
      </c>
      <c r="B416">
        <v>3002561</v>
      </c>
      <c r="C416" s="32">
        <v>43072.367256944446</v>
      </c>
    </row>
    <row r="417" spans="1:3">
      <c r="A417">
        <v>47771</v>
      </c>
      <c r="B417">
        <v>4129924</v>
      </c>
      <c r="C417" s="32">
        <v>43071.011134259257</v>
      </c>
    </row>
    <row r="418" spans="1:3">
      <c r="A418">
        <v>986545</v>
      </c>
      <c r="B418">
        <v>2640118</v>
      </c>
      <c r="C418" s="32">
        <v>43072.532025462962</v>
      </c>
    </row>
    <row r="419" spans="1:3">
      <c r="A419">
        <v>1015486</v>
      </c>
      <c r="B419">
        <v>982926</v>
      </c>
      <c r="C419" s="32">
        <v>43072.099710648145</v>
      </c>
    </row>
    <row r="420" spans="1:3">
      <c r="A420">
        <v>509197</v>
      </c>
      <c r="B420">
        <v>3743261</v>
      </c>
      <c r="C420" s="32">
        <v>43070.461875000001</v>
      </c>
    </row>
    <row r="421" spans="1:3">
      <c r="A421">
        <v>221675</v>
      </c>
      <c r="B421">
        <v>149192</v>
      </c>
      <c r="C421" s="32">
        <v>43071.329861111109</v>
      </c>
    </row>
    <row r="422" spans="1:3">
      <c r="A422">
        <v>871778</v>
      </c>
      <c r="B422">
        <v>2355072</v>
      </c>
      <c r="C422" s="32">
        <v>43071.40384259259</v>
      </c>
    </row>
    <row r="423" spans="1:3">
      <c r="A423">
        <v>582316</v>
      </c>
      <c r="B423">
        <v>2196412</v>
      </c>
      <c r="C423" s="32">
        <v>43071.356365740743</v>
      </c>
    </row>
    <row r="424" spans="1:3">
      <c r="A424">
        <v>878029</v>
      </c>
      <c r="B424">
        <v>4756105</v>
      </c>
      <c r="C424" s="32">
        <v>43071.966631944444</v>
      </c>
    </row>
    <row r="425" spans="1:3">
      <c r="A425">
        <v>578379</v>
      </c>
      <c r="B425">
        <v>2735466</v>
      </c>
      <c r="C425" s="32">
        <v>43070.209803240738</v>
      </c>
    </row>
    <row r="426" spans="1:3">
      <c r="A426">
        <v>633591</v>
      </c>
      <c r="B426">
        <v>4664549</v>
      </c>
      <c r="C426" s="32">
        <v>43070.660914351851</v>
      </c>
    </row>
    <row r="427" spans="1:3">
      <c r="A427">
        <v>372790</v>
      </c>
      <c r="B427">
        <v>4918438</v>
      </c>
      <c r="C427" s="32">
        <v>43070.142476851855</v>
      </c>
    </row>
    <row r="428" spans="1:3">
      <c r="A428">
        <v>156793</v>
      </c>
      <c r="B428">
        <v>2939262</v>
      </c>
      <c r="C428" s="32">
        <v>43072.560335648152</v>
      </c>
    </row>
    <row r="429" spans="1:3">
      <c r="A429">
        <v>900575</v>
      </c>
      <c r="B429">
        <v>1813610</v>
      </c>
      <c r="C429" s="32">
        <v>43071.157777777778</v>
      </c>
    </row>
    <row r="430" spans="1:3">
      <c r="A430">
        <v>100321</v>
      </c>
      <c r="B430">
        <v>4357323</v>
      </c>
      <c r="C430" s="32">
        <v>43072.641180555554</v>
      </c>
    </row>
    <row r="431" spans="1:3">
      <c r="A431">
        <v>944220</v>
      </c>
      <c r="B431">
        <v>4697972</v>
      </c>
      <c r="C431" s="32">
        <v>43071.217210648145</v>
      </c>
    </row>
    <row r="432" spans="1:3">
      <c r="A432">
        <v>153305</v>
      </c>
      <c r="B432">
        <v>149192</v>
      </c>
      <c r="C432" s="32">
        <v>43072.494942129626</v>
      </c>
    </row>
    <row r="433" spans="1:3">
      <c r="A433">
        <v>222298</v>
      </c>
      <c r="B433">
        <v>2033408</v>
      </c>
      <c r="C433" s="32">
        <v>43070.514988425923</v>
      </c>
    </row>
    <row r="434" spans="1:3">
      <c r="A434">
        <v>586519</v>
      </c>
      <c r="B434">
        <v>4358294</v>
      </c>
      <c r="C434" s="32">
        <v>43070.667974537035</v>
      </c>
    </row>
    <row r="435" spans="1:3">
      <c r="A435">
        <v>742648</v>
      </c>
      <c r="B435">
        <v>2939262</v>
      </c>
      <c r="C435" s="32">
        <v>43070.364629629628</v>
      </c>
    </row>
    <row r="436" spans="1:3">
      <c r="A436">
        <v>580026</v>
      </c>
      <c r="B436">
        <v>982926</v>
      </c>
      <c r="C436" s="32">
        <v>43072.196226851855</v>
      </c>
    </row>
    <row r="437" spans="1:3">
      <c r="A437">
        <v>831107</v>
      </c>
      <c r="B437">
        <v>2158079</v>
      </c>
      <c r="C437" s="32">
        <v>43069.99287037037</v>
      </c>
    </row>
    <row r="438" spans="1:3">
      <c r="A438">
        <v>44114</v>
      </c>
      <c r="B438">
        <v>4801426</v>
      </c>
      <c r="C438" s="32">
        <v>43071.203090277777</v>
      </c>
    </row>
    <row r="439" spans="1:3">
      <c r="A439">
        <v>87888</v>
      </c>
      <c r="B439">
        <v>3729292</v>
      </c>
      <c r="C439" s="32">
        <v>43071.485509259262</v>
      </c>
    </row>
    <row r="440" spans="1:3">
      <c r="A440">
        <v>40989</v>
      </c>
      <c r="B440">
        <v>4244487</v>
      </c>
      <c r="C440" s="32">
        <v>43070.672893518517</v>
      </c>
    </row>
    <row r="441" spans="1:3">
      <c r="A441">
        <v>287539</v>
      </c>
      <c r="B441">
        <v>3004853</v>
      </c>
      <c r="C441" s="32">
        <v>43069.71502314815</v>
      </c>
    </row>
    <row r="442" spans="1:3">
      <c r="A442">
        <v>22468</v>
      </c>
      <c r="B442">
        <v>2355072</v>
      </c>
      <c r="C442" s="32">
        <v>43070.671249999999</v>
      </c>
    </row>
    <row r="443" spans="1:3">
      <c r="A443">
        <v>372555</v>
      </c>
      <c r="B443">
        <v>1925578</v>
      </c>
      <c r="C443" s="32">
        <v>43071.047592592593</v>
      </c>
    </row>
    <row r="444" spans="1:3">
      <c r="A444">
        <v>153184</v>
      </c>
      <c r="B444">
        <v>1320293</v>
      </c>
      <c r="C444" s="32">
        <v>43072.566817129627</v>
      </c>
    </row>
    <row r="445" spans="1:3">
      <c r="A445">
        <v>186706</v>
      </c>
      <c r="B445">
        <v>3604509</v>
      </c>
      <c r="C445" s="32">
        <v>43069.925150462965</v>
      </c>
    </row>
    <row r="446" spans="1:3">
      <c r="A446">
        <v>87947</v>
      </c>
      <c r="B446">
        <v>3002561</v>
      </c>
      <c r="C446" s="32">
        <v>43071.359039351853</v>
      </c>
    </row>
    <row r="447" spans="1:3">
      <c r="A447">
        <v>35239</v>
      </c>
      <c r="B447">
        <v>4756105</v>
      </c>
      <c r="C447" s="32">
        <v>43071.567141203705</v>
      </c>
    </row>
    <row r="448" spans="1:3">
      <c r="A448">
        <v>402580</v>
      </c>
      <c r="B448">
        <v>238434</v>
      </c>
      <c r="C448" s="32">
        <v>43072.614085648151</v>
      </c>
    </row>
    <row r="449" spans="1:3">
      <c r="A449">
        <v>782029</v>
      </c>
      <c r="B449">
        <v>982926</v>
      </c>
      <c r="C449" s="32">
        <v>43072.590914351851</v>
      </c>
    </row>
    <row r="450" spans="1:3">
      <c r="A450">
        <v>747987</v>
      </c>
      <c r="B450">
        <v>113102</v>
      </c>
      <c r="C450" s="32">
        <v>43070.838518518518</v>
      </c>
    </row>
    <row r="451" spans="1:3">
      <c r="A451">
        <v>757706</v>
      </c>
      <c r="B451">
        <v>3767409</v>
      </c>
      <c r="C451" s="32">
        <v>43069.72991898148</v>
      </c>
    </row>
    <row r="452" spans="1:3">
      <c r="A452">
        <v>209586</v>
      </c>
      <c r="B452">
        <v>2735466</v>
      </c>
      <c r="C452" s="32">
        <v>43072.540243055555</v>
      </c>
    </row>
    <row r="453" spans="1:3">
      <c r="A453">
        <v>262155</v>
      </c>
      <c r="B453">
        <v>1464116</v>
      </c>
      <c r="C453" s="32">
        <v>43070.575335648151</v>
      </c>
    </row>
    <row r="454" spans="1:3">
      <c r="A454">
        <v>296846</v>
      </c>
      <c r="B454">
        <v>957119</v>
      </c>
      <c r="C454" s="32">
        <v>43072.508472222224</v>
      </c>
    </row>
    <row r="455" spans="1:3">
      <c r="A455">
        <v>485439</v>
      </c>
      <c r="B455">
        <v>737184</v>
      </c>
      <c r="C455" s="32">
        <v>43070.623055555552</v>
      </c>
    </row>
    <row r="456" spans="1:3">
      <c r="A456">
        <v>347196</v>
      </c>
      <c r="B456">
        <v>1879194</v>
      </c>
      <c r="C456" s="32">
        <v>43070.523576388892</v>
      </c>
    </row>
    <row r="457" spans="1:3">
      <c r="A457">
        <v>420621</v>
      </c>
      <c r="B457">
        <v>570735</v>
      </c>
      <c r="C457" s="32">
        <v>43072.548715277779</v>
      </c>
    </row>
    <row r="458" spans="1:3">
      <c r="A458">
        <v>91235</v>
      </c>
      <c r="B458">
        <v>4558987</v>
      </c>
      <c r="C458" s="32">
        <v>43072.015682870369</v>
      </c>
    </row>
    <row r="459" spans="1:3">
      <c r="A459">
        <v>512220</v>
      </c>
      <c r="B459">
        <v>1320293</v>
      </c>
      <c r="C459" s="32">
        <v>43072.272060185183</v>
      </c>
    </row>
    <row r="460" spans="1:3">
      <c r="A460">
        <v>258384</v>
      </c>
      <c r="B460">
        <v>1787510</v>
      </c>
      <c r="C460" s="32">
        <v>43072.115312499998</v>
      </c>
    </row>
    <row r="461" spans="1:3">
      <c r="A461">
        <v>389911</v>
      </c>
      <c r="B461">
        <v>1320293</v>
      </c>
      <c r="C461" s="32">
        <v>43072.398194444446</v>
      </c>
    </row>
    <row r="462" spans="1:3">
      <c r="A462">
        <v>879939</v>
      </c>
      <c r="B462">
        <v>355704</v>
      </c>
      <c r="C462" s="32">
        <v>43071.094201388885</v>
      </c>
    </row>
    <row r="463" spans="1:3">
      <c r="A463">
        <v>286059</v>
      </c>
      <c r="B463">
        <v>1320293</v>
      </c>
      <c r="C463" s="32">
        <v>43072.582488425927</v>
      </c>
    </row>
    <row r="464" spans="1:3">
      <c r="A464">
        <v>256148</v>
      </c>
      <c r="B464">
        <v>874415</v>
      </c>
      <c r="C464" s="32">
        <v>43072.478518518517</v>
      </c>
    </row>
    <row r="465" spans="1:3">
      <c r="A465">
        <v>101354</v>
      </c>
      <c r="B465">
        <v>4776549</v>
      </c>
      <c r="C465" s="32">
        <v>43071.282418981478</v>
      </c>
    </row>
    <row r="466" spans="1:3">
      <c r="A466">
        <v>813904</v>
      </c>
      <c r="B466">
        <v>4789432</v>
      </c>
      <c r="C466" s="32">
        <v>43072.328831018516</v>
      </c>
    </row>
    <row r="467" spans="1:3">
      <c r="A467">
        <v>589926</v>
      </c>
      <c r="B467">
        <v>154040</v>
      </c>
      <c r="C467" s="32">
        <v>43071.312256944446</v>
      </c>
    </row>
    <row r="468" spans="1:3">
      <c r="A468">
        <v>271172</v>
      </c>
      <c r="B468">
        <v>1051370</v>
      </c>
      <c r="C468" s="32">
        <v>43072.191331018519</v>
      </c>
    </row>
    <row r="469" spans="1:3">
      <c r="A469">
        <v>751226</v>
      </c>
      <c r="B469">
        <v>2520771</v>
      </c>
      <c r="C469" s="32">
        <v>43071.489918981482</v>
      </c>
    </row>
    <row r="470" spans="1:3">
      <c r="A470">
        <v>298890</v>
      </c>
      <c r="B470">
        <v>4145813</v>
      </c>
      <c r="C470" s="32">
        <v>43071.704409722224</v>
      </c>
    </row>
    <row r="471" spans="1:3">
      <c r="A471">
        <v>191286</v>
      </c>
      <c r="B471">
        <v>3002561</v>
      </c>
      <c r="C471" s="32">
        <v>43071.102465277778</v>
      </c>
    </row>
    <row r="472" spans="1:3">
      <c r="A472">
        <v>167704</v>
      </c>
      <c r="B472">
        <v>2578647</v>
      </c>
      <c r="C472" s="32">
        <v>43072.614444444444</v>
      </c>
    </row>
    <row r="473" spans="1:3">
      <c r="A473">
        <v>252830</v>
      </c>
      <c r="B473">
        <v>2131531</v>
      </c>
      <c r="C473" s="32">
        <v>43070.427893518521</v>
      </c>
    </row>
    <row r="474" spans="1:3">
      <c r="A474">
        <v>971966</v>
      </c>
      <c r="B474">
        <v>4756105</v>
      </c>
      <c r="C474" s="32">
        <v>43070.680196759262</v>
      </c>
    </row>
    <row r="475" spans="1:3">
      <c r="A475">
        <v>142171</v>
      </c>
      <c r="B475">
        <v>1530704</v>
      </c>
      <c r="C475" s="32">
        <v>43070.330231481479</v>
      </c>
    </row>
    <row r="476" spans="1:3">
      <c r="A476">
        <v>142358</v>
      </c>
      <c r="B476">
        <v>2640118</v>
      </c>
      <c r="C476" s="32">
        <v>43072.358773148146</v>
      </c>
    </row>
    <row r="477" spans="1:3">
      <c r="A477">
        <v>124337</v>
      </c>
      <c r="B477">
        <v>4482419</v>
      </c>
      <c r="C477" s="32">
        <v>43071.053680555553</v>
      </c>
    </row>
    <row r="478" spans="1:3">
      <c r="A478">
        <v>190579</v>
      </c>
      <c r="B478">
        <v>4690421</v>
      </c>
      <c r="C478" s="32">
        <v>43071.639004629629</v>
      </c>
    </row>
    <row r="479" spans="1:3">
      <c r="A479">
        <v>145346</v>
      </c>
      <c r="B479">
        <v>245312</v>
      </c>
      <c r="C479" s="32">
        <v>43071.400914351849</v>
      </c>
    </row>
    <row r="480" spans="1:3">
      <c r="A480">
        <v>694081</v>
      </c>
      <c r="B480">
        <v>4645906</v>
      </c>
      <c r="C480" s="32">
        <v>43072.145497685182</v>
      </c>
    </row>
    <row r="481" spans="1:3">
      <c r="A481">
        <v>348074</v>
      </c>
      <c r="B481">
        <v>4834913</v>
      </c>
      <c r="C481" s="32">
        <v>43072.144814814812</v>
      </c>
    </row>
    <row r="482" spans="1:3">
      <c r="A482">
        <v>777842</v>
      </c>
      <c r="B482">
        <v>2885642</v>
      </c>
      <c r="C482" s="32">
        <v>43070.833240740743</v>
      </c>
    </row>
    <row r="483" spans="1:3">
      <c r="A483">
        <v>100276</v>
      </c>
      <c r="B483">
        <v>2050292</v>
      </c>
      <c r="C483" s="32">
        <v>43070.558819444443</v>
      </c>
    </row>
    <row r="484" spans="1:3">
      <c r="A484">
        <v>886819</v>
      </c>
      <c r="B484">
        <v>4801426</v>
      </c>
      <c r="C484" s="32">
        <v>43071.557962962965</v>
      </c>
    </row>
    <row r="485" spans="1:3">
      <c r="A485">
        <v>718356</v>
      </c>
      <c r="B485">
        <v>3860845</v>
      </c>
      <c r="C485" s="32">
        <v>43071.342951388891</v>
      </c>
    </row>
    <row r="486" spans="1:3">
      <c r="A486">
        <v>977218</v>
      </c>
      <c r="B486">
        <v>1349561</v>
      </c>
      <c r="C486" s="32">
        <v>43071.189212962963</v>
      </c>
    </row>
    <row r="487" spans="1:3">
      <c r="A487">
        <v>104544</v>
      </c>
      <c r="B487">
        <v>3664107</v>
      </c>
      <c r="C487" s="32">
        <v>43070.085532407407</v>
      </c>
    </row>
    <row r="488" spans="1:3">
      <c r="A488">
        <v>217455</v>
      </c>
      <c r="B488">
        <v>2430608</v>
      </c>
      <c r="C488" s="32">
        <v>43071.589803240742</v>
      </c>
    </row>
    <row r="489" spans="1:3">
      <c r="A489">
        <v>335853</v>
      </c>
      <c r="B489">
        <v>3937192</v>
      </c>
      <c r="C489" s="32">
        <v>43070.513460648152</v>
      </c>
    </row>
    <row r="490" spans="1:3">
      <c r="A490">
        <v>447726</v>
      </c>
      <c r="B490">
        <v>235534</v>
      </c>
      <c r="C490" s="32">
        <v>43072.068668981483</v>
      </c>
    </row>
    <row r="491" spans="1:3">
      <c r="A491">
        <v>318931</v>
      </c>
      <c r="B491">
        <v>477292</v>
      </c>
      <c r="C491" s="32">
        <v>43071.501250000001</v>
      </c>
    </row>
    <row r="492" spans="1:3">
      <c r="A492">
        <v>714797</v>
      </c>
      <c r="B492">
        <v>2735466</v>
      </c>
      <c r="C492" s="32">
        <v>43069.949965277781</v>
      </c>
    </row>
    <row r="493" spans="1:3">
      <c r="A493">
        <v>844035</v>
      </c>
      <c r="B493">
        <v>1884322</v>
      </c>
      <c r="C493" s="32">
        <v>43071.613819444443</v>
      </c>
    </row>
    <row r="494" spans="1:3">
      <c r="A494">
        <v>755099</v>
      </c>
      <c r="B494">
        <v>3742652</v>
      </c>
      <c r="C494" s="32">
        <v>43072.15896990741</v>
      </c>
    </row>
    <row r="495" spans="1:3">
      <c r="A495">
        <v>259351</v>
      </c>
      <c r="B495">
        <v>1320293</v>
      </c>
      <c r="C495" s="32">
        <v>43070.431122685186</v>
      </c>
    </row>
    <row r="496" spans="1:3">
      <c r="A496">
        <v>62778</v>
      </c>
      <c r="B496">
        <v>3608477</v>
      </c>
      <c r="C496" s="32">
        <v>43070.348043981481</v>
      </c>
    </row>
    <row r="497" spans="1:3">
      <c r="A497">
        <v>12642</v>
      </c>
      <c r="B497">
        <v>4217906</v>
      </c>
      <c r="C497" s="32">
        <v>43070.419039351851</v>
      </c>
    </row>
    <row r="498" spans="1:3">
      <c r="A498">
        <v>96500</v>
      </c>
      <c r="B498">
        <v>4339722</v>
      </c>
      <c r="C498" s="32">
        <v>43071.94017361111</v>
      </c>
    </row>
    <row r="499" spans="1:3">
      <c r="A499">
        <v>34451</v>
      </c>
      <c r="B499">
        <v>2945933</v>
      </c>
      <c r="C499" s="32">
        <v>43069.673055555555</v>
      </c>
    </row>
    <row r="500" spans="1:3">
      <c r="A500">
        <v>62746</v>
      </c>
      <c r="B500">
        <v>4217906</v>
      </c>
      <c r="C500" s="32">
        <v>43071.622384259259</v>
      </c>
    </row>
    <row r="501" spans="1:3">
      <c r="A501">
        <v>170712</v>
      </c>
      <c r="B501">
        <v>2885642</v>
      </c>
      <c r="C501" s="32">
        <v>43071.493877314817</v>
      </c>
    </row>
    <row r="502" spans="1:3">
      <c r="A502">
        <v>489781</v>
      </c>
      <c r="B502">
        <v>3607361</v>
      </c>
      <c r="C502" s="32">
        <v>43070.977731481478</v>
      </c>
    </row>
    <row r="503" spans="1:3">
      <c r="A503">
        <v>28220</v>
      </c>
      <c r="B503">
        <v>4015257</v>
      </c>
      <c r="C503" s="32">
        <v>43071.589884259258</v>
      </c>
    </row>
    <row r="504" spans="1:3">
      <c r="A504">
        <v>379285</v>
      </c>
      <c r="B504">
        <v>4145813</v>
      </c>
      <c r="C504" s="32">
        <v>43072.079421296294</v>
      </c>
    </row>
    <row r="505" spans="1:3">
      <c r="A505">
        <v>292794</v>
      </c>
      <c r="B505">
        <v>5045733</v>
      </c>
      <c r="C505" s="32">
        <v>43072.529351851852</v>
      </c>
    </row>
    <row r="506" spans="1:3">
      <c r="A506">
        <v>24079</v>
      </c>
      <c r="B506">
        <v>4756105</v>
      </c>
      <c r="C506" s="32">
        <v>43070.609791666669</v>
      </c>
    </row>
    <row r="507" spans="1:3">
      <c r="A507">
        <v>87925</v>
      </c>
      <c r="B507">
        <v>5029362</v>
      </c>
      <c r="C507" s="32">
        <v>43071.453668981485</v>
      </c>
    </row>
    <row r="508" spans="1:3">
      <c r="A508">
        <v>399119</v>
      </c>
      <c r="B508">
        <v>903809</v>
      </c>
      <c r="C508" s="32">
        <v>43072.56590277778</v>
      </c>
    </row>
    <row r="509" spans="1:3">
      <c r="A509">
        <v>631149</v>
      </c>
      <c r="B509">
        <v>1354236</v>
      </c>
      <c r="C509" s="32">
        <v>43070.534108796295</v>
      </c>
    </row>
    <row r="510" spans="1:3">
      <c r="A510">
        <v>949444</v>
      </c>
      <c r="B510">
        <v>3407883</v>
      </c>
      <c r="C510" s="32">
        <v>43072.520277777781</v>
      </c>
    </row>
    <row r="511" spans="1:3">
      <c r="A511">
        <v>693428</v>
      </c>
      <c r="B511">
        <v>4801426</v>
      </c>
      <c r="C511" s="32">
        <v>43070.000752314816</v>
      </c>
    </row>
    <row r="512" spans="1:3">
      <c r="A512">
        <v>229271</v>
      </c>
      <c r="B512">
        <v>2640118</v>
      </c>
      <c r="C512" s="32">
        <v>43072.554074074076</v>
      </c>
    </row>
    <row r="513" spans="1:3">
      <c r="A513">
        <v>780739</v>
      </c>
      <c r="B513">
        <v>174239</v>
      </c>
      <c r="C513" s="32">
        <v>43071.690763888888</v>
      </c>
    </row>
    <row r="514" spans="1:3">
      <c r="A514">
        <v>210846</v>
      </c>
      <c r="B514">
        <v>2131531</v>
      </c>
      <c r="C514" s="32">
        <v>43070.059479166666</v>
      </c>
    </row>
    <row r="515" spans="1:3">
      <c r="A515">
        <v>557073</v>
      </c>
      <c r="B515">
        <v>4145813</v>
      </c>
      <c r="C515" s="32">
        <v>43072.195821759262</v>
      </c>
    </row>
    <row r="516" spans="1:3">
      <c r="A516">
        <v>497091</v>
      </c>
      <c r="B516">
        <v>238434</v>
      </c>
      <c r="C516" s="32">
        <v>43070.68041666667</v>
      </c>
    </row>
    <row r="517" spans="1:3">
      <c r="A517">
        <v>523496</v>
      </c>
      <c r="B517">
        <v>3607361</v>
      </c>
      <c r="C517" s="32">
        <v>43071.250717592593</v>
      </c>
    </row>
    <row r="518" spans="1:3">
      <c r="A518">
        <v>784091</v>
      </c>
      <c r="B518">
        <v>2026832</v>
      </c>
      <c r="C518" s="32">
        <v>43071.627604166664</v>
      </c>
    </row>
    <row r="519" spans="1:3">
      <c r="A519">
        <v>24079</v>
      </c>
      <c r="B519">
        <v>1464116</v>
      </c>
      <c r="C519" s="32">
        <v>43070.59747685185</v>
      </c>
    </row>
    <row r="520" spans="1:3">
      <c r="A520">
        <v>927146</v>
      </c>
      <c r="B520">
        <v>4145813</v>
      </c>
      <c r="C520" s="32">
        <v>43072.48128472222</v>
      </c>
    </row>
    <row r="521" spans="1:3">
      <c r="A521">
        <v>610010</v>
      </c>
      <c r="B521">
        <v>3299155</v>
      </c>
      <c r="C521" s="32">
        <v>43070.973946759259</v>
      </c>
    </row>
    <row r="522" spans="1:3">
      <c r="A522">
        <v>368246</v>
      </c>
      <c r="B522">
        <v>1834026</v>
      </c>
      <c r="C522" s="32">
        <v>43072.591539351852</v>
      </c>
    </row>
    <row r="523" spans="1:3">
      <c r="A523">
        <v>39881</v>
      </c>
      <c r="B523">
        <v>5125081</v>
      </c>
      <c r="C523" s="32">
        <v>43070.28570601852</v>
      </c>
    </row>
    <row r="524" spans="1:3">
      <c r="A524">
        <v>717382</v>
      </c>
      <c r="B524">
        <v>982926</v>
      </c>
      <c r="C524" s="32">
        <v>43069.983530092592</v>
      </c>
    </row>
    <row r="525" spans="1:3">
      <c r="A525">
        <v>808806</v>
      </c>
      <c r="B525">
        <v>3664107</v>
      </c>
      <c r="C525" s="32">
        <v>43072.157013888886</v>
      </c>
    </row>
    <row r="526" spans="1:3">
      <c r="A526">
        <v>386294</v>
      </c>
      <c r="B526">
        <v>3738615</v>
      </c>
      <c r="C526" s="32">
        <v>43070.742303240739</v>
      </c>
    </row>
    <row r="527" spans="1:3">
      <c r="A527">
        <v>906473</v>
      </c>
      <c r="B527">
        <v>1023710</v>
      </c>
      <c r="C527" s="32">
        <v>43070.811793981484</v>
      </c>
    </row>
    <row r="528" spans="1:3">
      <c r="A528">
        <v>621878</v>
      </c>
      <c r="B528">
        <v>4217906</v>
      </c>
      <c r="C528" s="32">
        <v>43070.550428240742</v>
      </c>
    </row>
    <row r="529" spans="1:3">
      <c r="A529">
        <v>760168</v>
      </c>
      <c r="B529">
        <v>1320293</v>
      </c>
      <c r="C529" s="32">
        <v>43071.050555555557</v>
      </c>
    </row>
    <row r="530" spans="1:3">
      <c r="A530">
        <v>314398</v>
      </c>
      <c r="B530">
        <v>1216617</v>
      </c>
      <c r="C530" s="32">
        <v>43072.519016203703</v>
      </c>
    </row>
    <row r="531" spans="1:3">
      <c r="A531">
        <v>733506</v>
      </c>
      <c r="B531">
        <v>4170419</v>
      </c>
      <c r="C531" s="32">
        <v>43071.369710648149</v>
      </c>
    </row>
    <row r="532" spans="1:3">
      <c r="A532">
        <v>287030</v>
      </c>
      <c r="B532">
        <v>2578647</v>
      </c>
      <c r="C532" s="32">
        <v>43072.655740740738</v>
      </c>
    </row>
    <row r="533" spans="1:3">
      <c r="A533">
        <v>173273</v>
      </c>
      <c r="B533">
        <v>2465336</v>
      </c>
      <c r="C533" s="32">
        <v>43070.170324074075</v>
      </c>
    </row>
    <row r="534" spans="1:3">
      <c r="A534">
        <v>796957</v>
      </c>
      <c r="B534">
        <v>2735466</v>
      </c>
      <c r="C534" s="32">
        <v>43070.133530092593</v>
      </c>
    </row>
    <row r="535" spans="1:3">
      <c r="A535">
        <v>829845</v>
      </c>
      <c r="B535">
        <v>1763474</v>
      </c>
      <c r="C535" s="32">
        <v>43070.966689814813</v>
      </c>
    </row>
    <row r="536" spans="1:3">
      <c r="A536">
        <v>612313</v>
      </c>
      <c r="B536">
        <v>3607361</v>
      </c>
      <c r="C536" s="32">
        <v>43070.298738425925</v>
      </c>
    </row>
    <row r="537" spans="1:3">
      <c r="A537">
        <v>728526</v>
      </c>
      <c r="B537">
        <v>3607361</v>
      </c>
      <c r="C537" s="32">
        <v>43072.109976851854</v>
      </c>
    </row>
    <row r="538" spans="1:3">
      <c r="A538">
        <v>93808</v>
      </c>
      <c r="B538">
        <v>2939262</v>
      </c>
      <c r="C538" s="32">
        <v>43070.980208333334</v>
      </c>
    </row>
    <row r="539" spans="1:3">
      <c r="A539">
        <v>173118</v>
      </c>
      <c r="B539">
        <v>4558987</v>
      </c>
      <c r="C539" s="32">
        <v>43072.608703703707</v>
      </c>
    </row>
    <row r="540" spans="1:3">
      <c r="A540">
        <v>731133</v>
      </c>
      <c r="B540">
        <v>3065645</v>
      </c>
      <c r="C540" s="32">
        <v>43071.553449074076</v>
      </c>
    </row>
    <row r="541" spans="1:3">
      <c r="A541">
        <v>765813</v>
      </c>
      <c r="B541">
        <v>2452793</v>
      </c>
      <c r="C541" s="32">
        <v>43072.285555555558</v>
      </c>
    </row>
    <row r="542" spans="1:3">
      <c r="A542">
        <v>1004593</v>
      </c>
      <c r="B542">
        <v>3123187</v>
      </c>
      <c r="C542" s="32">
        <v>43071.506678240738</v>
      </c>
    </row>
    <row r="543" spans="1:3">
      <c r="A543">
        <v>664494</v>
      </c>
      <c r="B543">
        <v>1467750</v>
      </c>
      <c r="C543" s="32">
        <v>43071.851817129631</v>
      </c>
    </row>
    <row r="544" spans="1:3">
      <c r="A544">
        <v>256107</v>
      </c>
      <c r="B544">
        <v>2735466</v>
      </c>
      <c r="C544" s="32">
        <v>43072.647106481483</v>
      </c>
    </row>
    <row r="545" spans="1:3">
      <c r="A545">
        <v>241726</v>
      </c>
      <c r="B545">
        <v>4801426</v>
      </c>
      <c r="C545" s="32">
        <v>43070.399664351855</v>
      </c>
    </row>
    <row r="546" spans="1:3">
      <c r="A546">
        <v>707424</v>
      </c>
      <c r="B546">
        <v>1080785</v>
      </c>
      <c r="C546" s="32">
        <v>43072.390416666669</v>
      </c>
    </row>
    <row r="547" spans="1:3">
      <c r="A547">
        <v>989342</v>
      </c>
      <c r="B547">
        <v>2326411</v>
      </c>
      <c r="C547" s="32">
        <v>43071.033159722225</v>
      </c>
    </row>
    <row r="548" spans="1:3">
      <c r="A548">
        <v>179381</v>
      </c>
      <c r="B548">
        <v>1397912</v>
      </c>
      <c r="C548" s="32">
        <v>43071.600648148145</v>
      </c>
    </row>
    <row r="549" spans="1:3">
      <c r="A549">
        <v>340036</v>
      </c>
      <c r="B549">
        <v>2030976</v>
      </c>
      <c r="C549" s="32">
        <v>43070.314652777779</v>
      </c>
    </row>
    <row r="550" spans="1:3">
      <c r="A550">
        <v>180399</v>
      </c>
      <c r="B550">
        <v>3607361</v>
      </c>
      <c r="C550" s="32">
        <v>43072.414768518516</v>
      </c>
    </row>
    <row r="551" spans="1:3">
      <c r="A551">
        <v>858885</v>
      </c>
      <c r="B551">
        <v>4181361</v>
      </c>
      <c r="C551" s="32">
        <v>43071.951238425929</v>
      </c>
    </row>
    <row r="552" spans="1:3">
      <c r="A552">
        <v>934108</v>
      </c>
      <c r="B552">
        <v>4690421</v>
      </c>
      <c r="C552" s="32">
        <v>43071.603194444448</v>
      </c>
    </row>
    <row r="553" spans="1:3">
      <c r="A553">
        <v>935768</v>
      </c>
      <c r="B553">
        <v>4357323</v>
      </c>
      <c r="C553" s="32">
        <v>43069.709479166668</v>
      </c>
    </row>
    <row r="554" spans="1:3">
      <c r="A554">
        <v>569222</v>
      </c>
      <c r="B554">
        <v>4170419</v>
      </c>
      <c r="C554" s="32">
        <v>43072.13208333333</v>
      </c>
    </row>
    <row r="555" spans="1:3">
      <c r="A555">
        <v>656589</v>
      </c>
      <c r="B555">
        <v>4801426</v>
      </c>
      <c r="C555" s="32">
        <v>43071.037442129629</v>
      </c>
    </row>
    <row r="556" spans="1:3">
      <c r="A556">
        <v>980933</v>
      </c>
      <c r="B556">
        <v>4145813</v>
      </c>
      <c r="C556" s="32">
        <v>43072.574143518519</v>
      </c>
    </row>
    <row r="557" spans="1:3">
      <c r="A557">
        <v>412385</v>
      </c>
      <c r="B557">
        <v>4801426</v>
      </c>
      <c r="C557" s="32">
        <v>43072.492222222223</v>
      </c>
    </row>
    <row r="558" spans="1:3">
      <c r="A558">
        <v>477374</v>
      </c>
      <c r="B558">
        <v>235534</v>
      </c>
      <c r="C558" s="32">
        <v>43070.226157407407</v>
      </c>
    </row>
    <row r="559" spans="1:3">
      <c r="A559">
        <v>455042</v>
      </c>
      <c r="B559">
        <v>3112817</v>
      </c>
      <c r="C559" s="32">
        <v>43071.342361111114</v>
      </c>
    </row>
    <row r="560" spans="1:3">
      <c r="A560">
        <v>229522</v>
      </c>
      <c r="B560">
        <v>886203</v>
      </c>
      <c r="C560" s="32">
        <v>43072.233634259261</v>
      </c>
    </row>
    <row r="561" spans="1:3">
      <c r="A561">
        <v>386915</v>
      </c>
      <c r="B561">
        <v>4954200</v>
      </c>
      <c r="C561" s="32">
        <v>43070.317175925928</v>
      </c>
    </row>
    <row r="562" spans="1:3">
      <c r="A562">
        <v>964447</v>
      </c>
      <c r="B562">
        <v>1074254</v>
      </c>
      <c r="C562" s="32">
        <v>43070.520868055559</v>
      </c>
    </row>
    <row r="563" spans="1:3">
      <c r="A563">
        <v>410224</v>
      </c>
      <c r="B563">
        <v>3844144</v>
      </c>
      <c r="C563" s="32">
        <v>43071.261458333334</v>
      </c>
    </row>
    <row r="564" spans="1:3">
      <c r="A564">
        <v>424983</v>
      </c>
      <c r="B564">
        <v>1879194</v>
      </c>
      <c r="C564" s="32">
        <v>43070.383171296293</v>
      </c>
    </row>
    <row r="565" spans="1:3">
      <c r="A565">
        <v>573263</v>
      </c>
      <c r="B565">
        <v>1691699</v>
      </c>
      <c r="C565" s="32">
        <v>43071.656331018516</v>
      </c>
    </row>
    <row r="566" spans="1:3">
      <c r="A566">
        <v>982094</v>
      </c>
      <c r="B566">
        <v>2131531</v>
      </c>
      <c r="C566" s="32">
        <v>43071.42082175926</v>
      </c>
    </row>
    <row r="567" spans="1:3">
      <c r="A567">
        <v>735856</v>
      </c>
      <c r="B567">
        <v>4173315</v>
      </c>
      <c r="C567" s="32">
        <v>43071.607187499998</v>
      </c>
    </row>
    <row r="568" spans="1:3">
      <c r="A568">
        <v>893771</v>
      </c>
      <c r="B568">
        <v>1612623</v>
      </c>
      <c r="C568" s="32">
        <v>43072.145150462966</v>
      </c>
    </row>
    <row r="569" spans="1:3">
      <c r="A569">
        <v>597916</v>
      </c>
      <c r="B569">
        <v>1884322</v>
      </c>
      <c r="C569" s="32">
        <v>43071.946608796294</v>
      </c>
    </row>
    <row r="570" spans="1:3">
      <c r="A570">
        <v>958643</v>
      </c>
      <c r="B570">
        <v>872572</v>
      </c>
      <c r="C570" s="32">
        <v>43070.546099537038</v>
      </c>
    </row>
    <row r="571" spans="1:3">
      <c r="A571">
        <v>898129</v>
      </c>
      <c r="B571">
        <v>886203</v>
      </c>
      <c r="C571" s="32">
        <v>43071.788310185184</v>
      </c>
    </row>
    <row r="572" spans="1:3">
      <c r="A572">
        <v>142852</v>
      </c>
      <c r="B572">
        <v>3607361</v>
      </c>
      <c r="C572" s="32">
        <v>43071.193425925929</v>
      </c>
    </row>
    <row r="573" spans="1:3">
      <c r="A573">
        <v>174657</v>
      </c>
      <c r="B573">
        <v>5053508</v>
      </c>
      <c r="C573" s="32">
        <v>43071.115370370368</v>
      </c>
    </row>
    <row r="574" spans="1:3">
      <c r="A574">
        <v>802457</v>
      </c>
      <c r="B574">
        <v>1881956</v>
      </c>
      <c r="C574" s="32">
        <v>43072.156585648147</v>
      </c>
    </row>
    <row r="575" spans="1:3">
      <c r="A575">
        <v>457548</v>
      </c>
      <c r="B575">
        <v>4329518</v>
      </c>
      <c r="C575" s="32">
        <v>43070.475763888891</v>
      </c>
    </row>
    <row r="576" spans="1:3">
      <c r="A576">
        <v>112262</v>
      </c>
      <c r="B576">
        <v>411153</v>
      </c>
      <c r="C576" s="32">
        <v>43069.801111111112</v>
      </c>
    </row>
    <row r="577" spans="1:3">
      <c r="A577">
        <v>192347</v>
      </c>
      <c r="B577">
        <v>4801426</v>
      </c>
      <c r="C577" s="32">
        <v>43072.608368055553</v>
      </c>
    </row>
    <row r="578" spans="1:3">
      <c r="A578">
        <v>38929</v>
      </c>
      <c r="B578">
        <v>1888306</v>
      </c>
      <c r="C578" s="32">
        <v>43070.711701388886</v>
      </c>
    </row>
    <row r="579" spans="1:3">
      <c r="A579">
        <v>159879</v>
      </c>
      <c r="B579">
        <v>3738615</v>
      </c>
      <c r="C579" s="32">
        <v>43072.365856481483</v>
      </c>
    </row>
    <row r="580" spans="1:3">
      <c r="A580">
        <v>845029</v>
      </c>
      <c r="B580">
        <v>4145813</v>
      </c>
      <c r="C580" s="32">
        <v>43072.078402777777</v>
      </c>
    </row>
    <row r="581" spans="1:3">
      <c r="A581">
        <v>247333</v>
      </c>
      <c r="B581">
        <v>2158079</v>
      </c>
      <c r="C581" s="32">
        <v>43071.263831018521</v>
      </c>
    </row>
    <row r="582" spans="1:3">
      <c r="A582">
        <v>240044</v>
      </c>
      <c r="B582">
        <v>411153</v>
      </c>
      <c r="C582" s="32">
        <v>43070.523923611108</v>
      </c>
    </row>
    <row r="583" spans="1:3">
      <c r="A583">
        <v>445258</v>
      </c>
      <c r="B583">
        <v>2409814</v>
      </c>
      <c r="C583" s="32">
        <v>43071.362430555557</v>
      </c>
    </row>
    <row r="584" spans="1:3">
      <c r="A584">
        <v>128581</v>
      </c>
      <c r="B584">
        <v>3604509</v>
      </c>
      <c r="C584" s="32">
        <v>43072.129652777781</v>
      </c>
    </row>
    <row r="585" spans="1:3">
      <c r="A585">
        <v>536411</v>
      </c>
      <c r="B585">
        <v>1602933</v>
      </c>
      <c r="C585" s="32">
        <v>43072.286909722221</v>
      </c>
    </row>
    <row r="586" spans="1:3">
      <c r="A586">
        <v>350877</v>
      </c>
      <c r="B586">
        <v>149192</v>
      </c>
      <c r="C586" s="32">
        <v>43071.459166666667</v>
      </c>
    </row>
    <row r="587" spans="1:3">
      <c r="A587">
        <v>949992</v>
      </c>
      <c r="B587">
        <v>3208959</v>
      </c>
      <c r="C587" s="32">
        <v>43072.205428240741</v>
      </c>
    </row>
    <row r="588" spans="1:3">
      <c r="A588">
        <v>612688</v>
      </c>
      <c r="B588">
        <v>2885642</v>
      </c>
      <c r="C588" s="32">
        <v>43071.436064814814</v>
      </c>
    </row>
    <row r="589" spans="1:3">
      <c r="A589">
        <v>458360</v>
      </c>
      <c r="B589">
        <v>1573426</v>
      </c>
      <c r="C589" s="32">
        <v>43070.66542824074</v>
      </c>
    </row>
    <row r="590" spans="1:3">
      <c r="A590">
        <v>422230</v>
      </c>
      <c r="B590">
        <v>1988066</v>
      </c>
      <c r="C590" s="32">
        <v>43070.708043981482</v>
      </c>
    </row>
    <row r="591" spans="1:3">
      <c r="A591">
        <v>480969</v>
      </c>
      <c r="B591">
        <v>1349561</v>
      </c>
      <c r="C591" s="32">
        <v>43071.206620370373</v>
      </c>
    </row>
    <row r="592" spans="1:3">
      <c r="A592">
        <v>383883</v>
      </c>
      <c r="B592">
        <v>1609851</v>
      </c>
      <c r="C592" s="32">
        <v>43070.293796296297</v>
      </c>
    </row>
    <row r="593" spans="1:3">
      <c r="A593">
        <v>581962</v>
      </c>
      <c r="B593">
        <v>1283080</v>
      </c>
      <c r="C593" s="32">
        <v>43071.315162037034</v>
      </c>
    </row>
    <row r="594" spans="1:3">
      <c r="A594">
        <v>132238</v>
      </c>
      <c r="B594">
        <v>4217906</v>
      </c>
      <c r="C594" s="32">
        <v>43071.500925925924</v>
      </c>
    </row>
    <row r="595" spans="1:3">
      <c r="A595">
        <v>854558</v>
      </c>
      <c r="B595">
        <v>1320293</v>
      </c>
      <c r="C595" s="32">
        <v>43070.330381944441</v>
      </c>
    </row>
    <row r="596" spans="1:3">
      <c r="A596">
        <v>724256</v>
      </c>
      <c r="B596">
        <v>4756105</v>
      </c>
      <c r="C596" s="32">
        <v>43071.325601851851</v>
      </c>
    </row>
    <row r="597" spans="1:3">
      <c r="A597">
        <v>909847</v>
      </c>
      <c r="B597">
        <v>4801426</v>
      </c>
      <c r="C597" s="32">
        <v>43071.216585648152</v>
      </c>
    </row>
    <row r="598" spans="1:3">
      <c r="A598">
        <v>424528</v>
      </c>
      <c r="B598">
        <v>200278</v>
      </c>
      <c r="C598" s="32">
        <v>43072.64607638889</v>
      </c>
    </row>
    <row r="599" spans="1:3">
      <c r="A599">
        <v>749966</v>
      </c>
      <c r="B599">
        <v>1423654</v>
      </c>
      <c r="C599" s="32">
        <v>43070.563726851855</v>
      </c>
    </row>
    <row r="600" spans="1:3">
      <c r="A600">
        <v>302339</v>
      </c>
      <c r="B600">
        <v>1568197</v>
      </c>
      <c r="C600" s="32">
        <v>43072.210717592592</v>
      </c>
    </row>
    <row r="601" spans="1:3">
      <c r="A601">
        <v>71779</v>
      </c>
      <c r="B601">
        <v>1981996</v>
      </c>
      <c r="C601" s="32">
        <v>43071.808668981481</v>
      </c>
    </row>
    <row r="602" spans="1:3">
      <c r="A602">
        <v>665698</v>
      </c>
      <c r="B602">
        <v>3935940</v>
      </c>
      <c r="C602" s="32">
        <v>43072.556770833333</v>
      </c>
    </row>
    <row r="603" spans="1:3">
      <c r="A603">
        <v>46538</v>
      </c>
      <c r="B603">
        <v>4435957</v>
      </c>
      <c r="C603" s="32">
        <v>43071.488136574073</v>
      </c>
    </row>
    <row r="604" spans="1:3">
      <c r="A604">
        <v>348035</v>
      </c>
      <c r="B604">
        <v>1567637</v>
      </c>
      <c r="C604" s="32">
        <v>43071.126666666663</v>
      </c>
    </row>
    <row r="605" spans="1:3">
      <c r="A605">
        <v>984730</v>
      </c>
      <c r="B605">
        <v>1653613</v>
      </c>
      <c r="C605" s="32">
        <v>43071.51939814815</v>
      </c>
    </row>
    <row r="606" spans="1:3">
      <c r="A606">
        <v>409536</v>
      </c>
      <c r="B606">
        <v>982926</v>
      </c>
      <c r="C606" s="32">
        <v>43069.666944444441</v>
      </c>
    </row>
    <row r="607" spans="1:3">
      <c r="A607">
        <v>947930</v>
      </c>
      <c r="B607">
        <v>4167298</v>
      </c>
      <c r="C607" s="32">
        <v>43071.222314814811</v>
      </c>
    </row>
    <row r="608" spans="1:3">
      <c r="A608">
        <v>750118</v>
      </c>
      <c r="B608">
        <v>2671397</v>
      </c>
      <c r="C608" s="32">
        <v>43071.423472222225</v>
      </c>
    </row>
    <row r="609" spans="1:3">
      <c r="A609">
        <v>443327</v>
      </c>
      <c r="B609">
        <v>4756105</v>
      </c>
      <c r="C609" s="32">
        <v>43072.30028935185</v>
      </c>
    </row>
    <row r="610" spans="1:3">
      <c r="A610">
        <v>131720</v>
      </c>
      <c r="B610">
        <v>3430419</v>
      </c>
      <c r="C610" s="32">
        <v>43070.526574074072</v>
      </c>
    </row>
    <row r="611" spans="1:3">
      <c r="A611">
        <v>579082</v>
      </c>
      <c r="B611">
        <v>4170419</v>
      </c>
      <c r="C611" s="32">
        <v>43072.51326388889</v>
      </c>
    </row>
    <row r="612" spans="1:3">
      <c r="A612">
        <v>690336</v>
      </c>
      <c r="B612">
        <v>381850</v>
      </c>
      <c r="C612" s="32">
        <v>43070.624027777776</v>
      </c>
    </row>
    <row r="613" spans="1:3">
      <c r="A613">
        <v>562519</v>
      </c>
      <c r="B613">
        <v>3720767</v>
      </c>
      <c r="C613" s="32">
        <v>43070.406666666669</v>
      </c>
    </row>
    <row r="614" spans="1:3">
      <c r="A614">
        <v>196640</v>
      </c>
      <c r="B614">
        <v>2834771</v>
      </c>
      <c r="C614" s="32">
        <v>43070.32203703704</v>
      </c>
    </row>
    <row r="615" spans="1:3">
      <c r="A615">
        <v>255686</v>
      </c>
      <c r="B615">
        <v>3720767</v>
      </c>
      <c r="C615" s="32">
        <v>43071.64434027778</v>
      </c>
    </row>
    <row r="616" spans="1:3">
      <c r="A616">
        <v>478396</v>
      </c>
      <c r="B616">
        <v>1320293</v>
      </c>
      <c r="C616" s="32">
        <v>43072.637199074074</v>
      </c>
    </row>
    <row r="617" spans="1:3">
      <c r="A617">
        <v>79074</v>
      </c>
      <c r="B617">
        <v>4163659</v>
      </c>
      <c r="C617" s="32">
        <v>43070.242337962962</v>
      </c>
    </row>
    <row r="618" spans="1:3">
      <c r="A618">
        <v>638856</v>
      </c>
      <c r="B618">
        <v>4466876</v>
      </c>
      <c r="C618" s="32">
        <v>43071.536759259259</v>
      </c>
    </row>
    <row r="619" spans="1:3">
      <c r="A619">
        <v>931358</v>
      </c>
      <c r="B619">
        <v>4145813</v>
      </c>
      <c r="C619" s="32">
        <v>43070.569895833331</v>
      </c>
    </row>
    <row r="620" spans="1:3">
      <c r="A620">
        <v>55697</v>
      </c>
      <c r="B620">
        <v>2228184</v>
      </c>
      <c r="C620" s="32">
        <v>43071.566990740743</v>
      </c>
    </row>
    <row r="621" spans="1:3">
      <c r="A621">
        <v>530289</v>
      </c>
      <c r="B621">
        <v>3607361</v>
      </c>
      <c r="C621" s="32">
        <v>43070.193842592591</v>
      </c>
    </row>
    <row r="622" spans="1:3">
      <c r="A622">
        <v>745236</v>
      </c>
      <c r="B622">
        <v>3607361</v>
      </c>
      <c r="C622" s="32">
        <v>43071.311412037037</v>
      </c>
    </row>
    <row r="623" spans="1:3">
      <c r="A623">
        <v>979277</v>
      </c>
      <c r="B623">
        <v>1792277</v>
      </c>
      <c r="C623" s="32">
        <v>43071.502881944441</v>
      </c>
    </row>
    <row r="624" spans="1:3">
      <c r="A624">
        <v>753799</v>
      </c>
      <c r="B624">
        <v>4217906</v>
      </c>
      <c r="C624" s="32">
        <v>43072.189872685187</v>
      </c>
    </row>
    <row r="625" spans="1:3">
      <c r="A625">
        <v>200452</v>
      </c>
      <c r="B625">
        <v>4145813</v>
      </c>
      <c r="C625" s="32">
        <v>43070.326041666667</v>
      </c>
    </row>
    <row r="626" spans="1:3">
      <c r="A626">
        <v>852905</v>
      </c>
      <c r="B626">
        <v>1158475</v>
      </c>
      <c r="C626" s="32">
        <v>43069.976863425924</v>
      </c>
    </row>
    <row r="627" spans="1:3">
      <c r="A627">
        <v>271545</v>
      </c>
      <c r="B627">
        <v>1548278</v>
      </c>
      <c r="C627" s="32">
        <v>43070.592314814814</v>
      </c>
    </row>
    <row r="628" spans="1:3">
      <c r="A628">
        <v>227831</v>
      </c>
      <c r="B628">
        <v>1050007</v>
      </c>
      <c r="C628" s="32">
        <v>43071.105312500003</v>
      </c>
    </row>
    <row r="629" spans="1:3">
      <c r="A629">
        <v>901250</v>
      </c>
      <c r="B629">
        <v>3189162</v>
      </c>
      <c r="C629" s="32">
        <v>43071.675486111111</v>
      </c>
    </row>
    <row r="630" spans="1:3">
      <c r="A630">
        <v>202802</v>
      </c>
      <c r="B630">
        <v>982926</v>
      </c>
      <c r="C630" s="32">
        <v>43071.210150462961</v>
      </c>
    </row>
    <row r="631" spans="1:3">
      <c r="A631">
        <v>216073</v>
      </c>
      <c r="B631">
        <v>1834026</v>
      </c>
      <c r="C631" s="32">
        <v>43071.271874999999</v>
      </c>
    </row>
    <row r="632" spans="1:3">
      <c r="A632">
        <v>546221</v>
      </c>
      <c r="B632">
        <v>982926</v>
      </c>
      <c r="C632" s="32">
        <v>43072.420763888891</v>
      </c>
    </row>
    <row r="633" spans="1:3">
      <c r="A633">
        <v>642113</v>
      </c>
      <c r="B633">
        <v>2890111</v>
      </c>
      <c r="C633" s="32">
        <v>43071.227442129632</v>
      </c>
    </row>
    <row r="634" spans="1:3">
      <c r="A634">
        <v>138727</v>
      </c>
      <c r="B634">
        <v>4145813</v>
      </c>
      <c r="C634" s="32">
        <v>43071.528993055559</v>
      </c>
    </row>
    <row r="635" spans="1:3">
      <c r="A635">
        <v>193638</v>
      </c>
      <c r="B635">
        <v>4077585</v>
      </c>
      <c r="C635" s="32">
        <v>43071.384409722225</v>
      </c>
    </row>
    <row r="636" spans="1:3">
      <c r="A636">
        <v>332575</v>
      </c>
      <c r="B636">
        <v>106173</v>
      </c>
      <c r="C636" s="32">
        <v>43072.422013888892</v>
      </c>
    </row>
    <row r="637" spans="1:3">
      <c r="A637">
        <v>476985</v>
      </c>
      <c r="B637">
        <v>2640118</v>
      </c>
      <c r="C637" s="32">
        <v>43071.151562500003</v>
      </c>
    </row>
    <row r="638" spans="1:3">
      <c r="A638">
        <v>231788</v>
      </c>
      <c r="B638">
        <v>1956773</v>
      </c>
      <c r="C638" s="32">
        <v>43071.585682870369</v>
      </c>
    </row>
    <row r="639" spans="1:3">
      <c r="A639">
        <v>601818</v>
      </c>
      <c r="B639">
        <v>1169503</v>
      </c>
      <c r="C639" s="32">
        <v>43070.501782407409</v>
      </c>
    </row>
    <row r="640" spans="1:3">
      <c r="A640">
        <v>984726</v>
      </c>
      <c r="B640">
        <v>4170419</v>
      </c>
      <c r="C640" s="32">
        <v>43070.641886574071</v>
      </c>
    </row>
    <row r="641" spans="1:3">
      <c r="A641">
        <v>85147</v>
      </c>
      <c r="B641">
        <v>149192</v>
      </c>
      <c r="C641" s="32">
        <v>43069.974259259259</v>
      </c>
    </row>
    <row r="642" spans="1:3">
      <c r="A642">
        <v>432357</v>
      </c>
      <c r="B642">
        <v>3607361</v>
      </c>
      <c r="C642" s="32">
        <v>43072.51457175926</v>
      </c>
    </row>
    <row r="643" spans="1:3">
      <c r="A643">
        <v>78617</v>
      </c>
      <c r="B643">
        <v>998114</v>
      </c>
      <c r="C643" s="32">
        <v>43072.284444444442</v>
      </c>
    </row>
    <row r="644" spans="1:3">
      <c r="A644">
        <v>827919</v>
      </c>
      <c r="B644">
        <v>381850</v>
      </c>
      <c r="C644" s="32">
        <v>43071.954768518517</v>
      </c>
    </row>
    <row r="645" spans="1:3">
      <c r="A645">
        <v>3515</v>
      </c>
      <c r="B645">
        <v>3294401</v>
      </c>
      <c r="C645" s="32">
        <v>43071.341527777775</v>
      </c>
    </row>
    <row r="646" spans="1:3">
      <c r="A646">
        <v>151062</v>
      </c>
      <c r="B646">
        <v>4690421</v>
      </c>
      <c r="C646" s="32">
        <v>43070.632210648146</v>
      </c>
    </row>
    <row r="647" spans="1:3">
      <c r="A647">
        <v>149948</v>
      </c>
      <c r="B647">
        <v>4756105</v>
      </c>
      <c r="C647" s="32">
        <v>43072.217094907406</v>
      </c>
    </row>
    <row r="648" spans="1:3">
      <c r="A648">
        <v>901591</v>
      </c>
      <c r="B648">
        <v>1338377</v>
      </c>
      <c r="C648" s="32">
        <v>43071.431909722225</v>
      </c>
    </row>
    <row r="649" spans="1:3">
      <c r="A649">
        <v>717212</v>
      </c>
      <c r="B649">
        <v>874415</v>
      </c>
      <c r="C649" s="32">
        <v>43070.620046296295</v>
      </c>
    </row>
    <row r="650" spans="1:3">
      <c r="A650">
        <v>776815</v>
      </c>
      <c r="B650">
        <v>2737340</v>
      </c>
      <c r="C650" s="32">
        <v>43071.594571759262</v>
      </c>
    </row>
    <row r="651" spans="1:3">
      <c r="A651">
        <v>93096</v>
      </c>
      <c r="B651">
        <v>4558987</v>
      </c>
      <c r="C651" s="32">
        <v>43070.431770833333</v>
      </c>
    </row>
    <row r="652" spans="1:3">
      <c r="A652">
        <v>242540</v>
      </c>
      <c r="B652">
        <v>2520377</v>
      </c>
      <c r="C652" s="32">
        <v>43071.389004629629</v>
      </c>
    </row>
    <row r="653" spans="1:3">
      <c r="A653">
        <v>754891</v>
      </c>
      <c r="B653">
        <v>1397912</v>
      </c>
      <c r="C653" s="32">
        <v>43072.632986111108</v>
      </c>
    </row>
    <row r="654" spans="1:3">
      <c r="A654">
        <v>85090</v>
      </c>
      <c r="B654">
        <v>3879225</v>
      </c>
      <c r="C654" s="32">
        <v>43072.077893518515</v>
      </c>
    </row>
    <row r="655" spans="1:3">
      <c r="A655">
        <v>975100</v>
      </c>
      <c r="B655">
        <v>4273662</v>
      </c>
      <c r="C655" s="32">
        <v>43071.342615740738</v>
      </c>
    </row>
    <row r="656" spans="1:3">
      <c r="A656">
        <v>13208</v>
      </c>
      <c r="B656">
        <v>4145813</v>
      </c>
      <c r="C656" s="32">
        <v>43071.181898148148</v>
      </c>
    </row>
    <row r="657" spans="1:3">
      <c r="A657">
        <v>729295</v>
      </c>
      <c r="B657">
        <v>338646</v>
      </c>
      <c r="C657" s="32">
        <v>43071.573113425926</v>
      </c>
    </row>
    <row r="658" spans="1:3">
      <c r="A658">
        <v>148847</v>
      </c>
      <c r="B658">
        <v>2218582</v>
      </c>
      <c r="C658" s="32">
        <v>43071.133703703701</v>
      </c>
    </row>
    <row r="659" spans="1:3">
      <c r="A659">
        <v>481950</v>
      </c>
      <c r="B659">
        <v>3607361</v>
      </c>
      <c r="C659" s="32">
        <v>43072.506793981483</v>
      </c>
    </row>
    <row r="660" spans="1:3">
      <c r="A660">
        <v>77585</v>
      </c>
      <c r="B660">
        <v>2735466</v>
      </c>
      <c r="C660" s="32">
        <v>43071.667175925926</v>
      </c>
    </row>
    <row r="661" spans="1:3">
      <c r="A661">
        <v>576247</v>
      </c>
      <c r="B661">
        <v>5024947</v>
      </c>
      <c r="C661" s="32">
        <v>43069.954837962963</v>
      </c>
    </row>
    <row r="662" spans="1:3">
      <c r="A662">
        <v>689842</v>
      </c>
      <c r="B662">
        <v>3883310</v>
      </c>
      <c r="C662" s="32">
        <v>43072.601273148146</v>
      </c>
    </row>
    <row r="663" spans="1:3">
      <c r="A663">
        <v>738289</v>
      </c>
      <c r="B663">
        <v>4217906</v>
      </c>
      <c r="C663" s="32">
        <v>43071.224108796298</v>
      </c>
    </row>
    <row r="664" spans="1:3">
      <c r="A664">
        <v>3255</v>
      </c>
      <c r="B664">
        <v>4145813</v>
      </c>
      <c r="C664" s="32">
        <v>43072.325925925928</v>
      </c>
    </row>
    <row r="665" spans="1:3">
      <c r="A665">
        <v>511321</v>
      </c>
      <c r="B665">
        <v>1879194</v>
      </c>
      <c r="C665" s="32">
        <v>43070.113969907405</v>
      </c>
    </row>
    <row r="666" spans="1:3">
      <c r="A666">
        <v>763145</v>
      </c>
      <c r="B666">
        <v>1612623</v>
      </c>
      <c r="C666" s="32">
        <v>43069.708090277774</v>
      </c>
    </row>
    <row r="667" spans="1:3">
      <c r="A667">
        <v>286507</v>
      </c>
      <c r="B667">
        <v>2421366</v>
      </c>
      <c r="C667" s="32">
        <v>43071.564606481479</v>
      </c>
    </row>
    <row r="668" spans="1:3">
      <c r="A668">
        <v>709860</v>
      </c>
      <c r="B668">
        <v>982926</v>
      </c>
      <c r="C668" s="32">
        <v>43070.226493055554</v>
      </c>
    </row>
    <row r="669" spans="1:3">
      <c r="A669">
        <v>639315</v>
      </c>
      <c r="B669">
        <v>238434</v>
      </c>
      <c r="C669" s="32">
        <v>43072.346365740741</v>
      </c>
    </row>
    <row r="670" spans="1:3">
      <c r="A670">
        <v>739501</v>
      </c>
      <c r="B670">
        <v>2520771</v>
      </c>
      <c r="C670" s="32">
        <v>43071.583692129629</v>
      </c>
    </row>
    <row r="671" spans="1:3">
      <c r="A671">
        <v>458741</v>
      </c>
      <c r="B671">
        <v>2355072</v>
      </c>
      <c r="C671" s="32">
        <v>43072.563217592593</v>
      </c>
    </row>
    <row r="672" spans="1:3">
      <c r="A672">
        <v>706068</v>
      </c>
      <c r="B672">
        <v>1653613</v>
      </c>
      <c r="C672" s="32">
        <v>43070.531238425923</v>
      </c>
    </row>
    <row r="673" spans="1:3">
      <c r="A673">
        <v>246312</v>
      </c>
      <c r="B673">
        <v>155172</v>
      </c>
      <c r="C673" s="32">
        <v>43072.637569444443</v>
      </c>
    </row>
    <row r="674" spans="1:3">
      <c r="A674">
        <v>815785</v>
      </c>
      <c r="B674">
        <v>2355072</v>
      </c>
      <c r="C674" s="32">
        <v>43071.589166666665</v>
      </c>
    </row>
    <row r="675" spans="1:3">
      <c r="A675">
        <v>697726</v>
      </c>
      <c r="B675">
        <v>4159072</v>
      </c>
      <c r="C675" s="32">
        <v>43070.169803240744</v>
      </c>
    </row>
    <row r="676" spans="1:3">
      <c r="A676">
        <v>361508</v>
      </c>
      <c r="B676">
        <v>1312642</v>
      </c>
      <c r="C676" s="32">
        <v>43071.693090277775</v>
      </c>
    </row>
    <row r="677" spans="1:3">
      <c r="A677">
        <v>185790</v>
      </c>
      <c r="B677">
        <v>3189162</v>
      </c>
      <c r="C677" s="32">
        <v>43070.41983796296</v>
      </c>
    </row>
    <row r="678" spans="1:3">
      <c r="A678">
        <v>777032</v>
      </c>
      <c r="B678">
        <v>428367</v>
      </c>
      <c r="C678" s="32">
        <v>43071.443460648145</v>
      </c>
    </row>
    <row r="679" spans="1:3">
      <c r="A679">
        <v>29622</v>
      </c>
      <c r="B679">
        <v>4789432</v>
      </c>
      <c r="C679" s="32">
        <v>43070.600787037038</v>
      </c>
    </row>
    <row r="680" spans="1:3">
      <c r="A680">
        <v>563634</v>
      </c>
      <c r="B680">
        <v>85955</v>
      </c>
      <c r="C680" s="32">
        <v>43072.607245370367</v>
      </c>
    </row>
    <row r="681" spans="1:3">
      <c r="A681">
        <v>256104</v>
      </c>
      <c r="B681">
        <v>4145813</v>
      </c>
      <c r="C681" s="32">
        <v>43072.339629629627</v>
      </c>
    </row>
    <row r="682" spans="1:3">
      <c r="A682">
        <v>674617</v>
      </c>
      <c r="B682">
        <v>4414464</v>
      </c>
      <c r="C682" s="32">
        <v>43069.692465277774</v>
      </c>
    </row>
    <row r="683" spans="1:3">
      <c r="A683">
        <v>125578</v>
      </c>
      <c r="B683">
        <v>2572604</v>
      </c>
      <c r="C683" s="32">
        <v>43072.465798611112</v>
      </c>
    </row>
    <row r="684" spans="1:3">
      <c r="A684">
        <v>201432</v>
      </c>
      <c r="B684">
        <v>4217906</v>
      </c>
      <c r="C684" s="32">
        <v>43071.387291666666</v>
      </c>
    </row>
    <row r="685" spans="1:3">
      <c r="A685">
        <v>117610</v>
      </c>
      <c r="B685">
        <v>1080785</v>
      </c>
      <c r="C685" s="32">
        <v>43071.550868055558</v>
      </c>
    </row>
    <row r="686" spans="1:3">
      <c r="A686">
        <v>986082</v>
      </c>
      <c r="B686">
        <v>903809</v>
      </c>
      <c r="C686" s="32">
        <v>43072.519074074073</v>
      </c>
    </row>
    <row r="687" spans="1:3">
      <c r="A687">
        <v>43673</v>
      </c>
      <c r="B687">
        <v>1567637</v>
      </c>
      <c r="C687" s="32">
        <v>43072.532453703701</v>
      </c>
    </row>
    <row r="688" spans="1:3">
      <c r="A688">
        <v>103356</v>
      </c>
      <c r="B688">
        <v>2578647</v>
      </c>
      <c r="C688" s="32">
        <v>43072.530740740738</v>
      </c>
    </row>
    <row r="689" spans="1:3">
      <c r="A689">
        <v>301511</v>
      </c>
      <c r="B689">
        <v>4801426</v>
      </c>
      <c r="C689" s="32">
        <v>43070.209965277776</v>
      </c>
    </row>
    <row r="690" spans="1:3">
      <c r="A690">
        <v>544279</v>
      </c>
      <c r="B690">
        <v>2507053</v>
      </c>
      <c r="C690" s="32">
        <v>43071.324953703705</v>
      </c>
    </row>
    <row r="691" spans="1:3">
      <c r="A691">
        <v>222135</v>
      </c>
      <c r="B691">
        <v>982926</v>
      </c>
      <c r="C691" s="32">
        <v>43071.64434027778</v>
      </c>
    </row>
    <row r="692" spans="1:3">
      <c r="A692">
        <v>392327</v>
      </c>
      <c r="B692">
        <v>4801426</v>
      </c>
      <c r="C692" s="32">
        <v>43070.119155092594</v>
      </c>
    </row>
    <row r="693" spans="1:3">
      <c r="A693">
        <v>724646</v>
      </c>
      <c r="B693">
        <v>4697972</v>
      </c>
      <c r="C693" s="32">
        <v>43070.654409722221</v>
      </c>
    </row>
    <row r="694" spans="1:3">
      <c r="A694">
        <v>437985</v>
      </c>
      <c r="B694">
        <v>4756105</v>
      </c>
      <c r="C694" s="32">
        <v>43071.653090277781</v>
      </c>
    </row>
    <row r="695" spans="1:3">
      <c r="A695">
        <v>163503</v>
      </c>
      <c r="B695">
        <v>4357323</v>
      </c>
      <c r="C695" s="32">
        <v>43071.309351851851</v>
      </c>
    </row>
    <row r="696" spans="1:3">
      <c r="A696">
        <v>538055</v>
      </c>
      <c r="B696">
        <v>4458428</v>
      </c>
      <c r="C696" s="32">
        <v>43070.405173611114</v>
      </c>
    </row>
    <row r="697" spans="1:3">
      <c r="A697">
        <v>487534</v>
      </c>
      <c r="B697">
        <v>4756105</v>
      </c>
      <c r="C697" s="32">
        <v>43072.645949074074</v>
      </c>
    </row>
    <row r="698" spans="1:3">
      <c r="A698">
        <v>287198</v>
      </c>
      <c r="B698">
        <v>2465336</v>
      </c>
      <c r="C698" s="32">
        <v>43070.554247685184</v>
      </c>
    </row>
    <row r="699" spans="1:3">
      <c r="A699">
        <v>261939</v>
      </c>
      <c r="B699">
        <v>2578647</v>
      </c>
      <c r="C699" s="32">
        <v>43072.560567129629</v>
      </c>
    </row>
    <row r="700" spans="1:3">
      <c r="A700">
        <v>801356</v>
      </c>
      <c r="B700">
        <v>4211850</v>
      </c>
      <c r="C700" s="32">
        <v>43071.393310185187</v>
      </c>
    </row>
    <row r="701" spans="1:3">
      <c r="A701">
        <v>745289</v>
      </c>
      <c r="B701">
        <v>4022701</v>
      </c>
      <c r="C701" s="32">
        <v>43070.451886574076</v>
      </c>
    </row>
    <row r="702" spans="1:3">
      <c r="A702">
        <v>1004017</v>
      </c>
      <c r="B702">
        <v>3681810</v>
      </c>
      <c r="C702" s="32">
        <v>43071.322488425925</v>
      </c>
    </row>
    <row r="703" spans="1:3">
      <c r="A703">
        <v>762597</v>
      </c>
      <c r="B703">
        <v>3607361</v>
      </c>
      <c r="C703" s="32">
        <v>43072.625219907408</v>
      </c>
    </row>
    <row r="704" spans="1:3">
      <c r="A704">
        <v>338913</v>
      </c>
      <c r="B704">
        <v>4801426</v>
      </c>
      <c r="C704" s="32">
        <v>43072.489722222221</v>
      </c>
    </row>
    <row r="705" spans="1:3">
      <c r="A705">
        <v>117012</v>
      </c>
      <c r="B705">
        <v>1573465</v>
      </c>
      <c r="C705" s="32">
        <v>43072.591319444444</v>
      </c>
    </row>
    <row r="706" spans="1:3">
      <c r="A706">
        <v>723767</v>
      </c>
      <c r="B706">
        <v>4756105</v>
      </c>
      <c r="C706" s="32">
        <v>43070.557523148149</v>
      </c>
    </row>
    <row r="707" spans="1:3">
      <c r="A707">
        <v>256058</v>
      </c>
      <c r="B707">
        <v>4244990</v>
      </c>
      <c r="C707" s="32">
        <v>43070.489016203705</v>
      </c>
    </row>
    <row r="708" spans="1:3">
      <c r="A708">
        <v>463148</v>
      </c>
      <c r="B708">
        <v>4789432</v>
      </c>
      <c r="C708" s="32">
        <v>43072.521041666667</v>
      </c>
    </row>
    <row r="709" spans="1:3">
      <c r="A709">
        <v>28512</v>
      </c>
      <c r="B709">
        <v>2572604</v>
      </c>
      <c r="C709" s="32">
        <v>43070.62871527778</v>
      </c>
    </row>
    <row r="710" spans="1:3">
      <c r="A710">
        <v>1010820</v>
      </c>
      <c r="B710">
        <v>2920476</v>
      </c>
      <c r="C710" s="32">
        <v>43070.979814814818</v>
      </c>
    </row>
    <row r="711" spans="1:3">
      <c r="A711">
        <v>871866</v>
      </c>
      <c r="B711">
        <v>4046054</v>
      </c>
      <c r="C711" s="32">
        <v>43071.756597222222</v>
      </c>
    </row>
    <row r="712" spans="1:3">
      <c r="A712">
        <v>502440</v>
      </c>
      <c r="B712">
        <v>2072473</v>
      </c>
      <c r="C712" s="32">
        <v>43070.651574074072</v>
      </c>
    </row>
    <row r="713" spans="1:3">
      <c r="A713">
        <v>391406</v>
      </c>
      <c r="B713">
        <v>3807763</v>
      </c>
      <c r="C713" s="32">
        <v>43072.509837962964</v>
      </c>
    </row>
    <row r="714" spans="1:3">
      <c r="A714">
        <v>691543</v>
      </c>
      <c r="B714">
        <v>4756105</v>
      </c>
      <c r="C714" s="32">
        <v>43072.145173611112</v>
      </c>
    </row>
    <row r="715" spans="1:3">
      <c r="A715">
        <v>63446</v>
      </c>
      <c r="B715">
        <v>2520377</v>
      </c>
      <c r="C715" s="32">
        <v>43072.190347222226</v>
      </c>
    </row>
    <row r="716" spans="1:3">
      <c r="A716">
        <v>1000197</v>
      </c>
      <c r="B716">
        <v>4882154</v>
      </c>
      <c r="C716" s="32">
        <v>43071.136446759258</v>
      </c>
    </row>
    <row r="717" spans="1:3">
      <c r="A717">
        <v>387629</v>
      </c>
      <c r="B717">
        <v>2735466</v>
      </c>
      <c r="C717" s="32">
        <v>43070.93540509259</v>
      </c>
    </row>
    <row r="718" spans="1:3">
      <c r="A718">
        <v>80141</v>
      </c>
      <c r="B718">
        <v>4015820</v>
      </c>
      <c r="C718" s="32">
        <v>43070.21770833333</v>
      </c>
    </row>
    <row r="719" spans="1:3">
      <c r="A719">
        <v>11332</v>
      </c>
      <c r="B719">
        <v>72526</v>
      </c>
      <c r="C719" s="32">
        <v>43070.955428240741</v>
      </c>
    </row>
    <row r="720" spans="1:3">
      <c r="A720">
        <v>460440</v>
      </c>
      <c r="B720">
        <v>1730594</v>
      </c>
      <c r="C720" s="32">
        <v>43070.098171296297</v>
      </c>
    </row>
    <row r="721" spans="1:3">
      <c r="A721">
        <v>645691</v>
      </c>
      <c r="B721">
        <v>4357323</v>
      </c>
      <c r="C721" s="32">
        <v>43071.304108796299</v>
      </c>
    </row>
    <row r="722" spans="1:3">
      <c r="A722">
        <v>711583</v>
      </c>
      <c r="B722">
        <v>2096639</v>
      </c>
      <c r="C722" s="32">
        <v>43072.612384259257</v>
      </c>
    </row>
    <row r="723" spans="1:3">
      <c r="A723">
        <v>172546</v>
      </c>
      <c r="B723">
        <v>4362740</v>
      </c>
      <c r="C723" s="32">
        <v>43071.358541666668</v>
      </c>
    </row>
    <row r="724" spans="1:3">
      <c r="A724">
        <v>254602</v>
      </c>
      <c r="B724">
        <v>4640311</v>
      </c>
      <c r="C724" s="32">
        <v>43072.584189814814</v>
      </c>
    </row>
    <row r="725" spans="1:3">
      <c r="A725">
        <v>40708</v>
      </c>
      <c r="B725">
        <v>4712571</v>
      </c>
      <c r="C725" s="32">
        <v>43071.559606481482</v>
      </c>
    </row>
    <row r="726" spans="1:3">
      <c r="A726">
        <v>146242</v>
      </c>
      <c r="B726">
        <v>2940518</v>
      </c>
      <c r="C726" s="32">
        <v>43070.715509259258</v>
      </c>
    </row>
    <row r="727" spans="1:3">
      <c r="A727">
        <v>421586</v>
      </c>
      <c r="B727">
        <v>4170419</v>
      </c>
      <c r="C727" s="32">
        <v>43070.483715277776</v>
      </c>
    </row>
    <row r="728" spans="1:3">
      <c r="A728">
        <v>776255</v>
      </c>
      <c r="B728">
        <v>982926</v>
      </c>
      <c r="C728" s="32">
        <v>43071.465671296297</v>
      </c>
    </row>
    <row r="729" spans="1:3">
      <c r="A729">
        <v>618351</v>
      </c>
      <c r="B729">
        <v>1920171</v>
      </c>
      <c r="C729" s="32">
        <v>43070.322592592594</v>
      </c>
    </row>
    <row r="730" spans="1:3">
      <c r="A730">
        <v>720725</v>
      </c>
      <c r="B730">
        <v>4756105</v>
      </c>
      <c r="C730" s="32">
        <v>43071.404027777775</v>
      </c>
    </row>
    <row r="731" spans="1:3">
      <c r="A731">
        <v>387663</v>
      </c>
      <c r="B731">
        <v>1009182</v>
      </c>
      <c r="C731" s="32">
        <v>43071.578541666669</v>
      </c>
    </row>
    <row r="732" spans="1:3">
      <c r="A732">
        <v>899666</v>
      </c>
      <c r="B732">
        <v>2342116</v>
      </c>
      <c r="C732" s="32">
        <v>43072.253344907411</v>
      </c>
    </row>
    <row r="733" spans="1:3">
      <c r="A733">
        <v>929078</v>
      </c>
      <c r="B733">
        <v>3500710</v>
      </c>
      <c r="C733" s="32">
        <v>43071.493483796294</v>
      </c>
    </row>
    <row r="734" spans="1:3">
      <c r="A734">
        <v>309999</v>
      </c>
      <c r="B734">
        <v>4145813</v>
      </c>
      <c r="C734" s="32">
        <v>43070.912905092591</v>
      </c>
    </row>
    <row r="735" spans="1:3">
      <c r="A735">
        <v>181649</v>
      </c>
      <c r="B735">
        <v>4801426</v>
      </c>
      <c r="C735" s="32">
        <v>43072.082824074074</v>
      </c>
    </row>
    <row r="736" spans="1:3">
      <c r="A736">
        <v>678881</v>
      </c>
      <c r="B736">
        <v>1184549</v>
      </c>
      <c r="C736" s="32">
        <v>43070.43855324074</v>
      </c>
    </row>
    <row r="737" spans="1:3">
      <c r="A737">
        <v>963443</v>
      </c>
      <c r="B737">
        <v>634390</v>
      </c>
      <c r="C737" s="32">
        <v>43071.410405092596</v>
      </c>
    </row>
    <row r="738" spans="1:3">
      <c r="A738">
        <v>1017577</v>
      </c>
      <c r="B738">
        <v>4882154</v>
      </c>
      <c r="C738" s="32">
        <v>43071.598460648151</v>
      </c>
    </row>
    <row r="739" spans="1:3">
      <c r="A739">
        <v>428840</v>
      </c>
      <c r="B739">
        <v>4145813</v>
      </c>
      <c r="C739" s="32">
        <v>43070.554189814815</v>
      </c>
    </row>
    <row r="740" spans="1:3">
      <c r="A740">
        <v>335233</v>
      </c>
      <c r="B740">
        <v>4756105</v>
      </c>
      <c r="C740" s="32">
        <v>43072.534490740742</v>
      </c>
    </row>
    <row r="741" spans="1:3">
      <c r="A741">
        <v>475694</v>
      </c>
      <c r="B741">
        <v>2297500</v>
      </c>
      <c r="C741" s="32">
        <v>43072.087708333333</v>
      </c>
    </row>
    <row r="742" spans="1:3">
      <c r="A742">
        <v>583621</v>
      </c>
      <c r="B742">
        <v>2520377</v>
      </c>
      <c r="C742" s="32">
        <v>43072.332812499997</v>
      </c>
    </row>
    <row r="743" spans="1:3">
      <c r="A743">
        <v>574807</v>
      </c>
      <c r="B743">
        <v>2419959</v>
      </c>
      <c r="C743" s="32">
        <v>43071.574861111112</v>
      </c>
    </row>
    <row r="744" spans="1:3">
      <c r="A744">
        <v>285933</v>
      </c>
      <c r="B744">
        <v>2640118</v>
      </c>
      <c r="C744" s="32">
        <v>43071.604942129627</v>
      </c>
    </row>
    <row r="745" spans="1:3">
      <c r="A745">
        <v>313600</v>
      </c>
      <c r="B745">
        <v>2495340</v>
      </c>
      <c r="C745" s="32">
        <v>43071.247719907406</v>
      </c>
    </row>
    <row r="746" spans="1:3">
      <c r="A746">
        <v>177489</v>
      </c>
      <c r="B746">
        <v>737184</v>
      </c>
      <c r="C746" s="32">
        <v>43071.359085648146</v>
      </c>
    </row>
    <row r="747" spans="1:3">
      <c r="A747">
        <v>224197</v>
      </c>
      <c r="B747">
        <v>4962280</v>
      </c>
      <c r="C747" s="32">
        <v>43070.59883101852</v>
      </c>
    </row>
    <row r="748" spans="1:3">
      <c r="A748">
        <v>186116</v>
      </c>
      <c r="B748">
        <v>4826471</v>
      </c>
      <c r="C748" s="32">
        <v>43070.441134259258</v>
      </c>
    </row>
    <row r="749" spans="1:3">
      <c r="A749">
        <v>324770</v>
      </c>
      <c r="B749">
        <v>903809</v>
      </c>
      <c r="C749" s="32">
        <v>43071.630937499998</v>
      </c>
    </row>
    <row r="750" spans="1:3">
      <c r="A750">
        <v>392202</v>
      </c>
      <c r="B750">
        <v>949648</v>
      </c>
      <c r="C750" s="32">
        <v>43071.581631944442</v>
      </c>
    </row>
    <row r="751" spans="1:3">
      <c r="A751">
        <v>740939</v>
      </c>
      <c r="B751">
        <v>405755</v>
      </c>
      <c r="C751" s="32">
        <v>43070.175011574072</v>
      </c>
    </row>
    <row r="752" spans="1:3">
      <c r="A752">
        <v>658951</v>
      </c>
      <c r="B752">
        <v>235534</v>
      </c>
      <c r="C752" s="32">
        <v>43070.349803240744</v>
      </c>
    </row>
    <row r="753" spans="1:3">
      <c r="A753">
        <v>94265</v>
      </c>
      <c r="B753">
        <v>866301</v>
      </c>
      <c r="C753" s="32">
        <v>43070.128298611111</v>
      </c>
    </row>
    <row r="754" spans="1:3">
      <c r="A754">
        <v>333789</v>
      </c>
      <c r="B754">
        <v>570735</v>
      </c>
      <c r="C754" s="32">
        <v>43071.505011574074</v>
      </c>
    </row>
    <row r="755" spans="1:3">
      <c r="A755">
        <v>410952</v>
      </c>
      <c r="B755">
        <v>3607361</v>
      </c>
      <c r="C755" s="32">
        <v>43071.582175925927</v>
      </c>
    </row>
    <row r="756" spans="1:3">
      <c r="A756">
        <v>427489</v>
      </c>
      <c r="B756">
        <v>4756105</v>
      </c>
      <c r="C756" s="32">
        <v>43071.083437499998</v>
      </c>
    </row>
    <row r="757" spans="1:3">
      <c r="A757">
        <v>130592</v>
      </c>
      <c r="B757">
        <v>1051370</v>
      </c>
      <c r="C757" s="32">
        <v>43072.529699074075</v>
      </c>
    </row>
    <row r="758" spans="1:3">
      <c r="A758">
        <v>893962</v>
      </c>
      <c r="B758">
        <v>2129666</v>
      </c>
      <c r="C758" s="32">
        <v>43070.988321759258</v>
      </c>
    </row>
    <row r="759" spans="1:3">
      <c r="A759">
        <v>547621</v>
      </c>
      <c r="B759">
        <v>366112</v>
      </c>
      <c r="C759" s="32">
        <v>43072.609988425924</v>
      </c>
    </row>
    <row r="760" spans="1:3">
      <c r="A760">
        <v>133088</v>
      </c>
      <c r="B760">
        <v>3566034</v>
      </c>
      <c r="C760" s="32">
        <v>43070.750706018516</v>
      </c>
    </row>
    <row r="761" spans="1:3">
      <c r="A761">
        <v>235830</v>
      </c>
      <c r="B761">
        <v>750949</v>
      </c>
      <c r="C761" s="32">
        <v>43071.947835648149</v>
      </c>
    </row>
    <row r="762" spans="1:3">
      <c r="A762">
        <v>323775</v>
      </c>
      <c r="B762">
        <v>4640311</v>
      </c>
      <c r="C762" s="32">
        <v>43072.343865740739</v>
      </c>
    </row>
    <row r="763" spans="1:3">
      <c r="A763">
        <v>414351</v>
      </c>
      <c r="B763">
        <v>4145813</v>
      </c>
      <c r="C763" s="32">
        <v>43071.083831018521</v>
      </c>
    </row>
    <row r="764" spans="1:3">
      <c r="A764">
        <v>34289</v>
      </c>
      <c r="B764">
        <v>4672807</v>
      </c>
      <c r="C764" s="32">
        <v>43071.291180555556</v>
      </c>
    </row>
    <row r="765" spans="1:3">
      <c r="A765">
        <v>844998</v>
      </c>
      <c r="B765">
        <v>154040</v>
      </c>
      <c r="C765" s="32">
        <v>43070.535543981481</v>
      </c>
    </row>
    <row r="766" spans="1:3">
      <c r="A766">
        <v>538993</v>
      </c>
      <c r="B766">
        <v>4731191</v>
      </c>
      <c r="C766" s="32">
        <v>43072.373865740738</v>
      </c>
    </row>
    <row r="767" spans="1:3">
      <c r="A767">
        <v>168783</v>
      </c>
      <c r="B767">
        <v>964912</v>
      </c>
      <c r="C767" s="32">
        <v>43071.559791666667</v>
      </c>
    </row>
    <row r="768" spans="1:3">
      <c r="A768">
        <v>820306</v>
      </c>
      <c r="B768">
        <v>1807416</v>
      </c>
      <c r="C768" s="32">
        <v>43071.051921296297</v>
      </c>
    </row>
    <row r="769" spans="1:3">
      <c r="A769">
        <v>819444</v>
      </c>
      <c r="B769">
        <v>4756105</v>
      </c>
      <c r="C769" s="32">
        <v>43070.518831018519</v>
      </c>
    </row>
    <row r="770" spans="1:3">
      <c r="A770">
        <v>536136</v>
      </c>
      <c r="B770">
        <v>4145813</v>
      </c>
      <c r="C770" s="32">
        <v>43072.346597222226</v>
      </c>
    </row>
    <row r="771" spans="1:3">
      <c r="A771">
        <v>892726</v>
      </c>
      <c r="B771">
        <v>154040</v>
      </c>
      <c r="C771" s="32">
        <v>43070.573344907411</v>
      </c>
    </row>
    <row r="772" spans="1:3">
      <c r="A772">
        <v>342504</v>
      </c>
      <c r="B772">
        <v>2202773</v>
      </c>
      <c r="C772" s="32">
        <v>43072.33798611111</v>
      </c>
    </row>
    <row r="773" spans="1:3">
      <c r="A773">
        <v>413807</v>
      </c>
      <c r="B773">
        <v>4643350</v>
      </c>
      <c r="C773" s="32">
        <v>43071.17696759259</v>
      </c>
    </row>
    <row r="774" spans="1:3">
      <c r="A774">
        <v>131721</v>
      </c>
      <c r="B774">
        <v>2465336</v>
      </c>
      <c r="C774" s="32">
        <v>43072.19636574074</v>
      </c>
    </row>
    <row r="775" spans="1:3">
      <c r="A775">
        <v>271671</v>
      </c>
      <c r="B775">
        <v>4159072</v>
      </c>
      <c r="C775" s="32">
        <v>43072.657349537039</v>
      </c>
    </row>
    <row r="776" spans="1:3">
      <c r="A776">
        <v>447536</v>
      </c>
      <c r="B776">
        <v>982926</v>
      </c>
      <c r="C776" s="32">
        <v>43070.572939814818</v>
      </c>
    </row>
    <row r="777" spans="1:3">
      <c r="A777">
        <v>631502</v>
      </c>
      <c r="B777">
        <v>2042400</v>
      </c>
      <c r="C777" s="32">
        <v>43072.620706018519</v>
      </c>
    </row>
    <row r="778" spans="1:3">
      <c r="A778">
        <v>283361</v>
      </c>
      <c r="B778">
        <v>4801426</v>
      </c>
      <c r="C778" s="32">
        <v>43071.283680555556</v>
      </c>
    </row>
    <row r="779" spans="1:3">
      <c r="A779">
        <v>336321</v>
      </c>
      <c r="B779">
        <v>3346906</v>
      </c>
      <c r="C779" s="32">
        <v>43071.535219907404</v>
      </c>
    </row>
    <row r="780" spans="1:3">
      <c r="A780">
        <v>100797</v>
      </c>
      <c r="B780">
        <v>2774299</v>
      </c>
      <c r="C780" s="32">
        <v>43071.479432870372</v>
      </c>
    </row>
    <row r="781" spans="1:3">
      <c r="A781">
        <v>501821</v>
      </c>
      <c r="B781">
        <v>4993094</v>
      </c>
      <c r="C781" s="32">
        <v>43070.988032407404</v>
      </c>
    </row>
    <row r="782" spans="1:3">
      <c r="A782">
        <v>536117</v>
      </c>
      <c r="B782">
        <v>4756105</v>
      </c>
      <c r="C782" s="32">
        <v>43072.608032407406</v>
      </c>
    </row>
    <row r="783" spans="1:3">
      <c r="A783">
        <v>632241</v>
      </c>
      <c r="B783">
        <v>149192</v>
      </c>
      <c r="C783" s="32">
        <v>43072.246840277781</v>
      </c>
    </row>
    <row r="784" spans="1:3">
      <c r="A784">
        <v>927536</v>
      </c>
      <c r="B784">
        <v>3747017</v>
      </c>
      <c r="C784" s="32">
        <v>43071.109398148146</v>
      </c>
    </row>
    <row r="785" spans="1:3">
      <c r="A785">
        <v>858750</v>
      </c>
      <c r="B785">
        <v>3126591</v>
      </c>
      <c r="C785" s="32">
        <v>43072.558113425926</v>
      </c>
    </row>
    <row r="786" spans="1:3">
      <c r="A786">
        <v>62461</v>
      </c>
      <c r="B786">
        <v>4222383</v>
      </c>
      <c r="C786" s="32">
        <v>43070.736030092594</v>
      </c>
    </row>
    <row r="787" spans="1:3">
      <c r="A787">
        <v>129931</v>
      </c>
      <c r="B787">
        <v>3607361</v>
      </c>
      <c r="C787" s="32">
        <v>43070.111111111109</v>
      </c>
    </row>
    <row r="788" spans="1:3">
      <c r="A788">
        <v>837038</v>
      </c>
      <c r="B788">
        <v>119741</v>
      </c>
      <c r="C788" s="32">
        <v>43072.122488425928</v>
      </c>
    </row>
    <row r="789" spans="1:3">
      <c r="A789">
        <v>683668</v>
      </c>
      <c r="B789">
        <v>2520771</v>
      </c>
      <c r="C789" s="32">
        <v>43072.584155092591</v>
      </c>
    </row>
    <row r="790" spans="1:3">
      <c r="A790">
        <v>119481</v>
      </c>
      <c r="B790">
        <v>3521896</v>
      </c>
      <c r="C790" s="32">
        <v>43071.401145833333</v>
      </c>
    </row>
    <row r="791" spans="1:3">
      <c r="A791">
        <v>782314</v>
      </c>
      <c r="B791">
        <v>3736316</v>
      </c>
      <c r="C791" s="32">
        <v>43070.414710648147</v>
      </c>
    </row>
    <row r="792" spans="1:3">
      <c r="A792">
        <v>806806</v>
      </c>
      <c r="B792">
        <v>2355072</v>
      </c>
      <c r="C792" s="32">
        <v>43072.242812500001</v>
      </c>
    </row>
    <row r="793" spans="1:3">
      <c r="A793">
        <v>934664</v>
      </c>
      <c r="B793">
        <v>4606718</v>
      </c>
      <c r="C793" s="32">
        <v>43070.601539351854</v>
      </c>
    </row>
    <row r="794" spans="1:3">
      <c r="A794">
        <v>144104</v>
      </c>
      <c r="B794">
        <v>2576484</v>
      </c>
      <c r="C794" s="32">
        <v>43072.243217592593</v>
      </c>
    </row>
    <row r="795" spans="1:3">
      <c r="A795">
        <v>620861</v>
      </c>
      <c r="B795">
        <v>3065645</v>
      </c>
      <c r="C795" s="32">
        <v>43072.178993055553</v>
      </c>
    </row>
    <row r="796" spans="1:3">
      <c r="A796">
        <v>685754</v>
      </c>
      <c r="B796">
        <v>383749</v>
      </c>
      <c r="C796" s="32">
        <v>43070.546446759261</v>
      </c>
    </row>
    <row r="797" spans="1:3">
      <c r="A797">
        <v>694</v>
      </c>
      <c r="B797">
        <v>149192</v>
      </c>
      <c r="C797" s="32">
        <v>43070.501180555555</v>
      </c>
    </row>
    <row r="798" spans="1:3">
      <c r="A798">
        <v>264630</v>
      </c>
      <c r="B798">
        <v>553365</v>
      </c>
      <c r="C798" s="32">
        <v>43070.532546296294</v>
      </c>
    </row>
    <row r="799" spans="1:3">
      <c r="A799">
        <v>582207</v>
      </c>
      <c r="B799">
        <v>2321836</v>
      </c>
      <c r="C799" s="32">
        <v>43071.175185185188</v>
      </c>
    </row>
    <row r="800" spans="1:3">
      <c r="A800">
        <v>412887</v>
      </c>
      <c r="B800">
        <v>1928278</v>
      </c>
      <c r="C800" s="32">
        <v>43072.627534722225</v>
      </c>
    </row>
    <row r="801" spans="1:3">
      <c r="A801">
        <v>220475</v>
      </c>
      <c r="B801">
        <v>4082778</v>
      </c>
      <c r="C801" s="32">
        <v>43072.144085648149</v>
      </c>
    </row>
    <row r="802" spans="1:3">
      <c r="A802">
        <v>680188</v>
      </c>
      <c r="B802">
        <v>411153</v>
      </c>
      <c r="C802" s="32">
        <v>43071.406840277778</v>
      </c>
    </row>
    <row r="803" spans="1:3">
      <c r="A803">
        <v>684109</v>
      </c>
      <c r="B803">
        <v>307943</v>
      </c>
      <c r="C803" s="32">
        <v>43070.351782407408</v>
      </c>
    </row>
    <row r="804" spans="1:3">
      <c r="A804">
        <v>70152</v>
      </c>
      <c r="B804">
        <v>3102419</v>
      </c>
      <c r="C804" s="32">
        <v>43071.093240740738</v>
      </c>
    </row>
    <row r="805" spans="1:3">
      <c r="A805">
        <v>502217</v>
      </c>
      <c r="B805">
        <v>883960</v>
      </c>
      <c r="C805" s="32">
        <v>43070.675937499997</v>
      </c>
    </row>
    <row r="806" spans="1:3">
      <c r="A806">
        <v>663340</v>
      </c>
      <c r="B806">
        <v>2832009</v>
      </c>
      <c r="C806" s="32">
        <v>43071.399710648147</v>
      </c>
    </row>
    <row r="807" spans="1:3">
      <c r="A807">
        <v>333835</v>
      </c>
      <c r="B807">
        <v>5071267</v>
      </c>
      <c r="C807" s="32">
        <v>43072.603796296295</v>
      </c>
    </row>
    <row r="808" spans="1:3">
      <c r="A808">
        <v>1003518</v>
      </c>
      <c r="B808">
        <v>4756105</v>
      </c>
      <c r="C808" s="32">
        <v>43070.287453703706</v>
      </c>
    </row>
    <row r="809" spans="1:3">
      <c r="A809">
        <v>564751</v>
      </c>
      <c r="B809">
        <v>4048584</v>
      </c>
      <c r="C809" s="32">
        <v>43070.663159722222</v>
      </c>
    </row>
    <row r="810" spans="1:3">
      <c r="A810">
        <v>683767</v>
      </c>
      <c r="B810">
        <v>2465336</v>
      </c>
      <c r="C810" s="32">
        <v>43072.653784722221</v>
      </c>
    </row>
    <row r="811" spans="1:3">
      <c r="A811">
        <v>941833</v>
      </c>
      <c r="B811">
        <v>3844144</v>
      </c>
      <c r="C811" s="32">
        <v>43072.547476851854</v>
      </c>
    </row>
    <row r="812" spans="1:3">
      <c r="A812">
        <v>46890</v>
      </c>
      <c r="B812">
        <v>149192</v>
      </c>
      <c r="C812" s="32">
        <v>43071.38008101852</v>
      </c>
    </row>
    <row r="813" spans="1:3">
      <c r="A813">
        <v>409605</v>
      </c>
      <c r="B813">
        <v>4145813</v>
      </c>
      <c r="C813" s="32">
        <v>43072.073900462965</v>
      </c>
    </row>
    <row r="814" spans="1:3">
      <c r="A814">
        <v>126642</v>
      </c>
      <c r="B814">
        <v>583014</v>
      </c>
      <c r="C814" s="32">
        <v>43071.679490740738</v>
      </c>
    </row>
    <row r="815" spans="1:3">
      <c r="A815">
        <v>851461</v>
      </c>
      <c r="B815">
        <v>4690421</v>
      </c>
      <c r="C815" s="32">
        <v>43070.595393518517</v>
      </c>
    </row>
    <row r="816" spans="1:3">
      <c r="A816">
        <v>621463</v>
      </c>
      <c r="B816">
        <v>2465336</v>
      </c>
      <c r="C816" s="32">
        <v>43070.625775462962</v>
      </c>
    </row>
    <row r="817" spans="1:3">
      <c r="A817">
        <v>790303</v>
      </c>
      <c r="B817">
        <v>2939262</v>
      </c>
      <c r="C817" s="32">
        <v>43070.304097222222</v>
      </c>
    </row>
    <row r="818" spans="1:3">
      <c r="A818">
        <v>268062</v>
      </c>
      <c r="B818">
        <v>235534</v>
      </c>
      <c r="C818" s="32">
        <v>43071.234537037039</v>
      </c>
    </row>
    <row r="819" spans="1:3">
      <c r="A819">
        <v>145097</v>
      </c>
      <c r="B819">
        <v>1299190</v>
      </c>
      <c r="C819" s="32">
        <v>43071.062557870369</v>
      </c>
    </row>
    <row r="820" spans="1:3">
      <c r="A820">
        <v>269914</v>
      </c>
      <c r="B820">
        <v>4159072</v>
      </c>
      <c r="C820" s="32">
        <v>43071.404583333337</v>
      </c>
    </row>
    <row r="821" spans="1:3">
      <c r="A821">
        <v>159017</v>
      </c>
      <c r="B821">
        <v>4145813</v>
      </c>
      <c r="C821" s="32">
        <v>43070.571284722224</v>
      </c>
    </row>
    <row r="822" spans="1:3">
      <c r="A822">
        <v>343044</v>
      </c>
      <c r="B822">
        <v>2945933</v>
      </c>
      <c r="C822" s="32">
        <v>43072.65048611111</v>
      </c>
    </row>
    <row r="823" spans="1:3">
      <c r="A823">
        <v>124232</v>
      </c>
      <c r="B823">
        <v>149192</v>
      </c>
      <c r="C823" s="32">
        <v>43072.641817129632</v>
      </c>
    </row>
    <row r="824" spans="1:3">
      <c r="A824">
        <v>165337</v>
      </c>
      <c r="B824">
        <v>2667323</v>
      </c>
      <c r="C824" s="32">
        <v>43071.38585648148</v>
      </c>
    </row>
    <row r="825" spans="1:3">
      <c r="A825">
        <v>9286</v>
      </c>
      <c r="B825">
        <v>339124</v>
      </c>
      <c r="C825" s="32">
        <v>43069.954502314817</v>
      </c>
    </row>
    <row r="826" spans="1:3">
      <c r="A826">
        <v>795838</v>
      </c>
      <c r="B826">
        <v>3720767</v>
      </c>
      <c r="C826" s="32">
        <v>43071.171388888892</v>
      </c>
    </row>
    <row r="827" spans="1:3">
      <c r="A827">
        <v>864548</v>
      </c>
      <c r="B827">
        <v>3013991</v>
      </c>
      <c r="C827" s="32">
        <v>43071.132071759261</v>
      </c>
    </row>
    <row r="828" spans="1:3">
      <c r="A828">
        <v>299783</v>
      </c>
      <c r="B828">
        <v>2465336</v>
      </c>
      <c r="C828" s="32">
        <v>43071.26</v>
      </c>
    </row>
    <row r="829" spans="1:3">
      <c r="A829">
        <v>993790</v>
      </c>
      <c r="B829">
        <v>4145813</v>
      </c>
      <c r="C829" s="32">
        <v>43071.536307870374</v>
      </c>
    </row>
    <row r="830" spans="1:3">
      <c r="A830">
        <v>951818</v>
      </c>
      <c r="B830">
        <v>2465336</v>
      </c>
      <c r="C830" s="32">
        <v>43071.040821759256</v>
      </c>
    </row>
    <row r="831" spans="1:3">
      <c r="A831">
        <v>1012808</v>
      </c>
      <c r="B831">
        <v>4145813</v>
      </c>
      <c r="C831" s="32">
        <v>43072.566805555558</v>
      </c>
    </row>
    <row r="832" spans="1:3">
      <c r="A832">
        <v>778024</v>
      </c>
      <c r="B832">
        <v>1464116</v>
      </c>
      <c r="C832" s="32">
        <v>43072.570625</v>
      </c>
    </row>
    <row r="833" spans="1:3">
      <c r="A833">
        <v>999916</v>
      </c>
      <c r="B833">
        <v>1029459</v>
      </c>
      <c r="C833" s="32">
        <v>43070.396041666667</v>
      </c>
    </row>
    <row r="834" spans="1:3">
      <c r="A834">
        <v>704620</v>
      </c>
      <c r="B834">
        <v>5053508</v>
      </c>
      <c r="C834" s="32">
        <v>43070.302743055552</v>
      </c>
    </row>
    <row r="835" spans="1:3">
      <c r="A835">
        <v>972364</v>
      </c>
      <c r="B835">
        <v>4565874</v>
      </c>
      <c r="C835" s="32">
        <v>43069.707037037035</v>
      </c>
    </row>
    <row r="836" spans="1:3">
      <c r="A836">
        <v>268117</v>
      </c>
      <c r="B836">
        <v>4145813</v>
      </c>
      <c r="C836" s="32">
        <v>43071.627962962964</v>
      </c>
    </row>
    <row r="837" spans="1:3">
      <c r="A837">
        <v>747473</v>
      </c>
      <c r="B837">
        <v>5063620</v>
      </c>
      <c r="C837" s="32">
        <v>43072.316990740743</v>
      </c>
    </row>
    <row r="838" spans="1:3">
      <c r="A838">
        <v>669335</v>
      </c>
      <c r="B838">
        <v>1575622</v>
      </c>
      <c r="C838" s="32">
        <v>43071.653935185182</v>
      </c>
    </row>
    <row r="839" spans="1:3">
      <c r="A839">
        <v>395057</v>
      </c>
      <c r="B839">
        <v>3607361</v>
      </c>
      <c r="C839" s="32">
        <v>43072.176655092589</v>
      </c>
    </row>
    <row r="840" spans="1:3">
      <c r="A840">
        <v>389768</v>
      </c>
      <c r="B840">
        <v>3002561</v>
      </c>
      <c r="C840" s="32">
        <v>43070.529409722221</v>
      </c>
    </row>
    <row r="841" spans="1:3">
      <c r="A841">
        <v>746821</v>
      </c>
      <c r="B841">
        <v>5053508</v>
      </c>
      <c r="C841" s="32">
        <v>43071.939814814818</v>
      </c>
    </row>
    <row r="842" spans="1:3">
      <c r="A842">
        <v>806600</v>
      </c>
      <c r="B842">
        <v>2939262</v>
      </c>
      <c r="C842" s="32">
        <v>43071.595000000001</v>
      </c>
    </row>
    <row r="843" spans="1:3">
      <c r="A843">
        <v>927270</v>
      </c>
      <c r="B843">
        <v>3312150</v>
      </c>
      <c r="C843" s="32">
        <v>43071.617175925923</v>
      </c>
    </row>
    <row r="844" spans="1:3">
      <c r="A844">
        <v>126231</v>
      </c>
      <c r="B844">
        <v>1198404</v>
      </c>
      <c r="C844" s="32">
        <v>43071.034988425927</v>
      </c>
    </row>
    <row r="845" spans="1:3">
      <c r="A845">
        <v>980781</v>
      </c>
      <c r="B845">
        <v>2465336</v>
      </c>
      <c r="C845" s="32">
        <v>43071.560729166667</v>
      </c>
    </row>
    <row r="846" spans="1:3">
      <c r="A846">
        <v>443573</v>
      </c>
      <c r="B846">
        <v>2520377</v>
      </c>
      <c r="C846" s="32">
        <v>43071.270879629628</v>
      </c>
    </row>
    <row r="847" spans="1:3">
      <c r="A847">
        <v>173464</v>
      </c>
      <c r="B847">
        <v>4284875</v>
      </c>
      <c r="C847" s="32">
        <v>43070.566701388889</v>
      </c>
    </row>
    <row r="848" spans="1:3">
      <c r="A848">
        <v>813707</v>
      </c>
      <c r="B848">
        <v>611849</v>
      </c>
      <c r="C848" s="32">
        <v>43070.509560185186</v>
      </c>
    </row>
    <row r="849" spans="1:3">
      <c r="A849">
        <v>642347</v>
      </c>
      <c r="B849">
        <v>2945933</v>
      </c>
      <c r="C849" s="32">
        <v>43071.663090277776</v>
      </c>
    </row>
    <row r="850" spans="1:3">
      <c r="A850">
        <v>988491</v>
      </c>
      <c r="B850">
        <v>4355436</v>
      </c>
      <c r="C850" s="32">
        <v>43071.036932870367</v>
      </c>
    </row>
    <row r="851" spans="1:3">
      <c r="A851">
        <v>483440</v>
      </c>
      <c r="B851">
        <v>154040</v>
      </c>
      <c r="C851" s="32">
        <v>43072.51939814815</v>
      </c>
    </row>
    <row r="852" spans="1:3">
      <c r="A852">
        <v>961566</v>
      </c>
      <c r="B852">
        <v>3002561</v>
      </c>
      <c r="C852" s="32">
        <v>43072.131192129629</v>
      </c>
    </row>
    <row r="853" spans="1:3">
      <c r="A853">
        <v>444788</v>
      </c>
      <c r="B853">
        <v>2158079</v>
      </c>
      <c r="C853" s="32">
        <v>43069.741886574076</v>
      </c>
    </row>
    <row r="854" spans="1:3">
      <c r="A854">
        <v>221977</v>
      </c>
      <c r="B854">
        <v>2096639</v>
      </c>
      <c r="C854" s="32">
        <v>43071.549097222225</v>
      </c>
    </row>
    <row r="855" spans="1:3">
      <c r="A855">
        <v>738429</v>
      </c>
      <c r="B855">
        <v>3231625</v>
      </c>
      <c r="C855" s="32">
        <v>43072.366041666668</v>
      </c>
    </row>
    <row r="856" spans="1:3">
      <c r="A856">
        <v>927635</v>
      </c>
      <c r="B856">
        <v>767106</v>
      </c>
      <c r="C856" s="32">
        <v>43072.386736111112</v>
      </c>
    </row>
    <row r="857" spans="1:3">
      <c r="A857">
        <v>411436</v>
      </c>
      <c r="B857">
        <v>3065645</v>
      </c>
      <c r="C857" s="32">
        <v>43072.563217592593</v>
      </c>
    </row>
    <row r="858" spans="1:3">
      <c r="A858">
        <v>175841</v>
      </c>
      <c r="B858">
        <v>3065645</v>
      </c>
      <c r="C858" s="32">
        <v>43072.236111111109</v>
      </c>
    </row>
    <row r="859" spans="1:3">
      <c r="A859">
        <v>1006682</v>
      </c>
      <c r="B859">
        <v>2723483</v>
      </c>
      <c r="C859" s="32">
        <v>43071.258530092593</v>
      </c>
    </row>
    <row r="860" spans="1:3">
      <c r="A860">
        <v>41306</v>
      </c>
      <c r="B860">
        <v>3607361</v>
      </c>
      <c r="C860" s="32">
        <v>43071.410601851851</v>
      </c>
    </row>
    <row r="861" spans="1:3">
      <c r="A861">
        <v>352583</v>
      </c>
      <c r="B861">
        <v>4801426</v>
      </c>
      <c r="C861" s="32">
        <v>43070.634571759256</v>
      </c>
    </row>
    <row r="862" spans="1:3">
      <c r="A862">
        <v>551582</v>
      </c>
      <c r="B862">
        <v>2520377</v>
      </c>
      <c r="C862" s="32">
        <v>43072.281145833331</v>
      </c>
    </row>
    <row r="863" spans="1:3">
      <c r="A863">
        <v>153872</v>
      </c>
      <c r="B863">
        <v>841696</v>
      </c>
      <c r="C863" s="32">
        <v>43070.695393518516</v>
      </c>
    </row>
    <row r="864" spans="1:3">
      <c r="A864">
        <v>844084</v>
      </c>
      <c r="B864">
        <v>4326577</v>
      </c>
      <c r="C864" s="32">
        <v>43071.378252314818</v>
      </c>
    </row>
    <row r="865" spans="1:3">
      <c r="A865">
        <v>729995</v>
      </c>
      <c r="B865">
        <v>2465336</v>
      </c>
      <c r="C865" s="32">
        <v>43071.673460648148</v>
      </c>
    </row>
    <row r="866" spans="1:3">
      <c r="A866">
        <v>358214</v>
      </c>
      <c r="B866">
        <v>4712571</v>
      </c>
      <c r="C866" s="32">
        <v>43071.956736111111</v>
      </c>
    </row>
    <row r="867" spans="1:3">
      <c r="A867">
        <v>741086</v>
      </c>
      <c r="B867">
        <v>1994940</v>
      </c>
      <c r="C867" s="32">
        <v>43070.192164351851</v>
      </c>
    </row>
    <row r="868" spans="1:3">
      <c r="A868">
        <v>878235</v>
      </c>
      <c r="B868">
        <v>4217906</v>
      </c>
      <c r="C868" s="32">
        <v>43071.125914351855</v>
      </c>
    </row>
    <row r="869" spans="1:3">
      <c r="A869">
        <v>608642</v>
      </c>
      <c r="B869">
        <v>2578647</v>
      </c>
      <c r="C869" s="32">
        <v>43072.488333333335</v>
      </c>
    </row>
    <row r="870" spans="1:3">
      <c r="A870">
        <v>216407</v>
      </c>
      <c r="B870">
        <v>3738615</v>
      </c>
      <c r="C870" s="32">
        <v>43072.444618055553</v>
      </c>
    </row>
    <row r="871" spans="1:3">
      <c r="A871">
        <v>417134</v>
      </c>
      <c r="B871">
        <v>3607361</v>
      </c>
      <c r="C871" s="32">
        <v>43070.666273148148</v>
      </c>
    </row>
    <row r="872" spans="1:3">
      <c r="A872">
        <v>399565</v>
      </c>
      <c r="B872">
        <v>2735466</v>
      </c>
      <c r="C872" s="32">
        <v>43071.225821759261</v>
      </c>
    </row>
    <row r="873" spans="1:3">
      <c r="A873">
        <v>376967</v>
      </c>
      <c r="B873">
        <v>1646753</v>
      </c>
      <c r="C873" s="32">
        <v>43071.643287037034</v>
      </c>
    </row>
    <row r="874" spans="1:3">
      <c r="A874">
        <v>330116</v>
      </c>
      <c r="B874">
        <v>3004853</v>
      </c>
      <c r="C874" s="32">
        <v>43070.635092592594</v>
      </c>
    </row>
    <row r="875" spans="1:3">
      <c r="A875">
        <v>526810</v>
      </c>
      <c r="B875">
        <v>4145813</v>
      </c>
      <c r="C875" s="32">
        <v>43072.43677083333</v>
      </c>
    </row>
    <row r="876" spans="1:3">
      <c r="A876">
        <v>962828</v>
      </c>
      <c r="B876">
        <v>570735</v>
      </c>
      <c r="C876" s="32">
        <v>43071.673645833333</v>
      </c>
    </row>
    <row r="877" spans="1:3">
      <c r="A877">
        <v>306521</v>
      </c>
      <c r="B877">
        <v>4756105</v>
      </c>
      <c r="C877" s="32">
        <v>43071.575590277775</v>
      </c>
    </row>
    <row r="878" spans="1:3">
      <c r="A878">
        <v>695880</v>
      </c>
      <c r="B878">
        <v>381850</v>
      </c>
      <c r="C878" s="32">
        <v>43072.573194444441</v>
      </c>
    </row>
    <row r="879" spans="1:3">
      <c r="A879">
        <v>1000877</v>
      </c>
      <c r="B879">
        <v>3123187</v>
      </c>
      <c r="C879" s="32">
        <v>43072.322962962964</v>
      </c>
    </row>
    <row r="880" spans="1:3">
      <c r="A880">
        <v>513057</v>
      </c>
      <c r="B880">
        <v>4145813</v>
      </c>
      <c r="C880" s="32">
        <v>43072.509699074071</v>
      </c>
    </row>
    <row r="881" spans="1:3">
      <c r="A881">
        <v>386690</v>
      </c>
      <c r="B881">
        <v>3738615</v>
      </c>
      <c r="C881" s="32">
        <v>43071.142106481479</v>
      </c>
    </row>
    <row r="882" spans="1:3">
      <c r="A882">
        <v>247781</v>
      </c>
      <c r="B882">
        <v>999755</v>
      </c>
      <c r="C882" s="32">
        <v>43070.356296296297</v>
      </c>
    </row>
    <row r="883" spans="1:3">
      <c r="A883">
        <v>322531</v>
      </c>
      <c r="B883">
        <v>4476428</v>
      </c>
      <c r="C883" s="32">
        <v>43072.49863425926</v>
      </c>
    </row>
    <row r="884" spans="1:3">
      <c r="A884">
        <v>600909</v>
      </c>
      <c r="B884">
        <v>4789432</v>
      </c>
      <c r="C884" s="32">
        <v>43071.364999999998</v>
      </c>
    </row>
    <row r="885" spans="1:3">
      <c r="A885">
        <v>1009842</v>
      </c>
      <c r="B885">
        <v>922588</v>
      </c>
      <c r="C885" s="32">
        <v>43072.41479166667</v>
      </c>
    </row>
    <row r="886" spans="1:3">
      <c r="A886">
        <v>540478</v>
      </c>
      <c r="B886">
        <v>2072473</v>
      </c>
      <c r="C886" s="32">
        <v>43069.668437499997</v>
      </c>
    </row>
    <row r="887" spans="1:3">
      <c r="A887">
        <v>267894</v>
      </c>
      <c r="B887">
        <v>149192</v>
      </c>
      <c r="C887" s="32">
        <v>43070.321192129632</v>
      </c>
    </row>
    <row r="888" spans="1:3">
      <c r="A888">
        <v>840019</v>
      </c>
      <c r="B888">
        <v>4801426</v>
      </c>
      <c r="C888" s="32">
        <v>43071.039004629631</v>
      </c>
    </row>
    <row r="889" spans="1:3">
      <c r="A889">
        <v>658099</v>
      </c>
      <c r="B889">
        <v>982926</v>
      </c>
      <c r="C889" s="32">
        <v>43072.289155092592</v>
      </c>
    </row>
    <row r="890" spans="1:3">
      <c r="A890">
        <v>1013968</v>
      </c>
      <c r="B890">
        <v>411153</v>
      </c>
      <c r="C890" s="32">
        <v>43071.050578703704</v>
      </c>
    </row>
    <row r="891" spans="1:3">
      <c r="A891">
        <v>92110</v>
      </c>
      <c r="B891">
        <v>3607361</v>
      </c>
      <c r="C891" s="32">
        <v>43070.652673611112</v>
      </c>
    </row>
    <row r="892" spans="1:3">
      <c r="A892">
        <v>432974</v>
      </c>
      <c r="B892">
        <v>3962843</v>
      </c>
      <c r="C892" s="32">
        <v>43071.261655092596</v>
      </c>
    </row>
    <row r="893" spans="1:3">
      <c r="A893">
        <v>984582</v>
      </c>
      <c r="B893">
        <v>874415</v>
      </c>
      <c r="C893" s="32">
        <v>43070.696712962963</v>
      </c>
    </row>
    <row r="894" spans="1:3">
      <c r="A894">
        <v>661462</v>
      </c>
      <c r="B894">
        <v>2096639</v>
      </c>
      <c r="C894" s="32">
        <v>43072.633402777778</v>
      </c>
    </row>
    <row r="895" spans="1:3">
      <c r="A895">
        <v>64596</v>
      </c>
      <c r="B895">
        <v>4298656</v>
      </c>
      <c r="C895" s="32">
        <v>43071.241539351853</v>
      </c>
    </row>
    <row r="896" spans="1:3">
      <c r="A896">
        <v>71226</v>
      </c>
      <c r="B896">
        <v>4756105</v>
      </c>
      <c r="C896" s="32">
        <v>43071.62226851852</v>
      </c>
    </row>
    <row r="897" spans="1:3">
      <c r="A897">
        <v>387968</v>
      </c>
      <c r="B897">
        <v>5071267</v>
      </c>
      <c r="C897" s="32">
        <v>43072.499178240738</v>
      </c>
    </row>
    <row r="898" spans="1:3">
      <c r="A898">
        <v>294898</v>
      </c>
      <c r="B898">
        <v>1080785</v>
      </c>
      <c r="C898" s="32">
        <v>43070.759293981479</v>
      </c>
    </row>
    <row r="899" spans="1:3">
      <c r="A899">
        <v>848053</v>
      </c>
      <c r="B899">
        <v>4217906</v>
      </c>
      <c r="C899" s="32">
        <v>43072.077511574076</v>
      </c>
    </row>
    <row r="900" spans="1:3">
      <c r="A900">
        <v>905816</v>
      </c>
      <c r="B900">
        <v>2640118</v>
      </c>
      <c r="C900" s="32">
        <v>43072.659421296295</v>
      </c>
    </row>
    <row r="901" spans="1:3">
      <c r="A901">
        <v>719827</v>
      </c>
      <c r="B901">
        <v>753984</v>
      </c>
      <c r="C901" s="32">
        <v>43070.454814814817</v>
      </c>
    </row>
    <row r="902" spans="1:3">
      <c r="A902">
        <v>556951</v>
      </c>
      <c r="B902">
        <v>1612623</v>
      </c>
      <c r="C902" s="32">
        <v>43070.657465277778</v>
      </c>
    </row>
    <row r="903" spans="1:3">
      <c r="A903">
        <v>260758</v>
      </c>
      <c r="B903">
        <v>2465336</v>
      </c>
      <c r="C903" s="32">
        <v>43071.714594907404</v>
      </c>
    </row>
    <row r="904" spans="1:3">
      <c r="A904">
        <v>55391</v>
      </c>
      <c r="B904">
        <v>1080785</v>
      </c>
      <c r="C904" s="32">
        <v>43072.579780092594</v>
      </c>
    </row>
    <row r="905" spans="1:3">
      <c r="A905">
        <v>384557</v>
      </c>
      <c r="B905">
        <v>4082778</v>
      </c>
      <c r="C905" s="32">
        <v>43072.56009259259</v>
      </c>
    </row>
    <row r="906" spans="1:3">
      <c r="A906">
        <v>178507</v>
      </c>
      <c r="B906">
        <v>4358294</v>
      </c>
      <c r="C906" s="32">
        <v>43072.570277777777</v>
      </c>
    </row>
    <row r="907" spans="1:3">
      <c r="A907">
        <v>183812</v>
      </c>
      <c r="B907">
        <v>1879194</v>
      </c>
      <c r="C907" s="32">
        <v>43070.774085648147</v>
      </c>
    </row>
    <row r="908" spans="1:3">
      <c r="A908">
        <v>456618</v>
      </c>
      <c r="B908">
        <v>3002561</v>
      </c>
      <c r="C908" s="32">
        <v>43069.802488425928</v>
      </c>
    </row>
    <row r="909" spans="1:3">
      <c r="A909">
        <v>179069</v>
      </c>
      <c r="B909">
        <v>3898483</v>
      </c>
      <c r="C909" s="32">
        <v>43069.708749999998</v>
      </c>
    </row>
    <row r="910" spans="1:3">
      <c r="A910">
        <v>173195</v>
      </c>
      <c r="B910">
        <v>2355072</v>
      </c>
      <c r="C910" s="32">
        <v>43071.655729166669</v>
      </c>
    </row>
    <row r="911" spans="1:3">
      <c r="A911">
        <v>530272</v>
      </c>
      <c r="B911">
        <v>55312</v>
      </c>
      <c r="C911" s="32">
        <v>43070.389756944445</v>
      </c>
    </row>
    <row r="912" spans="1:3">
      <c r="A912">
        <v>966328</v>
      </c>
      <c r="B912">
        <v>1154246</v>
      </c>
      <c r="C912" s="32">
        <v>43069.669421296298</v>
      </c>
    </row>
    <row r="913" spans="1:3">
      <c r="A913">
        <v>295935</v>
      </c>
      <c r="B913">
        <v>1834026</v>
      </c>
      <c r="C913" s="32">
        <v>43072.051249999997</v>
      </c>
    </row>
    <row r="914" spans="1:3">
      <c r="A914">
        <v>377320</v>
      </c>
      <c r="B914">
        <v>149192</v>
      </c>
      <c r="C914" s="32">
        <v>43069.797083333331</v>
      </c>
    </row>
    <row r="915" spans="1:3">
      <c r="A915">
        <v>707645</v>
      </c>
      <c r="B915">
        <v>2342116</v>
      </c>
      <c r="C915" s="32">
        <v>43072.245474537034</v>
      </c>
    </row>
    <row r="916" spans="1:3">
      <c r="A916">
        <v>627912</v>
      </c>
      <c r="B916">
        <v>4801426</v>
      </c>
      <c r="C916" s="32">
        <v>43072.425138888888</v>
      </c>
    </row>
    <row r="917" spans="1:3">
      <c r="A917">
        <v>670911</v>
      </c>
      <c r="B917">
        <v>4564007</v>
      </c>
      <c r="C917" s="32">
        <v>43071.591874999998</v>
      </c>
    </row>
    <row r="918" spans="1:3">
      <c r="A918">
        <v>843865</v>
      </c>
      <c r="B918">
        <v>4181361</v>
      </c>
      <c r="C918" s="32">
        <v>43071.556655092594</v>
      </c>
    </row>
    <row r="919" spans="1:3">
      <c r="A919">
        <v>35330</v>
      </c>
      <c r="B919">
        <v>1029459</v>
      </c>
      <c r="C919" s="32">
        <v>43071.289710648147</v>
      </c>
    </row>
    <row r="920" spans="1:3">
      <c r="A920">
        <v>9268</v>
      </c>
      <c r="B920">
        <v>344833</v>
      </c>
      <c r="C920" s="32">
        <v>43070.625011574077</v>
      </c>
    </row>
    <row r="921" spans="1:3">
      <c r="A921">
        <v>460440</v>
      </c>
      <c r="B921">
        <v>4640311</v>
      </c>
      <c r="C921" s="32">
        <v>43070.103009259263</v>
      </c>
    </row>
    <row r="922" spans="1:3">
      <c r="A922">
        <v>469010</v>
      </c>
      <c r="B922">
        <v>4145813</v>
      </c>
      <c r="C922" s="32">
        <v>43071.617939814816</v>
      </c>
    </row>
    <row r="923" spans="1:3">
      <c r="A923">
        <v>702030</v>
      </c>
      <c r="B923">
        <v>965809</v>
      </c>
      <c r="C923" s="32">
        <v>43070.629664351851</v>
      </c>
    </row>
    <row r="924" spans="1:3">
      <c r="A924">
        <v>780659</v>
      </c>
      <c r="B924">
        <v>4217906</v>
      </c>
      <c r="C924" s="32">
        <v>43070.589189814818</v>
      </c>
    </row>
    <row r="925" spans="1:3">
      <c r="A925">
        <v>695920</v>
      </c>
      <c r="B925">
        <v>2158079</v>
      </c>
      <c r="C925" s="32">
        <v>43072.577407407407</v>
      </c>
    </row>
    <row r="926" spans="1:3">
      <c r="A926">
        <v>675565</v>
      </c>
      <c r="B926">
        <v>570735</v>
      </c>
      <c r="C926" s="32">
        <v>43071.649675925924</v>
      </c>
    </row>
    <row r="927" spans="1:3">
      <c r="A927">
        <v>813137</v>
      </c>
      <c r="B927">
        <v>1051370</v>
      </c>
      <c r="C927" s="32">
        <v>43070.99082175926</v>
      </c>
    </row>
    <row r="928" spans="1:3">
      <c r="A928">
        <v>763305</v>
      </c>
      <c r="B928">
        <v>570735</v>
      </c>
      <c r="C928" s="32">
        <v>43070.947708333333</v>
      </c>
    </row>
    <row r="929" spans="1:3">
      <c r="A929">
        <v>696964</v>
      </c>
      <c r="B929">
        <v>2355072</v>
      </c>
      <c r="C929" s="32">
        <v>43072.384340277778</v>
      </c>
    </row>
    <row r="930" spans="1:3">
      <c r="A930">
        <v>544968</v>
      </c>
      <c r="B930">
        <v>1081037</v>
      </c>
      <c r="C930" s="32">
        <v>43071.417638888888</v>
      </c>
    </row>
    <row r="931" spans="1:3">
      <c r="A931">
        <v>968871</v>
      </c>
      <c r="B931">
        <v>411153</v>
      </c>
      <c r="C931" s="32">
        <v>43071.993194444447</v>
      </c>
    </row>
    <row r="932" spans="1:3">
      <c r="A932">
        <v>195912</v>
      </c>
      <c r="B932">
        <v>2735466</v>
      </c>
      <c r="C932" s="32">
        <v>43071.642384259256</v>
      </c>
    </row>
    <row r="933" spans="1:3">
      <c r="A933">
        <v>808806</v>
      </c>
      <c r="B933">
        <v>4904396</v>
      </c>
      <c r="C933" s="32">
        <v>43072.158530092594</v>
      </c>
    </row>
    <row r="934" spans="1:3">
      <c r="A934">
        <v>152700</v>
      </c>
      <c r="B934">
        <v>2070081</v>
      </c>
      <c r="C934" s="32">
        <v>43071.577835648146</v>
      </c>
    </row>
    <row r="935" spans="1:3">
      <c r="A935">
        <v>331031</v>
      </c>
      <c r="B935">
        <v>4145813</v>
      </c>
      <c r="C935" s="32">
        <v>43072.190208333333</v>
      </c>
    </row>
    <row r="936" spans="1:3">
      <c r="A936">
        <v>888595</v>
      </c>
      <c r="B936">
        <v>4756105</v>
      </c>
      <c r="C936" s="32">
        <v>43069.999247685184</v>
      </c>
    </row>
    <row r="937" spans="1:3">
      <c r="A937">
        <v>515677</v>
      </c>
      <c r="B937">
        <v>1320293</v>
      </c>
      <c r="C937" s="32">
        <v>43069.949629629627</v>
      </c>
    </row>
    <row r="938" spans="1:3">
      <c r="A938">
        <v>93593</v>
      </c>
      <c r="B938">
        <v>982926</v>
      </c>
      <c r="C938" s="32">
        <v>43072.582129629627</v>
      </c>
    </row>
    <row r="939" spans="1:3">
      <c r="A939">
        <v>495299</v>
      </c>
      <c r="B939">
        <v>996449</v>
      </c>
      <c r="C939" s="32">
        <v>43071.805150462962</v>
      </c>
    </row>
    <row r="940" spans="1:3">
      <c r="A940">
        <v>292828</v>
      </c>
      <c r="B940">
        <v>238434</v>
      </c>
      <c r="C940" s="32">
        <v>43069.767152777778</v>
      </c>
    </row>
    <row r="941" spans="1:3">
      <c r="A941">
        <v>390522</v>
      </c>
      <c r="B941">
        <v>1058331</v>
      </c>
      <c r="C941" s="32">
        <v>43070.341469907406</v>
      </c>
    </row>
    <row r="942" spans="1:3">
      <c r="A942">
        <v>650516</v>
      </c>
      <c r="B942">
        <v>3607361</v>
      </c>
      <c r="C942" s="32">
        <v>43072.504745370374</v>
      </c>
    </row>
    <row r="943" spans="1:3">
      <c r="A943">
        <v>457999</v>
      </c>
      <c r="B943">
        <v>4869428</v>
      </c>
      <c r="C943" s="32">
        <v>43070.426863425928</v>
      </c>
    </row>
    <row r="944" spans="1:3">
      <c r="A944">
        <v>132825</v>
      </c>
      <c r="B944">
        <v>2945933</v>
      </c>
      <c r="C944" s="32">
        <v>43071.518738425926</v>
      </c>
    </row>
    <row r="945" spans="1:3">
      <c r="A945">
        <v>452029</v>
      </c>
      <c r="B945">
        <v>1299190</v>
      </c>
      <c r="C945" s="32">
        <v>43069.77747685185</v>
      </c>
    </row>
    <row r="946" spans="1:3">
      <c r="A946">
        <v>785990</v>
      </c>
      <c r="B946">
        <v>2520771</v>
      </c>
      <c r="C946" s="32">
        <v>43069.763159722221</v>
      </c>
    </row>
    <row r="947" spans="1:3">
      <c r="A947">
        <v>560912</v>
      </c>
      <c r="B947">
        <v>4145813</v>
      </c>
      <c r="C947" s="32">
        <v>43072.570787037039</v>
      </c>
    </row>
    <row r="948" spans="1:3">
      <c r="A948">
        <v>820517</v>
      </c>
      <c r="B948">
        <v>1464116</v>
      </c>
      <c r="C948" s="32">
        <v>43072.592118055552</v>
      </c>
    </row>
    <row r="949" spans="1:3">
      <c r="A949">
        <v>659141</v>
      </c>
      <c r="B949">
        <v>982926</v>
      </c>
      <c r="C949" s="32">
        <v>43071.590856481482</v>
      </c>
    </row>
    <row r="950" spans="1:3">
      <c r="A950">
        <v>477239</v>
      </c>
      <c r="B950">
        <v>883960</v>
      </c>
      <c r="C950" s="32">
        <v>43071.165312500001</v>
      </c>
    </row>
    <row r="951" spans="1:3">
      <c r="A951">
        <v>654695</v>
      </c>
      <c r="B951">
        <v>2304296</v>
      </c>
      <c r="C951" s="32">
        <v>43070.616701388892</v>
      </c>
    </row>
    <row r="952" spans="1:3">
      <c r="A952">
        <v>738376</v>
      </c>
      <c r="B952">
        <v>149192</v>
      </c>
      <c r="C952" s="32">
        <v>43071.748425925929</v>
      </c>
    </row>
    <row r="953" spans="1:3">
      <c r="A953">
        <v>494564</v>
      </c>
      <c r="B953">
        <v>4135836</v>
      </c>
      <c r="C953" s="32">
        <v>43070.731435185182</v>
      </c>
    </row>
    <row r="954" spans="1:3">
      <c r="A954">
        <v>694074</v>
      </c>
      <c r="B954">
        <v>1216617</v>
      </c>
      <c r="C954" s="32">
        <v>43071.566180555557</v>
      </c>
    </row>
    <row r="955" spans="1:3">
      <c r="A955">
        <v>664882</v>
      </c>
      <c r="B955">
        <v>4756105</v>
      </c>
      <c r="C955" s="32">
        <v>43069.727418981478</v>
      </c>
    </row>
    <row r="956" spans="1:3">
      <c r="A956">
        <v>270689</v>
      </c>
      <c r="B956">
        <v>2939262</v>
      </c>
      <c r="C956" s="32">
        <v>43072.129120370373</v>
      </c>
    </row>
    <row r="957" spans="1:3">
      <c r="A957">
        <v>564169</v>
      </c>
      <c r="B957">
        <v>4244487</v>
      </c>
      <c r="C957" s="32">
        <v>43071.549317129633</v>
      </c>
    </row>
    <row r="958" spans="1:3">
      <c r="A958">
        <v>600992</v>
      </c>
      <c r="B958">
        <v>4317228</v>
      </c>
      <c r="C958" s="32">
        <v>43072.508981481478</v>
      </c>
    </row>
    <row r="959" spans="1:3">
      <c r="A959">
        <v>829870</v>
      </c>
      <c r="B959">
        <v>4284875</v>
      </c>
      <c r="C959" s="32">
        <v>43071.588067129633</v>
      </c>
    </row>
    <row r="960" spans="1:3">
      <c r="A960">
        <v>183546</v>
      </c>
      <c r="B960">
        <v>1595193</v>
      </c>
      <c r="C960" s="32">
        <v>43071.391944444447</v>
      </c>
    </row>
    <row r="961" spans="1:3">
      <c r="A961">
        <v>387085</v>
      </c>
      <c r="B961">
        <v>2640118</v>
      </c>
      <c r="C961" s="32">
        <v>43070.780821759261</v>
      </c>
    </row>
    <row r="962" spans="1:3">
      <c r="A962">
        <v>535628</v>
      </c>
      <c r="B962">
        <v>965809</v>
      </c>
      <c r="C962" s="32">
        <v>43072.552060185182</v>
      </c>
    </row>
    <row r="963" spans="1:3">
      <c r="A963">
        <v>545214</v>
      </c>
      <c r="B963">
        <v>3004853</v>
      </c>
      <c r="C963" s="32">
        <v>43072.437256944446</v>
      </c>
    </row>
    <row r="964" spans="1:3">
      <c r="A964">
        <v>424934</v>
      </c>
      <c r="B964">
        <v>2520771</v>
      </c>
      <c r="C964" s="32">
        <v>43070.601990740739</v>
      </c>
    </row>
    <row r="965" spans="1:3">
      <c r="A965">
        <v>867703</v>
      </c>
      <c r="B965">
        <v>4145813</v>
      </c>
      <c r="C965" s="32">
        <v>43072.267789351848</v>
      </c>
    </row>
    <row r="966" spans="1:3">
      <c r="A966">
        <v>1014764</v>
      </c>
      <c r="B966">
        <v>245312</v>
      </c>
      <c r="C966" s="32">
        <v>43072.178923611114</v>
      </c>
    </row>
    <row r="967" spans="1:3">
      <c r="A967">
        <v>304561</v>
      </c>
      <c r="B967">
        <v>1474371</v>
      </c>
      <c r="C967" s="32">
        <v>43070.115995370368</v>
      </c>
    </row>
    <row r="968" spans="1:3">
      <c r="A968">
        <v>852207</v>
      </c>
      <c r="B968">
        <v>3351726</v>
      </c>
      <c r="C968" s="32">
        <v>43070.207743055558</v>
      </c>
    </row>
    <row r="969" spans="1:3">
      <c r="A969">
        <v>574967</v>
      </c>
      <c r="B969">
        <v>4756105</v>
      </c>
      <c r="C969" s="32">
        <v>43072.456226851849</v>
      </c>
    </row>
    <row r="970" spans="1:3">
      <c r="A970">
        <v>603384</v>
      </c>
      <c r="B970">
        <v>5048062</v>
      </c>
      <c r="C970" s="32">
        <v>43072.323078703703</v>
      </c>
    </row>
    <row r="971" spans="1:3">
      <c r="A971">
        <v>914170</v>
      </c>
      <c r="B971">
        <v>1265358</v>
      </c>
      <c r="C971" s="32">
        <v>43069.75576388889</v>
      </c>
    </row>
    <row r="972" spans="1:3">
      <c r="A972">
        <v>567695</v>
      </c>
      <c r="B972">
        <v>672001</v>
      </c>
      <c r="C972" s="32">
        <v>43071.425347222219</v>
      </c>
    </row>
    <row r="973" spans="1:3">
      <c r="A973">
        <v>841637</v>
      </c>
      <c r="B973">
        <v>690811</v>
      </c>
      <c r="C973" s="32">
        <v>43072.631539351853</v>
      </c>
    </row>
    <row r="974" spans="1:3">
      <c r="A974">
        <v>844238</v>
      </c>
      <c r="B974">
        <v>3087458</v>
      </c>
      <c r="C974" s="32">
        <v>43071.839016203703</v>
      </c>
    </row>
    <row r="975" spans="1:3">
      <c r="A975">
        <v>135859</v>
      </c>
      <c r="B975">
        <v>982926</v>
      </c>
      <c r="C975" s="32">
        <v>43070.822118055556</v>
      </c>
    </row>
    <row r="976" spans="1:3">
      <c r="A976">
        <v>448592</v>
      </c>
      <c r="B976">
        <v>4558987</v>
      </c>
      <c r="C976" s="32">
        <v>43071.991782407407</v>
      </c>
    </row>
    <row r="977" spans="1:3">
      <c r="A977">
        <v>71483</v>
      </c>
      <c r="B977">
        <v>3738615</v>
      </c>
      <c r="C977" s="32">
        <v>43070.426527777781</v>
      </c>
    </row>
    <row r="978" spans="1:3">
      <c r="A978">
        <v>445347</v>
      </c>
      <c r="B978">
        <v>1859277</v>
      </c>
      <c r="C978" s="32">
        <v>43071.225937499999</v>
      </c>
    </row>
    <row r="979" spans="1:3">
      <c r="A979">
        <v>252307</v>
      </c>
      <c r="B979">
        <v>2520377</v>
      </c>
      <c r="C979" s="32">
        <v>43070.416608796295</v>
      </c>
    </row>
    <row r="980" spans="1:3">
      <c r="A980">
        <v>997159</v>
      </c>
      <c r="B980">
        <v>4756105</v>
      </c>
      <c r="C980" s="32">
        <v>43072.522164351853</v>
      </c>
    </row>
    <row r="981" spans="1:3">
      <c r="A981">
        <v>29102</v>
      </c>
      <c r="B981">
        <v>4476428</v>
      </c>
      <c r="C981" s="32">
        <v>43072.644224537034</v>
      </c>
    </row>
    <row r="982" spans="1:3">
      <c r="A982">
        <v>139050</v>
      </c>
      <c r="B982">
        <v>1249761</v>
      </c>
      <c r="C982" s="32">
        <v>43070.155219907407</v>
      </c>
    </row>
    <row r="983" spans="1:3">
      <c r="A983">
        <v>468632</v>
      </c>
      <c r="B983">
        <v>753984</v>
      </c>
      <c r="C983" s="32">
        <v>43070.534421296295</v>
      </c>
    </row>
    <row r="984" spans="1:3">
      <c r="A984">
        <v>84502</v>
      </c>
      <c r="B984">
        <v>4217906</v>
      </c>
      <c r="C984" s="32">
        <v>43072.371527777781</v>
      </c>
    </row>
    <row r="985" spans="1:3">
      <c r="A985">
        <v>271443</v>
      </c>
      <c r="B985">
        <v>883960</v>
      </c>
      <c r="C985" s="32">
        <v>43072.120150462964</v>
      </c>
    </row>
    <row r="986" spans="1:3">
      <c r="A986">
        <v>567820</v>
      </c>
      <c r="B986">
        <v>4976066</v>
      </c>
      <c r="C986" s="32">
        <v>43070.501469907409</v>
      </c>
    </row>
    <row r="987" spans="1:3">
      <c r="A987">
        <v>36274</v>
      </c>
      <c r="B987">
        <v>4244487</v>
      </c>
      <c r="C987" s="32">
        <v>43071.724432870367</v>
      </c>
    </row>
    <row r="988" spans="1:3">
      <c r="A988">
        <v>292063</v>
      </c>
      <c r="B988">
        <v>2925160</v>
      </c>
      <c r="C988" s="32">
        <v>43070.587557870371</v>
      </c>
    </row>
    <row r="989" spans="1:3">
      <c r="A989">
        <v>998824</v>
      </c>
      <c r="B989">
        <v>2355072</v>
      </c>
      <c r="C989" s="32">
        <v>43070.612893518519</v>
      </c>
    </row>
    <row r="990" spans="1:3">
      <c r="A990">
        <v>598884</v>
      </c>
      <c r="B990">
        <v>4756105</v>
      </c>
      <c r="C990" s="32">
        <v>43072.152858796297</v>
      </c>
    </row>
    <row r="991" spans="1:3">
      <c r="A991">
        <v>216560</v>
      </c>
      <c r="B991">
        <v>2221749</v>
      </c>
      <c r="C991" s="32">
        <v>43071.264224537037</v>
      </c>
    </row>
    <row r="992" spans="1:3">
      <c r="A992">
        <v>234396</v>
      </c>
      <c r="B992">
        <v>4163659</v>
      </c>
      <c r="C992" s="32">
        <v>43070.431967592594</v>
      </c>
    </row>
    <row r="993" spans="1:3">
      <c r="A993">
        <v>351029</v>
      </c>
      <c r="B993">
        <v>149192</v>
      </c>
      <c r="C993" s="32">
        <v>43071.458541666667</v>
      </c>
    </row>
    <row r="994" spans="1:3">
      <c r="A994">
        <v>392673</v>
      </c>
      <c r="B994">
        <v>2520377</v>
      </c>
      <c r="C994" s="32">
        <v>43070.457002314812</v>
      </c>
    </row>
    <row r="995" spans="1:3">
      <c r="A995">
        <v>287735</v>
      </c>
      <c r="B995">
        <v>2885642</v>
      </c>
      <c r="C995" s="32">
        <v>43072.525370370371</v>
      </c>
    </row>
    <row r="996" spans="1:3">
      <c r="A996">
        <v>544056</v>
      </c>
      <c r="B996">
        <v>4956511</v>
      </c>
      <c r="C996" s="32">
        <v>43072.526446759257</v>
      </c>
    </row>
    <row r="997" spans="1:3">
      <c r="A997">
        <v>837704</v>
      </c>
      <c r="B997">
        <v>4756105</v>
      </c>
      <c r="C997" s="32">
        <v>43070.335324074076</v>
      </c>
    </row>
    <row r="998" spans="1:3">
      <c r="A998">
        <v>107703</v>
      </c>
      <c r="B998">
        <v>4731191</v>
      </c>
      <c r="C998" s="32">
        <v>43071.51734953704</v>
      </c>
    </row>
    <row r="999" spans="1:3">
      <c r="A999">
        <v>828421</v>
      </c>
      <c r="B999">
        <v>2465336</v>
      </c>
      <c r="C999" s="32">
        <v>43070.608784722222</v>
      </c>
    </row>
    <row r="1000" spans="1:3">
      <c r="A1000">
        <v>630025</v>
      </c>
      <c r="B1000">
        <v>2042400</v>
      </c>
      <c r="C1000" s="32">
        <v>43071.427511574075</v>
      </c>
    </row>
    <row r="1001" spans="1:3">
      <c r="A1001">
        <v>744557</v>
      </c>
      <c r="B1001">
        <v>3204345</v>
      </c>
      <c r="C1001" s="32">
        <v>43071.585231481484</v>
      </c>
    </row>
    <row r="1002" spans="1:3">
      <c r="A1002">
        <v>1008956</v>
      </c>
      <c r="B1002">
        <v>4050612</v>
      </c>
      <c r="C1002" s="32">
        <v>43070.39638888889</v>
      </c>
    </row>
    <row r="1003" spans="1:3">
      <c r="A1003">
        <v>935725</v>
      </c>
      <c r="B1003">
        <v>2735466</v>
      </c>
      <c r="C1003" s="32">
        <v>43072.318032407406</v>
      </c>
    </row>
    <row r="1004" spans="1:3">
      <c r="A1004">
        <v>182086</v>
      </c>
      <c r="B1004">
        <v>982926</v>
      </c>
      <c r="C1004" s="32">
        <v>43072.159201388888</v>
      </c>
    </row>
    <row r="1005" spans="1:3">
      <c r="A1005">
        <v>678695</v>
      </c>
      <c r="B1005">
        <v>4672807</v>
      </c>
      <c r="C1005" s="32">
        <v>43072.575856481482</v>
      </c>
    </row>
    <row r="1006" spans="1:3">
      <c r="A1006">
        <v>857832</v>
      </c>
      <c r="B1006">
        <v>2578647</v>
      </c>
      <c r="C1006" s="32">
        <v>43071.529664351852</v>
      </c>
    </row>
    <row r="1007" spans="1:3">
      <c r="A1007">
        <v>665077</v>
      </c>
      <c r="B1007">
        <v>1867533</v>
      </c>
      <c r="C1007" s="32">
        <v>43070.393993055557</v>
      </c>
    </row>
    <row r="1008" spans="1:3">
      <c r="A1008">
        <v>942995</v>
      </c>
      <c r="B1008">
        <v>2735466</v>
      </c>
      <c r="C1008" s="32">
        <v>43071.391724537039</v>
      </c>
    </row>
    <row r="1009" spans="1:3">
      <c r="A1009">
        <v>384819</v>
      </c>
      <c r="B1009">
        <v>866301</v>
      </c>
      <c r="C1009" s="32">
        <v>43070.534756944442</v>
      </c>
    </row>
    <row r="1010" spans="1:3">
      <c r="A1010">
        <v>588008</v>
      </c>
      <c r="B1010">
        <v>2642752</v>
      </c>
      <c r="C1010" s="32">
        <v>43072.309675925928</v>
      </c>
    </row>
    <row r="1011" spans="1:3">
      <c r="A1011">
        <v>898229</v>
      </c>
      <c r="B1011">
        <v>2137141</v>
      </c>
      <c r="C1011" s="32">
        <v>43069.699884259258</v>
      </c>
    </row>
    <row r="1012" spans="1:3">
      <c r="A1012">
        <v>73763</v>
      </c>
      <c r="B1012">
        <v>1834026</v>
      </c>
      <c r="C1012" s="32">
        <v>43072.574733796297</v>
      </c>
    </row>
    <row r="1013" spans="1:3">
      <c r="A1013">
        <v>619015</v>
      </c>
      <c r="B1013">
        <v>982926</v>
      </c>
      <c r="C1013" s="32">
        <v>43071.11277777778</v>
      </c>
    </row>
    <row r="1014" spans="1:3">
      <c r="A1014">
        <v>746074</v>
      </c>
      <c r="B1014">
        <v>1320293</v>
      </c>
      <c r="C1014" s="32">
        <v>43070.040034722224</v>
      </c>
    </row>
    <row r="1015" spans="1:3">
      <c r="A1015">
        <v>304333</v>
      </c>
      <c r="B1015">
        <v>3947859</v>
      </c>
      <c r="C1015" s="32">
        <v>43070.856736111113</v>
      </c>
    </row>
    <row r="1016" spans="1:3">
      <c r="A1016">
        <v>344307</v>
      </c>
      <c r="B1016">
        <v>753984</v>
      </c>
      <c r="C1016" s="32">
        <v>43072.266689814816</v>
      </c>
    </row>
    <row r="1017" spans="1:3">
      <c r="A1017">
        <v>765229</v>
      </c>
      <c r="B1017">
        <v>3194735</v>
      </c>
      <c r="C1017" s="32">
        <v>43071.304444444446</v>
      </c>
    </row>
    <row r="1018" spans="1:3">
      <c r="A1018">
        <v>687428</v>
      </c>
      <c r="B1018">
        <v>1789614</v>
      </c>
      <c r="C1018" s="32">
        <v>43072.551631944443</v>
      </c>
    </row>
    <row r="1019" spans="1:3">
      <c r="A1019">
        <v>121511</v>
      </c>
      <c r="B1019">
        <v>200278</v>
      </c>
      <c r="C1019" s="32">
        <v>43071.132118055553</v>
      </c>
    </row>
    <row r="1020" spans="1:3">
      <c r="A1020">
        <v>457453</v>
      </c>
      <c r="B1020">
        <v>2195789</v>
      </c>
      <c r="C1020" s="32">
        <v>43072.538136574076</v>
      </c>
    </row>
    <row r="1021" spans="1:3">
      <c r="A1021">
        <v>611522</v>
      </c>
      <c r="B1021">
        <v>1349561</v>
      </c>
      <c r="C1021" s="32">
        <v>43070.143738425926</v>
      </c>
    </row>
    <row r="1022" spans="1:3">
      <c r="A1022">
        <v>126073</v>
      </c>
      <c r="B1022">
        <v>1575622</v>
      </c>
      <c r="C1022" s="32">
        <v>43071.482291666667</v>
      </c>
    </row>
    <row r="1023" spans="1:3">
      <c r="A1023">
        <v>759450</v>
      </c>
      <c r="B1023">
        <v>2877672</v>
      </c>
      <c r="C1023" s="32">
        <v>43072.529317129629</v>
      </c>
    </row>
    <row r="1024" spans="1:3">
      <c r="A1024">
        <v>139131</v>
      </c>
      <c r="B1024">
        <v>2014414</v>
      </c>
      <c r="C1024" s="32">
        <v>43072.559976851851</v>
      </c>
    </row>
    <row r="1025" spans="1:3">
      <c r="A1025">
        <v>381029</v>
      </c>
      <c r="B1025">
        <v>1573426</v>
      </c>
      <c r="C1025" s="32">
        <v>43070.024895833332</v>
      </c>
    </row>
    <row r="1026" spans="1:3">
      <c r="A1026">
        <v>772606</v>
      </c>
      <c r="B1026">
        <v>542908</v>
      </c>
      <c r="C1026" s="32">
        <v>43070.507407407407</v>
      </c>
    </row>
    <row r="1027" spans="1:3">
      <c r="A1027">
        <v>191572</v>
      </c>
      <c r="B1027">
        <v>4284875</v>
      </c>
      <c r="C1027" s="32">
        <v>43071.46497685185</v>
      </c>
    </row>
    <row r="1028" spans="1:3">
      <c r="A1028">
        <v>839234</v>
      </c>
      <c r="B1028">
        <v>22892</v>
      </c>
      <c r="C1028" s="32">
        <v>43072.075254629628</v>
      </c>
    </row>
    <row r="1029" spans="1:3">
      <c r="A1029">
        <v>938867</v>
      </c>
      <c r="B1029">
        <v>2920476</v>
      </c>
      <c r="C1029" s="32">
        <v>43070.161423611113</v>
      </c>
    </row>
    <row r="1030" spans="1:3">
      <c r="A1030">
        <v>957331</v>
      </c>
      <c r="B1030">
        <v>1216617</v>
      </c>
      <c r="C1030" s="32">
        <v>43070.464456018519</v>
      </c>
    </row>
    <row r="1031" spans="1:3">
      <c r="A1031">
        <v>975010</v>
      </c>
      <c r="B1031">
        <v>2355072</v>
      </c>
      <c r="C1031" s="32">
        <v>43070.700706018521</v>
      </c>
    </row>
    <row r="1032" spans="1:3">
      <c r="A1032">
        <v>101333</v>
      </c>
      <c r="B1032">
        <v>2520771</v>
      </c>
      <c r="C1032" s="32">
        <v>43071.067303240743</v>
      </c>
    </row>
    <row r="1033" spans="1:3">
      <c r="A1033">
        <v>137973</v>
      </c>
      <c r="B1033">
        <v>2885642</v>
      </c>
      <c r="C1033" s="32">
        <v>43072.641840277778</v>
      </c>
    </row>
    <row r="1034" spans="1:3">
      <c r="A1034">
        <v>321719</v>
      </c>
      <c r="B1034">
        <v>2194744</v>
      </c>
      <c r="C1034" s="32">
        <v>43072.499756944446</v>
      </c>
    </row>
    <row r="1035" spans="1:3">
      <c r="A1035">
        <v>360054</v>
      </c>
      <c r="B1035">
        <v>149192</v>
      </c>
      <c r="C1035" s="32">
        <v>43071.54760416667</v>
      </c>
    </row>
    <row r="1036" spans="1:3">
      <c r="A1036">
        <v>904601</v>
      </c>
      <c r="B1036">
        <v>3563906</v>
      </c>
      <c r="C1036" s="32">
        <v>43070.290312500001</v>
      </c>
    </row>
    <row r="1037" spans="1:3">
      <c r="A1037">
        <v>913584</v>
      </c>
      <c r="B1037">
        <v>1519819</v>
      </c>
      <c r="C1037" s="32">
        <v>43071.363240740742</v>
      </c>
    </row>
    <row r="1038" spans="1:3">
      <c r="A1038">
        <v>587626</v>
      </c>
      <c r="B1038">
        <v>2558204</v>
      </c>
      <c r="C1038" s="32">
        <v>43071.684965277775</v>
      </c>
    </row>
    <row r="1039" spans="1:3">
      <c r="A1039">
        <v>488001</v>
      </c>
      <c r="B1039">
        <v>2520377</v>
      </c>
      <c r="C1039" s="32">
        <v>43070.62327546296</v>
      </c>
    </row>
    <row r="1040" spans="1:3">
      <c r="A1040">
        <v>46603</v>
      </c>
      <c r="B1040">
        <v>2096639</v>
      </c>
      <c r="C1040" s="32">
        <v>43072.60701388889</v>
      </c>
    </row>
    <row r="1041" spans="1:3">
      <c r="A1041">
        <v>46837</v>
      </c>
      <c r="B1041">
        <v>4145813</v>
      </c>
      <c r="C1041" s="32">
        <v>43072.367881944447</v>
      </c>
    </row>
    <row r="1042" spans="1:3">
      <c r="A1042">
        <v>96718</v>
      </c>
      <c r="B1042">
        <v>3738615</v>
      </c>
      <c r="C1042" s="32">
        <v>43071.907546296294</v>
      </c>
    </row>
    <row r="1043" spans="1:3">
      <c r="A1043">
        <v>664551</v>
      </c>
      <c r="B1043">
        <v>1073768</v>
      </c>
      <c r="C1043" s="32">
        <v>43071.160451388889</v>
      </c>
    </row>
    <row r="1044" spans="1:3">
      <c r="A1044">
        <v>272547</v>
      </c>
      <c r="B1044">
        <v>2465336</v>
      </c>
      <c r="C1044" s="32">
        <v>43071.480069444442</v>
      </c>
    </row>
    <row r="1045" spans="1:3">
      <c r="A1045">
        <v>626339</v>
      </c>
      <c r="B1045">
        <v>2129666</v>
      </c>
      <c r="C1045" s="32">
        <v>43071.475104166668</v>
      </c>
    </row>
    <row r="1046" spans="1:3">
      <c r="A1046">
        <v>333586</v>
      </c>
      <c r="B1046">
        <v>2355072</v>
      </c>
      <c r="C1046" s="32">
        <v>43072.545787037037</v>
      </c>
    </row>
    <row r="1047" spans="1:3">
      <c r="A1047">
        <v>403425</v>
      </c>
      <c r="B1047">
        <v>2465336</v>
      </c>
      <c r="C1047" s="32">
        <v>43070.98</v>
      </c>
    </row>
    <row r="1048" spans="1:3">
      <c r="A1048">
        <v>804826</v>
      </c>
      <c r="B1048">
        <v>2293367</v>
      </c>
      <c r="C1048" s="32">
        <v>43071.705462962964</v>
      </c>
    </row>
    <row r="1049" spans="1:3">
      <c r="A1049">
        <v>337197</v>
      </c>
      <c r="B1049">
        <v>2355072</v>
      </c>
      <c r="C1049" s="32">
        <v>43069.967037037037</v>
      </c>
    </row>
    <row r="1050" spans="1:3">
      <c r="A1050">
        <v>192857</v>
      </c>
      <c r="B1050">
        <v>1575622</v>
      </c>
      <c r="C1050" s="32">
        <v>43071.326458333337</v>
      </c>
    </row>
    <row r="1051" spans="1:3">
      <c r="A1051">
        <v>756254</v>
      </c>
      <c r="B1051">
        <v>3859384</v>
      </c>
      <c r="C1051" s="32">
        <v>43071.755127314813</v>
      </c>
    </row>
    <row r="1052" spans="1:3">
      <c r="A1052">
        <v>254841</v>
      </c>
      <c r="B1052">
        <v>4145813</v>
      </c>
      <c r="C1052" s="32">
        <v>43072.243854166663</v>
      </c>
    </row>
    <row r="1053" spans="1:3">
      <c r="A1053">
        <v>584670</v>
      </c>
      <c r="B1053">
        <v>411153</v>
      </c>
      <c r="C1053" s="32">
        <v>43071.053263888891</v>
      </c>
    </row>
    <row r="1054" spans="1:3">
      <c r="A1054">
        <v>836572</v>
      </c>
      <c r="B1054">
        <v>1320293</v>
      </c>
      <c r="C1054" s="32">
        <v>43072.595196759263</v>
      </c>
    </row>
    <row r="1055" spans="1:3">
      <c r="A1055">
        <v>533186</v>
      </c>
      <c r="B1055">
        <v>393045</v>
      </c>
      <c r="C1055" s="32">
        <v>43070.641828703701</v>
      </c>
    </row>
    <row r="1056" spans="1:3">
      <c r="A1056">
        <v>38267</v>
      </c>
      <c r="B1056">
        <v>2733371</v>
      </c>
      <c r="C1056" s="32">
        <v>43072.006527777776</v>
      </c>
    </row>
    <row r="1057" spans="1:3">
      <c r="A1057">
        <v>80062</v>
      </c>
      <c r="B1057">
        <v>1286537</v>
      </c>
      <c r="C1057" s="32">
        <v>43072.073425925926</v>
      </c>
    </row>
    <row r="1058" spans="1:3">
      <c r="A1058">
        <v>592759</v>
      </c>
      <c r="B1058">
        <v>3015852</v>
      </c>
      <c r="C1058" s="32">
        <v>43071.961412037039</v>
      </c>
    </row>
    <row r="1059" spans="1:3">
      <c r="A1059">
        <v>342361</v>
      </c>
      <c r="B1059">
        <v>2640118</v>
      </c>
      <c r="C1059" s="32">
        <v>43070.680289351854</v>
      </c>
    </row>
    <row r="1060" spans="1:3">
      <c r="A1060">
        <v>98579</v>
      </c>
      <c r="B1060">
        <v>560936</v>
      </c>
      <c r="C1060" s="32">
        <v>43072.075567129628</v>
      </c>
    </row>
    <row r="1061" spans="1:3">
      <c r="A1061">
        <v>996955</v>
      </c>
      <c r="B1061">
        <v>4756105</v>
      </c>
      <c r="C1061" s="32">
        <v>43072.640069444446</v>
      </c>
    </row>
    <row r="1062" spans="1:3">
      <c r="A1062">
        <v>932473</v>
      </c>
      <c r="B1062">
        <v>1516409</v>
      </c>
      <c r="C1062" s="32">
        <v>43071.933946759258</v>
      </c>
    </row>
    <row r="1063" spans="1:3">
      <c r="A1063">
        <v>800956</v>
      </c>
      <c r="B1063">
        <v>3439012</v>
      </c>
      <c r="C1063" s="32">
        <v>43070.612349537034</v>
      </c>
    </row>
    <row r="1064" spans="1:3">
      <c r="A1064">
        <v>592592</v>
      </c>
      <c r="B1064">
        <v>982926</v>
      </c>
      <c r="C1064" s="32">
        <v>43071.783275462964</v>
      </c>
    </row>
    <row r="1065" spans="1:3">
      <c r="A1065">
        <v>138068</v>
      </c>
      <c r="B1065">
        <v>2640118</v>
      </c>
      <c r="C1065" s="32">
        <v>43070.56040509259</v>
      </c>
    </row>
    <row r="1066" spans="1:3">
      <c r="A1066">
        <v>391751</v>
      </c>
      <c r="B1066">
        <v>1320293</v>
      </c>
      <c r="C1066" s="32">
        <v>43071.578993055555</v>
      </c>
    </row>
    <row r="1067" spans="1:3">
      <c r="A1067">
        <v>294464</v>
      </c>
      <c r="B1067">
        <v>4170419</v>
      </c>
      <c r="C1067" s="32">
        <v>43070.178784722222</v>
      </c>
    </row>
    <row r="1068" spans="1:3">
      <c r="A1068">
        <v>332172</v>
      </c>
      <c r="B1068">
        <v>4558987</v>
      </c>
      <c r="C1068" s="32">
        <v>43072.395995370367</v>
      </c>
    </row>
    <row r="1069" spans="1:3">
      <c r="A1069">
        <v>765092</v>
      </c>
      <c r="B1069">
        <v>2885642</v>
      </c>
      <c r="C1069" s="32">
        <v>43071.159398148149</v>
      </c>
    </row>
    <row r="1070" spans="1:3">
      <c r="A1070">
        <v>877119</v>
      </c>
      <c r="B1070">
        <v>2520377</v>
      </c>
      <c r="C1070" s="32">
        <v>43072.583136574074</v>
      </c>
    </row>
    <row r="1071" spans="1:3">
      <c r="A1071">
        <v>1014542</v>
      </c>
      <c r="B1071">
        <v>1320293</v>
      </c>
      <c r="C1071" s="32">
        <v>43072.278067129628</v>
      </c>
    </row>
    <row r="1072" spans="1:3">
      <c r="A1072">
        <v>1950</v>
      </c>
      <c r="B1072">
        <v>305253</v>
      </c>
      <c r="C1072" s="32">
        <v>43071.161828703705</v>
      </c>
    </row>
    <row r="1073" spans="1:3">
      <c r="A1073">
        <v>58450</v>
      </c>
      <c r="B1073">
        <v>4458428</v>
      </c>
      <c r="C1073" s="32">
        <v>43070.365057870367</v>
      </c>
    </row>
    <row r="1074" spans="1:3">
      <c r="A1074">
        <v>675753</v>
      </c>
      <c r="B1074">
        <v>982926</v>
      </c>
      <c r="C1074" s="32">
        <v>43070.594236111108</v>
      </c>
    </row>
    <row r="1075" spans="1:3">
      <c r="A1075">
        <v>932416</v>
      </c>
      <c r="B1075">
        <v>2087597</v>
      </c>
      <c r="C1075" s="32">
        <v>43070.116400462961</v>
      </c>
    </row>
    <row r="1076" spans="1:3">
      <c r="A1076">
        <v>438043</v>
      </c>
      <c r="B1076">
        <v>3299155</v>
      </c>
      <c r="C1076" s="32">
        <v>43072.497465277775</v>
      </c>
    </row>
    <row r="1077" spans="1:3">
      <c r="A1077">
        <v>60930</v>
      </c>
      <c r="B1077">
        <v>2713041</v>
      </c>
      <c r="C1077" s="32">
        <v>43072.48940972222</v>
      </c>
    </row>
    <row r="1078" spans="1:3">
      <c r="A1078">
        <v>458774</v>
      </c>
      <c r="B1078">
        <v>4576874</v>
      </c>
      <c r="C1078" s="32">
        <v>43071.011979166666</v>
      </c>
    </row>
    <row r="1079" spans="1:3">
      <c r="A1079">
        <v>98991</v>
      </c>
      <c r="B1079">
        <v>4185300</v>
      </c>
      <c r="C1079" s="32">
        <v>43071.319293981483</v>
      </c>
    </row>
    <row r="1080" spans="1:3">
      <c r="A1080">
        <v>85783</v>
      </c>
      <c r="B1080">
        <v>2885642</v>
      </c>
      <c r="C1080" s="32">
        <v>43071.651365740741</v>
      </c>
    </row>
    <row r="1081" spans="1:3">
      <c r="A1081">
        <v>605896</v>
      </c>
      <c r="B1081">
        <v>1516409</v>
      </c>
      <c r="C1081" s="32">
        <v>43071.366712962961</v>
      </c>
    </row>
    <row r="1082" spans="1:3">
      <c r="A1082">
        <v>938974</v>
      </c>
      <c r="B1082">
        <v>1629035</v>
      </c>
      <c r="C1082" s="32">
        <v>43071.405613425923</v>
      </c>
    </row>
    <row r="1083" spans="1:3">
      <c r="A1083">
        <v>512653</v>
      </c>
      <c r="B1083">
        <v>570735</v>
      </c>
      <c r="C1083" s="32">
        <v>43072.614664351851</v>
      </c>
    </row>
    <row r="1084" spans="1:3">
      <c r="A1084">
        <v>822285</v>
      </c>
      <c r="B1084">
        <v>4302328</v>
      </c>
      <c r="C1084" s="32">
        <v>43071.368981481479</v>
      </c>
    </row>
    <row r="1085" spans="1:3">
      <c r="A1085">
        <v>1006494</v>
      </c>
      <c r="B1085">
        <v>4583884</v>
      </c>
      <c r="C1085" s="32">
        <v>43072.067997685182</v>
      </c>
    </row>
    <row r="1086" spans="1:3">
      <c r="A1086">
        <v>214693</v>
      </c>
      <c r="B1086">
        <v>2355072</v>
      </c>
      <c r="C1086" s="32">
        <v>43072.512453703705</v>
      </c>
    </row>
    <row r="1087" spans="1:3">
      <c r="A1087">
        <v>363077</v>
      </c>
      <c r="B1087">
        <v>2617994</v>
      </c>
      <c r="C1087" s="32">
        <v>43070.552986111114</v>
      </c>
    </row>
    <row r="1088" spans="1:3">
      <c r="A1088">
        <v>357827</v>
      </c>
      <c r="B1088">
        <v>1320293</v>
      </c>
      <c r="C1088" s="32">
        <v>43071.662210648145</v>
      </c>
    </row>
    <row r="1089" spans="1:3">
      <c r="A1089">
        <v>57492</v>
      </c>
      <c r="B1089">
        <v>2465336</v>
      </c>
      <c r="C1089" s="32">
        <v>43072.342523148145</v>
      </c>
    </row>
    <row r="1090" spans="1:3">
      <c r="A1090">
        <v>570664</v>
      </c>
      <c r="B1090">
        <v>3607361</v>
      </c>
      <c r="C1090" s="32">
        <v>43071.052627314813</v>
      </c>
    </row>
    <row r="1091" spans="1:3">
      <c r="A1091">
        <v>564494</v>
      </c>
      <c r="B1091">
        <v>2520377</v>
      </c>
      <c r="C1091" s="32">
        <v>43072.214143518519</v>
      </c>
    </row>
    <row r="1092" spans="1:3">
      <c r="A1092">
        <v>863364</v>
      </c>
      <c r="B1092">
        <v>4122623</v>
      </c>
      <c r="C1092" s="32">
        <v>43070.466782407406</v>
      </c>
    </row>
    <row r="1093" spans="1:3">
      <c r="A1093">
        <v>369439</v>
      </c>
      <c r="B1093">
        <v>3195398</v>
      </c>
      <c r="C1093" s="32">
        <v>43070.631076388891</v>
      </c>
    </row>
    <row r="1094" spans="1:3">
      <c r="A1094">
        <v>986189</v>
      </c>
      <c r="B1094">
        <v>1165503</v>
      </c>
      <c r="C1094" s="32">
        <v>43071.866053240738</v>
      </c>
    </row>
    <row r="1095" spans="1:3">
      <c r="A1095">
        <v>395278</v>
      </c>
      <c r="B1095">
        <v>800581</v>
      </c>
      <c r="C1095" s="32">
        <v>43069.71297453704</v>
      </c>
    </row>
    <row r="1096" spans="1:3">
      <c r="A1096">
        <v>182657</v>
      </c>
      <c r="B1096">
        <v>2640118</v>
      </c>
      <c r="C1096" s="32">
        <v>43070.530659722222</v>
      </c>
    </row>
    <row r="1097" spans="1:3">
      <c r="A1097">
        <v>39484</v>
      </c>
      <c r="B1097">
        <v>4756105</v>
      </c>
      <c r="C1097" s="32">
        <v>43070.148946759262</v>
      </c>
    </row>
    <row r="1098" spans="1:3">
      <c r="A1098">
        <v>264783</v>
      </c>
      <c r="B1098">
        <v>3002561</v>
      </c>
      <c r="C1098" s="32">
        <v>43072.349062499998</v>
      </c>
    </row>
    <row r="1099" spans="1:3">
      <c r="A1099">
        <v>433323</v>
      </c>
      <c r="B1099">
        <v>2466971</v>
      </c>
      <c r="C1099" s="32">
        <v>43070.187893518516</v>
      </c>
    </row>
    <row r="1100" spans="1:3">
      <c r="A1100">
        <v>810079</v>
      </c>
      <c r="B1100">
        <v>4801426</v>
      </c>
      <c r="C1100" s="32">
        <v>43071.049710648149</v>
      </c>
    </row>
    <row r="1101" spans="1:3">
      <c r="A1101">
        <v>183112</v>
      </c>
      <c r="B1101">
        <v>1789614</v>
      </c>
      <c r="C1101" s="32">
        <v>43072.407800925925</v>
      </c>
    </row>
    <row r="1102" spans="1:3">
      <c r="A1102">
        <v>183902</v>
      </c>
      <c r="B1102">
        <v>1265358</v>
      </c>
      <c r="C1102" s="32">
        <v>43072.256886574076</v>
      </c>
    </row>
    <row r="1103" spans="1:3">
      <c r="A1103">
        <v>50155</v>
      </c>
      <c r="B1103">
        <v>3607361</v>
      </c>
      <c r="C1103" s="32">
        <v>43070.527175925927</v>
      </c>
    </row>
    <row r="1104" spans="1:3">
      <c r="A1104">
        <v>98689</v>
      </c>
      <c r="B1104">
        <v>3004853</v>
      </c>
      <c r="C1104" s="32">
        <v>43070.547638888886</v>
      </c>
    </row>
    <row r="1105" spans="1:3">
      <c r="A1105">
        <v>1006405</v>
      </c>
      <c r="B1105">
        <v>2702525</v>
      </c>
      <c r="C1105" s="32">
        <v>43071.269432870373</v>
      </c>
    </row>
    <row r="1106" spans="1:3">
      <c r="A1106">
        <v>89031</v>
      </c>
      <c r="B1106">
        <v>4163659</v>
      </c>
      <c r="C1106" s="32">
        <v>43070.768182870372</v>
      </c>
    </row>
    <row r="1107" spans="1:3">
      <c r="A1107">
        <v>734800</v>
      </c>
      <c r="B1107">
        <v>2355072</v>
      </c>
      <c r="C1107" s="32">
        <v>43071.553668981483</v>
      </c>
    </row>
    <row r="1108" spans="1:3">
      <c r="A1108">
        <v>545503</v>
      </c>
      <c r="B1108">
        <v>1397912</v>
      </c>
      <c r="C1108" s="32">
        <v>43070.534375000003</v>
      </c>
    </row>
    <row r="1109" spans="1:3">
      <c r="A1109">
        <v>679281</v>
      </c>
      <c r="B1109">
        <v>3800818</v>
      </c>
      <c r="C1109" s="32">
        <v>43072.159375000003</v>
      </c>
    </row>
    <row r="1110" spans="1:3">
      <c r="A1110">
        <v>656993</v>
      </c>
      <c r="B1110">
        <v>2735466</v>
      </c>
      <c r="C1110" s="32">
        <v>43072.284282407411</v>
      </c>
    </row>
    <row r="1111" spans="1:3">
      <c r="A1111">
        <v>832163</v>
      </c>
      <c r="B1111">
        <v>3607361</v>
      </c>
      <c r="C1111" s="32">
        <v>43070.476157407407</v>
      </c>
    </row>
    <row r="1112" spans="1:3">
      <c r="A1112">
        <v>293772</v>
      </c>
      <c r="B1112">
        <v>4181361</v>
      </c>
      <c r="C1112" s="32">
        <v>43071.135983796295</v>
      </c>
    </row>
    <row r="1113" spans="1:3">
      <c r="A1113">
        <v>473818</v>
      </c>
      <c r="B1113">
        <v>235534</v>
      </c>
      <c r="C1113" s="32">
        <v>43071.692384259259</v>
      </c>
    </row>
    <row r="1114" spans="1:3">
      <c r="A1114">
        <v>35295</v>
      </c>
      <c r="B1114">
        <v>570735</v>
      </c>
      <c r="C1114" s="32">
        <v>43071.946400462963</v>
      </c>
    </row>
    <row r="1115" spans="1:3">
      <c r="A1115">
        <v>161291</v>
      </c>
      <c r="B1115">
        <v>2131531</v>
      </c>
      <c r="C1115" s="32">
        <v>43071.788206018522</v>
      </c>
    </row>
    <row r="1116" spans="1:3">
      <c r="A1116">
        <v>100383</v>
      </c>
      <c r="B1116">
        <v>3361496</v>
      </c>
      <c r="C1116" s="32">
        <v>43072.107743055552</v>
      </c>
    </row>
    <row r="1117" spans="1:3">
      <c r="A1117">
        <v>201998</v>
      </c>
      <c r="B1117">
        <v>2885642</v>
      </c>
      <c r="C1117" s="32">
        <v>43070.689710648148</v>
      </c>
    </row>
    <row r="1118" spans="1:3">
      <c r="A1118">
        <v>923488</v>
      </c>
      <c r="B1118">
        <v>965809</v>
      </c>
      <c r="C1118" s="32">
        <v>43072.130474537036</v>
      </c>
    </row>
    <row r="1119" spans="1:3">
      <c r="A1119">
        <v>105525</v>
      </c>
      <c r="B1119">
        <v>1464116</v>
      </c>
      <c r="C1119" s="32">
        <v>43072.499675925923</v>
      </c>
    </row>
    <row r="1120" spans="1:3">
      <c r="A1120">
        <v>263012</v>
      </c>
      <c r="B1120">
        <v>1216617</v>
      </c>
      <c r="C1120" s="32">
        <v>43072.507534722223</v>
      </c>
    </row>
    <row r="1121" spans="1:3">
      <c r="A1121">
        <v>883821</v>
      </c>
      <c r="B1121">
        <v>3607361</v>
      </c>
      <c r="C1121" s="32">
        <v>43071.476527777777</v>
      </c>
    </row>
    <row r="1122" spans="1:3">
      <c r="A1122">
        <v>976752</v>
      </c>
      <c r="B1122">
        <v>4145813</v>
      </c>
      <c r="C1122" s="32">
        <v>43070.436793981484</v>
      </c>
    </row>
    <row r="1123" spans="1:3">
      <c r="A1123">
        <v>922569</v>
      </c>
      <c r="B1123">
        <v>4801426</v>
      </c>
      <c r="C1123" s="32">
        <v>43072.329236111109</v>
      </c>
    </row>
    <row r="1124" spans="1:3">
      <c r="A1124">
        <v>972248</v>
      </c>
      <c r="B1124">
        <v>4151801</v>
      </c>
      <c r="C1124" s="32">
        <v>43071.993113425924</v>
      </c>
    </row>
    <row r="1125" spans="1:3">
      <c r="A1125">
        <v>524813</v>
      </c>
      <c r="B1125">
        <v>4801426</v>
      </c>
      <c r="C1125" s="32">
        <v>43071.277002314811</v>
      </c>
    </row>
    <row r="1126" spans="1:3">
      <c r="A1126">
        <v>869312</v>
      </c>
      <c r="B1126">
        <v>2362370</v>
      </c>
      <c r="C1126" s="32">
        <v>43070.244108796294</v>
      </c>
    </row>
    <row r="1127" spans="1:3">
      <c r="A1127">
        <v>64514</v>
      </c>
      <c r="B1127">
        <v>2520771</v>
      </c>
      <c r="C1127" s="32">
        <v>43071.24728009259</v>
      </c>
    </row>
    <row r="1128" spans="1:3">
      <c r="A1128">
        <v>355644</v>
      </c>
      <c r="B1128">
        <v>982926</v>
      </c>
      <c r="C1128" s="32">
        <v>43071.113194444442</v>
      </c>
    </row>
    <row r="1129" spans="1:3">
      <c r="A1129">
        <v>763987</v>
      </c>
      <c r="B1129">
        <v>4082778</v>
      </c>
      <c r="C1129" s="32">
        <v>43069.688437500001</v>
      </c>
    </row>
    <row r="1130" spans="1:3">
      <c r="A1130">
        <v>55292</v>
      </c>
      <c r="B1130">
        <v>4756105</v>
      </c>
      <c r="C1130" s="32">
        <v>43071.553807870368</v>
      </c>
    </row>
    <row r="1131" spans="1:3">
      <c r="A1131">
        <v>245920</v>
      </c>
      <c r="B1131">
        <v>1320293</v>
      </c>
      <c r="C1131" s="32">
        <v>43071.048148148147</v>
      </c>
    </row>
    <row r="1132" spans="1:3">
      <c r="A1132">
        <v>421113</v>
      </c>
      <c r="B1132">
        <v>2945933</v>
      </c>
      <c r="C1132" s="32">
        <v>43072.505416666667</v>
      </c>
    </row>
    <row r="1133" spans="1:3">
      <c r="A1133">
        <v>386519</v>
      </c>
      <c r="B1133">
        <v>4756105</v>
      </c>
      <c r="C1133" s="32">
        <v>43072.559166666666</v>
      </c>
    </row>
    <row r="1134" spans="1:3">
      <c r="A1134">
        <v>376357</v>
      </c>
      <c r="B1134">
        <v>2558244</v>
      </c>
      <c r="C1134" s="32">
        <v>43072.234953703701</v>
      </c>
    </row>
    <row r="1135" spans="1:3">
      <c r="A1135">
        <v>205991</v>
      </c>
      <c r="B1135">
        <v>4145813</v>
      </c>
      <c r="C1135" s="32">
        <v>43070.624027777776</v>
      </c>
    </row>
    <row r="1136" spans="1:3">
      <c r="A1136">
        <v>573494</v>
      </c>
      <c r="B1136">
        <v>4022701</v>
      </c>
      <c r="C1136" s="32">
        <v>43071.518842592595</v>
      </c>
    </row>
    <row r="1137" spans="1:3">
      <c r="A1137">
        <v>168926</v>
      </c>
      <c r="B1137">
        <v>1464116</v>
      </c>
      <c r="C1137" s="32">
        <v>43071.036944444444</v>
      </c>
    </row>
    <row r="1138" spans="1:3">
      <c r="A1138">
        <v>401155</v>
      </c>
      <c r="B1138">
        <v>64179</v>
      </c>
      <c r="C1138" s="32">
        <v>43072.316944444443</v>
      </c>
    </row>
    <row r="1139" spans="1:3">
      <c r="A1139">
        <v>579408</v>
      </c>
      <c r="B1139">
        <v>2026907</v>
      </c>
      <c r="C1139" s="32">
        <v>43070.099247685182</v>
      </c>
    </row>
    <row r="1140" spans="1:3">
      <c r="A1140">
        <v>781464</v>
      </c>
      <c r="B1140">
        <v>1859277</v>
      </c>
      <c r="C1140" s="32">
        <v>43071.464942129627</v>
      </c>
    </row>
    <row r="1141" spans="1:3">
      <c r="A1141">
        <v>940812</v>
      </c>
      <c r="B1141">
        <v>2520377</v>
      </c>
      <c r="C1141" s="32">
        <v>43072.120613425926</v>
      </c>
    </row>
    <row r="1142" spans="1:3">
      <c r="A1142">
        <v>137008</v>
      </c>
      <c r="B1142">
        <v>3253357</v>
      </c>
      <c r="C1142" s="32">
        <v>43071.690868055557</v>
      </c>
    </row>
    <row r="1143" spans="1:3">
      <c r="A1143">
        <v>310084</v>
      </c>
      <c r="B1143">
        <v>154040</v>
      </c>
      <c r="C1143" s="32">
        <v>43071.562199074076</v>
      </c>
    </row>
    <row r="1144" spans="1:3">
      <c r="A1144">
        <v>78860</v>
      </c>
      <c r="B1144">
        <v>1928278</v>
      </c>
      <c r="C1144" s="32">
        <v>43072.355798611112</v>
      </c>
    </row>
    <row r="1145" spans="1:3">
      <c r="A1145">
        <v>595745</v>
      </c>
      <c r="B1145">
        <v>3002561</v>
      </c>
      <c r="C1145" s="32">
        <v>43070.685567129629</v>
      </c>
    </row>
    <row r="1146" spans="1:3">
      <c r="A1146">
        <v>486867</v>
      </c>
      <c r="B1146">
        <v>862523</v>
      </c>
      <c r="C1146" s="32">
        <v>43072.274317129632</v>
      </c>
    </row>
    <row r="1147" spans="1:3">
      <c r="A1147">
        <v>245420</v>
      </c>
      <c r="B1147">
        <v>3340725</v>
      </c>
      <c r="C1147" s="32">
        <v>43071.623888888891</v>
      </c>
    </row>
    <row r="1148" spans="1:3">
      <c r="A1148">
        <v>701315</v>
      </c>
      <c r="B1148">
        <v>983613</v>
      </c>
      <c r="C1148" s="32">
        <v>43071.780833333331</v>
      </c>
    </row>
    <row r="1149" spans="1:3">
      <c r="A1149">
        <v>524813</v>
      </c>
      <c r="B1149">
        <v>4217906</v>
      </c>
      <c r="C1149" s="32">
        <v>43071.281423611108</v>
      </c>
    </row>
    <row r="1150" spans="1:3">
      <c r="A1150">
        <v>31591</v>
      </c>
      <c r="B1150">
        <v>965809</v>
      </c>
      <c r="C1150" s="32">
        <v>43071.139270833337</v>
      </c>
    </row>
    <row r="1151" spans="1:3">
      <c r="A1151">
        <v>872286</v>
      </c>
      <c r="B1151">
        <v>4756105</v>
      </c>
      <c r="C1151" s="32">
        <v>43072.452256944445</v>
      </c>
    </row>
    <row r="1152" spans="1:3">
      <c r="A1152">
        <v>171172</v>
      </c>
      <c r="B1152">
        <v>154040</v>
      </c>
      <c r="C1152" s="32">
        <v>43072.146365740744</v>
      </c>
    </row>
    <row r="1153" spans="1:3">
      <c r="A1153">
        <v>248282</v>
      </c>
      <c r="B1153">
        <v>2578647</v>
      </c>
      <c r="C1153" s="32">
        <v>43071.319097222222</v>
      </c>
    </row>
    <row r="1154" spans="1:3">
      <c r="A1154">
        <v>646907</v>
      </c>
      <c r="B1154">
        <v>2520771</v>
      </c>
      <c r="C1154" s="32">
        <v>43070.597337962965</v>
      </c>
    </row>
    <row r="1155" spans="1:3">
      <c r="A1155">
        <v>169276</v>
      </c>
      <c r="B1155">
        <v>2188684</v>
      </c>
      <c r="C1155" s="32">
        <v>43071.530358796299</v>
      </c>
    </row>
    <row r="1156" spans="1:3">
      <c r="A1156">
        <v>189426</v>
      </c>
      <c r="B1156">
        <v>285583</v>
      </c>
      <c r="C1156" s="32">
        <v>43071.954548611109</v>
      </c>
    </row>
    <row r="1157" spans="1:3">
      <c r="A1157">
        <v>605591</v>
      </c>
      <c r="B1157">
        <v>4654786</v>
      </c>
      <c r="C1157" s="32">
        <v>43072.549583333333</v>
      </c>
    </row>
    <row r="1158" spans="1:3">
      <c r="A1158">
        <v>441480</v>
      </c>
      <c r="B1158">
        <v>4643350</v>
      </c>
      <c r="C1158" s="32">
        <v>43070.682789351849</v>
      </c>
    </row>
    <row r="1159" spans="1:3">
      <c r="A1159">
        <v>98232</v>
      </c>
      <c r="B1159">
        <v>2558244</v>
      </c>
      <c r="C1159" s="32">
        <v>43072.612233796295</v>
      </c>
    </row>
    <row r="1160" spans="1:3">
      <c r="A1160">
        <v>239271</v>
      </c>
      <c r="B1160">
        <v>2483206</v>
      </c>
      <c r="C1160" s="32">
        <v>43069.715914351851</v>
      </c>
    </row>
    <row r="1161" spans="1:3">
      <c r="A1161">
        <v>943590</v>
      </c>
      <c r="B1161">
        <v>737184</v>
      </c>
      <c r="C1161" s="32">
        <v>43070.086631944447</v>
      </c>
    </row>
    <row r="1162" spans="1:3">
      <c r="A1162">
        <v>860861</v>
      </c>
      <c r="B1162">
        <v>2050292</v>
      </c>
      <c r="C1162" s="32">
        <v>43071.654247685183</v>
      </c>
    </row>
    <row r="1163" spans="1:3">
      <c r="A1163">
        <v>940656</v>
      </c>
      <c r="B1163">
        <v>4756105</v>
      </c>
      <c r="C1163" s="32">
        <v>43072.226805555554</v>
      </c>
    </row>
    <row r="1164" spans="1:3">
      <c r="A1164">
        <v>176471</v>
      </c>
      <c r="B1164">
        <v>4145813</v>
      </c>
      <c r="C1164" s="32">
        <v>43072.633391203701</v>
      </c>
    </row>
    <row r="1165" spans="1:3">
      <c r="A1165">
        <v>910709</v>
      </c>
      <c r="B1165">
        <v>3002561</v>
      </c>
      <c r="C1165" s="32">
        <v>43070.159317129626</v>
      </c>
    </row>
    <row r="1166" spans="1:3">
      <c r="A1166">
        <v>12170</v>
      </c>
      <c r="B1166">
        <v>4801426</v>
      </c>
      <c r="C1166" s="32">
        <v>43070.564479166664</v>
      </c>
    </row>
    <row r="1167" spans="1:3">
      <c r="A1167">
        <v>670124</v>
      </c>
      <c r="B1167">
        <v>4801426</v>
      </c>
      <c r="C1167" s="32">
        <v>43072.560370370367</v>
      </c>
    </row>
    <row r="1168" spans="1:3">
      <c r="A1168">
        <v>65903</v>
      </c>
      <c r="B1168">
        <v>64179</v>
      </c>
      <c r="C1168" s="32">
        <v>43069.795844907407</v>
      </c>
    </row>
    <row r="1169" spans="1:3">
      <c r="A1169">
        <v>597137</v>
      </c>
      <c r="B1169">
        <v>3747017</v>
      </c>
      <c r="C1169" s="32">
        <v>43071.228171296294</v>
      </c>
    </row>
    <row r="1170" spans="1:3">
      <c r="A1170">
        <v>855477</v>
      </c>
      <c r="B1170">
        <v>4568352</v>
      </c>
      <c r="C1170" s="32">
        <v>43071.086921296293</v>
      </c>
    </row>
    <row r="1171" spans="1:3">
      <c r="A1171">
        <v>216034</v>
      </c>
      <c r="B1171">
        <v>2366905</v>
      </c>
      <c r="C1171" s="32">
        <v>43072.609351851854</v>
      </c>
    </row>
    <row r="1172" spans="1:3">
      <c r="A1172">
        <v>748654</v>
      </c>
      <c r="B1172">
        <v>4801426</v>
      </c>
      <c r="C1172" s="32">
        <v>43069.831493055557</v>
      </c>
    </row>
    <row r="1173" spans="1:3">
      <c r="A1173">
        <v>15207</v>
      </c>
      <c r="B1173">
        <v>4517019</v>
      </c>
      <c r="C1173" s="32">
        <v>43072.588460648149</v>
      </c>
    </row>
    <row r="1174" spans="1:3">
      <c r="A1174">
        <v>801082</v>
      </c>
      <c r="B1174">
        <v>886203</v>
      </c>
      <c r="C1174" s="32">
        <v>43071.364282407405</v>
      </c>
    </row>
    <row r="1175" spans="1:3">
      <c r="A1175">
        <v>51652</v>
      </c>
      <c r="B1175">
        <v>4756105</v>
      </c>
      <c r="C1175" s="32">
        <v>43071.074386574073</v>
      </c>
    </row>
    <row r="1176" spans="1:3">
      <c r="A1176">
        <v>323007</v>
      </c>
      <c r="B1176">
        <v>1568197</v>
      </c>
      <c r="C1176" s="32">
        <v>43072.536412037036</v>
      </c>
    </row>
    <row r="1177" spans="1:3">
      <c r="A1177">
        <v>463357</v>
      </c>
      <c r="B1177">
        <v>238434</v>
      </c>
      <c r="C1177" s="32">
        <v>43070.272476851853</v>
      </c>
    </row>
    <row r="1178" spans="1:3">
      <c r="A1178">
        <v>736952</v>
      </c>
      <c r="B1178">
        <v>1467750</v>
      </c>
      <c r="C1178" s="32">
        <v>43072.093113425923</v>
      </c>
    </row>
    <row r="1179" spans="1:3">
      <c r="A1179">
        <v>759782</v>
      </c>
      <c r="B1179">
        <v>1875258</v>
      </c>
      <c r="C1179" s="32">
        <v>43072.283229166664</v>
      </c>
    </row>
    <row r="1180" spans="1:3">
      <c r="A1180">
        <v>538241</v>
      </c>
      <c r="B1180">
        <v>4804883</v>
      </c>
      <c r="C1180" s="32">
        <v>43071.538622685184</v>
      </c>
    </row>
    <row r="1181" spans="1:3">
      <c r="A1181">
        <v>42625</v>
      </c>
      <c r="B1181">
        <v>4217906</v>
      </c>
      <c r="C1181" s="32">
        <v>43070.215590277781</v>
      </c>
    </row>
    <row r="1182" spans="1:3">
      <c r="A1182">
        <v>310885</v>
      </c>
      <c r="B1182">
        <v>3747017</v>
      </c>
      <c r="C1182" s="32">
        <v>43069.667673611111</v>
      </c>
    </row>
    <row r="1183" spans="1:3">
      <c r="A1183">
        <v>420397</v>
      </c>
      <c r="B1183">
        <v>1275696</v>
      </c>
      <c r="C1183" s="32">
        <v>43070.574421296296</v>
      </c>
    </row>
    <row r="1184" spans="1:3">
      <c r="A1184">
        <v>776343</v>
      </c>
      <c r="B1184">
        <v>982926</v>
      </c>
      <c r="C1184" s="32">
        <v>43070.207152777781</v>
      </c>
    </row>
    <row r="1185" spans="1:3">
      <c r="A1185">
        <v>799936</v>
      </c>
      <c r="B1185">
        <v>4756105</v>
      </c>
      <c r="C1185" s="32">
        <v>43069.747442129628</v>
      </c>
    </row>
    <row r="1186" spans="1:3">
      <c r="A1186">
        <v>672110</v>
      </c>
      <c r="B1186">
        <v>535180</v>
      </c>
      <c r="C1186" s="32">
        <v>43070.972037037034</v>
      </c>
    </row>
    <row r="1187" spans="1:3">
      <c r="A1187">
        <v>981520</v>
      </c>
      <c r="B1187">
        <v>2640118</v>
      </c>
      <c r="C1187" s="32">
        <v>43072.577118055553</v>
      </c>
    </row>
    <row r="1188" spans="1:3">
      <c r="A1188">
        <v>173576</v>
      </c>
      <c r="B1188">
        <v>2520377</v>
      </c>
      <c r="C1188" s="32">
        <v>43071.131840277776</v>
      </c>
    </row>
    <row r="1189" spans="1:3">
      <c r="A1189">
        <v>628022</v>
      </c>
      <c r="B1189">
        <v>2578647</v>
      </c>
      <c r="C1189" s="32">
        <v>43070.657141203701</v>
      </c>
    </row>
    <row r="1190" spans="1:3">
      <c r="A1190">
        <v>213550</v>
      </c>
      <c r="B1190">
        <v>2877672</v>
      </c>
      <c r="C1190" s="32">
        <v>43070.314699074072</v>
      </c>
    </row>
    <row r="1191" spans="1:3">
      <c r="A1191">
        <v>984731</v>
      </c>
      <c r="B1191">
        <v>903809</v>
      </c>
      <c r="C1191" s="32">
        <v>43072.491655092592</v>
      </c>
    </row>
    <row r="1192" spans="1:3">
      <c r="A1192">
        <v>450327</v>
      </c>
      <c r="B1192">
        <v>1275696</v>
      </c>
      <c r="C1192" s="32">
        <v>43072.507349537038</v>
      </c>
    </row>
    <row r="1193" spans="1:3">
      <c r="A1193">
        <v>22928</v>
      </c>
      <c r="B1193">
        <v>2013232</v>
      </c>
      <c r="C1193" s="32">
        <v>43071.516898148147</v>
      </c>
    </row>
    <row r="1194" spans="1:3">
      <c r="A1194">
        <v>863971</v>
      </c>
      <c r="B1194">
        <v>2465336</v>
      </c>
      <c r="C1194" s="32">
        <v>43071.714074074072</v>
      </c>
    </row>
    <row r="1195" spans="1:3">
      <c r="A1195">
        <v>85773</v>
      </c>
      <c r="B1195">
        <v>4145813</v>
      </c>
      <c r="C1195" s="32">
        <v>43071.182071759256</v>
      </c>
    </row>
    <row r="1196" spans="1:3">
      <c r="A1196">
        <v>201410</v>
      </c>
      <c r="B1196">
        <v>4130426</v>
      </c>
      <c r="C1196" s="32">
        <v>43072.097094907411</v>
      </c>
    </row>
    <row r="1197" spans="1:3">
      <c r="A1197">
        <v>912121</v>
      </c>
      <c r="B1197">
        <v>3371868</v>
      </c>
      <c r="C1197" s="32">
        <v>43072.277037037034</v>
      </c>
    </row>
    <row r="1198" spans="1:3">
      <c r="A1198">
        <v>71445</v>
      </c>
      <c r="B1198">
        <v>3470850</v>
      </c>
      <c r="C1198" s="32">
        <v>43070.054178240738</v>
      </c>
    </row>
    <row r="1199" spans="1:3">
      <c r="A1199">
        <v>956393</v>
      </c>
      <c r="B1199">
        <v>4418144</v>
      </c>
      <c r="C1199" s="32">
        <v>43071.633726851855</v>
      </c>
    </row>
    <row r="1200" spans="1:3">
      <c r="A1200">
        <v>324071</v>
      </c>
      <c r="B1200">
        <v>982926</v>
      </c>
      <c r="C1200" s="32">
        <v>43071.379050925927</v>
      </c>
    </row>
    <row r="1201" spans="1:3">
      <c r="A1201">
        <v>960830</v>
      </c>
      <c r="B1201">
        <v>4756105</v>
      </c>
      <c r="C1201" s="32">
        <v>43069.679398148146</v>
      </c>
    </row>
    <row r="1202" spans="1:3">
      <c r="A1202">
        <v>10618</v>
      </c>
      <c r="B1202">
        <v>2735466</v>
      </c>
      <c r="C1202" s="32">
        <v>43070.652962962966</v>
      </c>
    </row>
    <row r="1203" spans="1:3">
      <c r="A1203">
        <v>829288</v>
      </c>
      <c r="B1203">
        <v>1277731</v>
      </c>
      <c r="C1203" s="32">
        <v>43070.537569444445</v>
      </c>
    </row>
    <row r="1204" spans="1:3">
      <c r="A1204">
        <v>16384</v>
      </c>
      <c r="B1204">
        <v>982926</v>
      </c>
      <c r="C1204" s="32">
        <v>43071.168055555558</v>
      </c>
    </row>
    <row r="1205" spans="1:3">
      <c r="A1205">
        <v>525863</v>
      </c>
      <c r="B1205">
        <v>4145813</v>
      </c>
      <c r="C1205" s="32">
        <v>43071.454398148147</v>
      </c>
    </row>
    <row r="1206" spans="1:3">
      <c r="A1206">
        <v>453406</v>
      </c>
      <c r="B1206">
        <v>4756105</v>
      </c>
      <c r="C1206" s="32">
        <v>43071.209201388891</v>
      </c>
    </row>
    <row r="1207" spans="1:3">
      <c r="A1207">
        <v>816967</v>
      </c>
      <c r="B1207">
        <v>4801426</v>
      </c>
      <c r="C1207" s="32">
        <v>43070.503888888888</v>
      </c>
    </row>
    <row r="1208" spans="1:3">
      <c r="A1208">
        <v>725536</v>
      </c>
      <c r="B1208">
        <v>1464116</v>
      </c>
      <c r="C1208" s="32">
        <v>43070.542395833334</v>
      </c>
    </row>
    <row r="1209" spans="1:3">
      <c r="A1209">
        <v>1013670</v>
      </c>
      <c r="B1209">
        <v>3898483</v>
      </c>
      <c r="C1209" s="32">
        <v>43071.345057870371</v>
      </c>
    </row>
    <row r="1210" spans="1:3">
      <c r="A1210">
        <v>539188</v>
      </c>
      <c r="B1210">
        <v>4284875</v>
      </c>
      <c r="C1210" s="32">
        <v>43070.057187500002</v>
      </c>
    </row>
    <row r="1211" spans="1:3">
      <c r="A1211">
        <v>606937</v>
      </c>
      <c r="B1211">
        <v>1464116</v>
      </c>
      <c r="C1211" s="32">
        <v>43072.182349537034</v>
      </c>
    </row>
    <row r="1212" spans="1:3">
      <c r="A1212">
        <v>987326</v>
      </c>
      <c r="B1212">
        <v>1884322</v>
      </c>
      <c r="C1212" s="32">
        <v>43071.083680555559</v>
      </c>
    </row>
    <row r="1213" spans="1:3">
      <c r="A1213">
        <v>544765</v>
      </c>
      <c r="B1213">
        <v>411153</v>
      </c>
      <c r="C1213" s="32">
        <v>43071.618344907409</v>
      </c>
    </row>
    <row r="1214" spans="1:3">
      <c r="A1214">
        <v>464369</v>
      </c>
      <c r="B1214">
        <v>4731191</v>
      </c>
      <c r="C1214" s="32">
        <v>43072.48101851852</v>
      </c>
    </row>
    <row r="1215" spans="1:3">
      <c r="A1215">
        <v>734437</v>
      </c>
      <c r="B1215">
        <v>2885642</v>
      </c>
      <c r="C1215" s="32">
        <v>43071.623611111114</v>
      </c>
    </row>
    <row r="1216" spans="1:3">
      <c r="A1216">
        <v>732276</v>
      </c>
      <c r="B1216">
        <v>1879194</v>
      </c>
      <c r="C1216" s="32">
        <v>43071.547303240739</v>
      </c>
    </row>
    <row r="1217" spans="1:3">
      <c r="A1217">
        <v>92839</v>
      </c>
      <c r="B1217">
        <v>1320293</v>
      </c>
      <c r="C1217" s="32">
        <v>43072.612939814811</v>
      </c>
    </row>
    <row r="1218" spans="1:3">
      <c r="A1218">
        <v>539397</v>
      </c>
      <c r="B1218">
        <v>267209</v>
      </c>
      <c r="C1218" s="32">
        <v>43070.992673611108</v>
      </c>
    </row>
    <row r="1219" spans="1:3">
      <c r="A1219">
        <v>513020</v>
      </c>
      <c r="B1219">
        <v>149192</v>
      </c>
      <c r="C1219" s="32">
        <v>43070.000138888892</v>
      </c>
    </row>
    <row r="1220" spans="1:3">
      <c r="A1220">
        <v>567427</v>
      </c>
      <c r="B1220">
        <v>965809</v>
      </c>
      <c r="C1220" s="32">
        <v>43070.500393518516</v>
      </c>
    </row>
    <row r="1221" spans="1:3">
      <c r="A1221">
        <v>367391</v>
      </c>
      <c r="B1221">
        <v>4357323</v>
      </c>
      <c r="C1221" s="32">
        <v>43070.159907407404</v>
      </c>
    </row>
    <row r="1222" spans="1:3">
      <c r="A1222">
        <v>123973</v>
      </c>
      <c r="B1222">
        <v>4339722</v>
      </c>
      <c r="C1222" s="32">
        <v>43072.313692129632</v>
      </c>
    </row>
    <row r="1223" spans="1:3">
      <c r="A1223">
        <v>294352</v>
      </c>
      <c r="B1223">
        <v>4756105</v>
      </c>
      <c r="C1223" s="32">
        <v>43072.467870370368</v>
      </c>
    </row>
    <row r="1224" spans="1:3">
      <c r="A1224">
        <v>319829</v>
      </c>
      <c r="B1224">
        <v>2096639</v>
      </c>
      <c r="C1224" s="32">
        <v>43072.521944444445</v>
      </c>
    </row>
    <row r="1225" spans="1:3">
      <c r="A1225">
        <v>905833</v>
      </c>
      <c r="B1225">
        <v>2520771</v>
      </c>
      <c r="C1225" s="32">
        <v>43071.514351851853</v>
      </c>
    </row>
    <row r="1226" spans="1:3">
      <c r="A1226">
        <v>42939</v>
      </c>
      <c r="B1226">
        <v>4756105</v>
      </c>
      <c r="C1226" s="32">
        <v>43071.615763888891</v>
      </c>
    </row>
    <row r="1227" spans="1:3">
      <c r="A1227">
        <v>640428</v>
      </c>
      <c r="B1227">
        <v>2016952</v>
      </c>
      <c r="C1227" s="32">
        <v>43071.270381944443</v>
      </c>
    </row>
    <row r="1228" spans="1:3">
      <c r="A1228">
        <v>427793</v>
      </c>
      <c r="B1228">
        <v>2465336</v>
      </c>
      <c r="C1228" s="32">
        <v>43071.128020833334</v>
      </c>
    </row>
    <row r="1229" spans="1:3">
      <c r="A1229">
        <v>522900</v>
      </c>
      <c r="B1229">
        <v>384755</v>
      </c>
      <c r="C1229" s="32">
        <v>43072.396817129629</v>
      </c>
    </row>
    <row r="1230" spans="1:3">
      <c r="A1230">
        <v>815413</v>
      </c>
      <c r="B1230">
        <v>1693998</v>
      </c>
      <c r="C1230" s="32">
        <v>43070.590081018519</v>
      </c>
    </row>
    <row r="1231" spans="1:3">
      <c r="A1231">
        <v>755884</v>
      </c>
      <c r="B1231">
        <v>4756105</v>
      </c>
      <c r="C1231" s="32">
        <v>43072.44494212963</v>
      </c>
    </row>
    <row r="1232" spans="1:3">
      <c r="A1232">
        <v>895543</v>
      </c>
      <c r="B1232">
        <v>411153</v>
      </c>
      <c r="C1232" s="32">
        <v>43071.272430555553</v>
      </c>
    </row>
    <row r="1233" spans="1:3">
      <c r="A1233">
        <v>112480</v>
      </c>
      <c r="B1233">
        <v>3607361</v>
      </c>
      <c r="C1233" s="32">
        <v>43070.605081018519</v>
      </c>
    </row>
    <row r="1234" spans="1:3">
      <c r="A1234">
        <v>889184</v>
      </c>
      <c r="B1234">
        <v>4756105</v>
      </c>
      <c r="C1234" s="32">
        <v>43072.397546296299</v>
      </c>
    </row>
    <row r="1235" spans="1:3">
      <c r="A1235">
        <v>72283</v>
      </c>
      <c r="B1235">
        <v>4756105</v>
      </c>
      <c r="C1235" s="32">
        <v>43070.641134259262</v>
      </c>
    </row>
    <row r="1236" spans="1:3">
      <c r="A1236">
        <v>508158</v>
      </c>
      <c r="B1236">
        <v>4358294</v>
      </c>
      <c r="C1236" s="32">
        <v>43072.481539351851</v>
      </c>
    </row>
    <row r="1237" spans="1:3">
      <c r="A1237">
        <v>327483</v>
      </c>
      <c r="B1237">
        <v>5053508</v>
      </c>
      <c r="C1237" s="32">
        <v>43071.422835648147</v>
      </c>
    </row>
    <row r="1238" spans="1:3">
      <c r="A1238">
        <v>570359</v>
      </c>
      <c r="B1238">
        <v>3002561</v>
      </c>
      <c r="C1238" s="32">
        <v>43071.721064814818</v>
      </c>
    </row>
    <row r="1239" spans="1:3">
      <c r="A1239">
        <v>17031</v>
      </c>
      <c r="B1239">
        <v>1320293</v>
      </c>
      <c r="C1239" s="32">
        <v>43072.575960648152</v>
      </c>
    </row>
    <row r="1240" spans="1:3">
      <c r="A1240">
        <v>483768</v>
      </c>
      <c r="B1240">
        <v>3738615</v>
      </c>
      <c r="C1240" s="32">
        <v>43072.377893518518</v>
      </c>
    </row>
    <row r="1241" spans="1:3">
      <c r="A1241">
        <v>106402</v>
      </c>
      <c r="B1241">
        <v>2640118</v>
      </c>
      <c r="C1241" s="32">
        <v>43072.619270833333</v>
      </c>
    </row>
    <row r="1242" spans="1:3">
      <c r="A1242">
        <v>230601</v>
      </c>
      <c r="B1242">
        <v>3738615</v>
      </c>
      <c r="C1242" s="32">
        <v>43072.567789351851</v>
      </c>
    </row>
    <row r="1243" spans="1:3">
      <c r="A1243">
        <v>467253</v>
      </c>
      <c r="B1243">
        <v>4145813</v>
      </c>
      <c r="C1243" s="32">
        <v>43070.629236111112</v>
      </c>
    </row>
    <row r="1244" spans="1:3">
      <c r="A1244">
        <v>799936</v>
      </c>
      <c r="B1244">
        <v>4145813</v>
      </c>
      <c r="C1244" s="32">
        <v>43069.76971064815</v>
      </c>
    </row>
    <row r="1245" spans="1:3">
      <c r="A1245">
        <v>579991</v>
      </c>
      <c r="B1245">
        <v>1299190</v>
      </c>
      <c r="C1245" s="32">
        <v>43071.516342592593</v>
      </c>
    </row>
    <row r="1246" spans="1:3">
      <c r="A1246">
        <v>317489</v>
      </c>
      <c r="B1246">
        <v>4244487</v>
      </c>
      <c r="C1246" s="32">
        <v>43070.530763888892</v>
      </c>
    </row>
    <row r="1247" spans="1:3">
      <c r="A1247">
        <v>618315</v>
      </c>
      <c r="B1247">
        <v>4145813</v>
      </c>
      <c r="C1247" s="32">
        <v>43071.556840277779</v>
      </c>
    </row>
    <row r="1248" spans="1:3">
      <c r="A1248">
        <v>102152</v>
      </c>
      <c r="B1248">
        <v>2735466</v>
      </c>
      <c r="C1248" s="32">
        <v>43072.427951388891</v>
      </c>
    </row>
    <row r="1249" spans="1:3">
      <c r="A1249">
        <v>541024</v>
      </c>
      <c r="B1249">
        <v>982926</v>
      </c>
      <c r="C1249" s="32">
        <v>43072.202280092592</v>
      </c>
    </row>
    <row r="1250" spans="1:3">
      <c r="A1250">
        <v>236368</v>
      </c>
      <c r="B1250">
        <v>4159072</v>
      </c>
      <c r="C1250" s="32">
        <v>43069.738483796296</v>
      </c>
    </row>
    <row r="1251" spans="1:3">
      <c r="A1251">
        <v>878640</v>
      </c>
      <c r="B1251">
        <v>2885642</v>
      </c>
      <c r="C1251" s="32">
        <v>43071.607314814813</v>
      </c>
    </row>
    <row r="1252" spans="1:3">
      <c r="A1252">
        <v>837687</v>
      </c>
      <c r="B1252">
        <v>781315</v>
      </c>
      <c r="C1252" s="32">
        <v>43070.722395833334</v>
      </c>
    </row>
    <row r="1253" spans="1:3">
      <c r="A1253">
        <v>668537</v>
      </c>
      <c r="B1253">
        <v>450901</v>
      </c>
      <c r="C1253" s="32">
        <v>43070.726956018516</v>
      </c>
    </row>
    <row r="1254" spans="1:3">
      <c r="A1254">
        <v>726131</v>
      </c>
      <c r="B1254">
        <v>2520377</v>
      </c>
      <c r="C1254" s="32">
        <v>43072.622245370374</v>
      </c>
    </row>
    <row r="1255" spans="1:3">
      <c r="A1255">
        <v>143256</v>
      </c>
      <c r="B1255">
        <v>941949</v>
      </c>
      <c r="C1255" s="32">
        <v>43070.556076388886</v>
      </c>
    </row>
    <row r="1256" spans="1:3">
      <c r="A1256">
        <v>277103</v>
      </c>
      <c r="B1256">
        <v>1893541</v>
      </c>
      <c r="C1256" s="32">
        <v>43071.389178240737</v>
      </c>
    </row>
    <row r="1257" spans="1:3">
      <c r="A1257">
        <v>612313</v>
      </c>
      <c r="B1257">
        <v>1320293</v>
      </c>
      <c r="C1257" s="32">
        <v>43070.301793981482</v>
      </c>
    </row>
    <row r="1258" spans="1:3">
      <c r="A1258">
        <v>502497</v>
      </c>
      <c r="B1258">
        <v>238434</v>
      </c>
      <c r="C1258" s="32">
        <v>43072.62427083333</v>
      </c>
    </row>
    <row r="1259" spans="1:3">
      <c r="A1259">
        <v>494637</v>
      </c>
      <c r="B1259">
        <v>2520771</v>
      </c>
      <c r="C1259" s="32">
        <v>43071.559583333335</v>
      </c>
    </row>
    <row r="1260" spans="1:3">
      <c r="A1260">
        <v>573707</v>
      </c>
      <c r="B1260">
        <v>903809</v>
      </c>
      <c r="C1260" s="32">
        <v>43070.682986111111</v>
      </c>
    </row>
    <row r="1261" spans="1:3">
      <c r="A1261">
        <v>49330</v>
      </c>
      <c r="B1261">
        <v>4756105</v>
      </c>
      <c r="C1261" s="32">
        <v>43071.761157407411</v>
      </c>
    </row>
    <row r="1262" spans="1:3">
      <c r="A1262">
        <v>499128</v>
      </c>
      <c r="B1262">
        <v>739426</v>
      </c>
      <c r="C1262" s="32">
        <v>43071.134143518517</v>
      </c>
    </row>
    <row r="1263" spans="1:3">
      <c r="A1263">
        <v>500919</v>
      </c>
      <c r="B1263">
        <v>3607361</v>
      </c>
      <c r="C1263" s="32">
        <v>43072.605717592596</v>
      </c>
    </row>
    <row r="1264" spans="1:3">
      <c r="A1264">
        <v>581758</v>
      </c>
      <c r="B1264">
        <v>4145813</v>
      </c>
      <c r="C1264" s="32">
        <v>43070.631921296299</v>
      </c>
    </row>
    <row r="1265" spans="1:3">
      <c r="A1265">
        <v>984671</v>
      </c>
      <c r="B1265">
        <v>2465336</v>
      </c>
      <c r="C1265" s="32">
        <v>43070.286539351851</v>
      </c>
    </row>
    <row r="1266" spans="1:3">
      <c r="A1266">
        <v>38375</v>
      </c>
      <c r="B1266">
        <v>4181361</v>
      </c>
      <c r="C1266" s="32">
        <v>43072.616851851853</v>
      </c>
    </row>
    <row r="1267" spans="1:3">
      <c r="A1267">
        <v>133110</v>
      </c>
      <c r="B1267">
        <v>2465336</v>
      </c>
      <c r="C1267" s="32">
        <v>43071.395231481481</v>
      </c>
    </row>
    <row r="1268" spans="1:3">
      <c r="A1268">
        <v>914885</v>
      </c>
      <c r="B1268">
        <v>4801426</v>
      </c>
      <c r="C1268" s="32">
        <v>43071.693611111114</v>
      </c>
    </row>
    <row r="1269" spans="1:3">
      <c r="A1269">
        <v>685712</v>
      </c>
      <c r="B1269">
        <v>2885642</v>
      </c>
      <c r="C1269" s="32">
        <v>43071.568541666667</v>
      </c>
    </row>
    <row r="1270" spans="1:3">
      <c r="A1270">
        <v>211886</v>
      </c>
      <c r="B1270">
        <v>3002561</v>
      </c>
      <c r="C1270" s="32">
        <v>43069.753981481481</v>
      </c>
    </row>
    <row r="1271" spans="1:3">
      <c r="A1271">
        <v>128236</v>
      </c>
      <c r="B1271">
        <v>4217906</v>
      </c>
      <c r="C1271" s="32">
        <v>43071.153831018521</v>
      </c>
    </row>
    <row r="1272" spans="1:3">
      <c r="A1272">
        <v>750178</v>
      </c>
      <c r="B1272">
        <v>982926</v>
      </c>
      <c r="C1272" s="32">
        <v>43072.567731481482</v>
      </c>
    </row>
    <row r="1273" spans="1:3">
      <c r="A1273">
        <v>404257</v>
      </c>
      <c r="B1273">
        <v>3171095</v>
      </c>
      <c r="C1273" s="32">
        <v>43072.426527777781</v>
      </c>
    </row>
    <row r="1274" spans="1:3">
      <c r="A1274">
        <v>944709</v>
      </c>
      <c r="B1274">
        <v>2465336</v>
      </c>
      <c r="C1274" s="32">
        <v>43072.286261574074</v>
      </c>
    </row>
    <row r="1275" spans="1:3">
      <c r="A1275">
        <v>601467</v>
      </c>
      <c r="B1275">
        <v>4145813</v>
      </c>
      <c r="C1275" s="32">
        <v>43072.453923611109</v>
      </c>
    </row>
    <row r="1276" spans="1:3">
      <c r="A1276">
        <v>108822</v>
      </c>
      <c r="B1276">
        <v>1575622</v>
      </c>
      <c r="C1276" s="32">
        <v>43072.456111111111</v>
      </c>
    </row>
    <row r="1277" spans="1:3">
      <c r="A1277">
        <v>308807</v>
      </c>
      <c r="B1277">
        <v>1787510</v>
      </c>
      <c r="C1277" s="32">
        <v>43072.597071759257</v>
      </c>
    </row>
    <row r="1278" spans="1:3">
      <c r="A1278">
        <v>125188</v>
      </c>
      <c r="B1278">
        <v>4756105</v>
      </c>
      <c r="C1278" s="32">
        <v>43070.36613425926</v>
      </c>
    </row>
    <row r="1279" spans="1:3">
      <c r="A1279">
        <v>193672</v>
      </c>
      <c r="B1279">
        <v>1575622</v>
      </c>
      <c r="C1279" s="32">
        <v>43071.149768518517</v>
      </c>
    </row>
    <row r="1280" spans="1:3">
      <c r="A1280">
        <v>187860</v>
      </c>
      <c r="B1280">
        <v>4756105</v>
      </c>
      <c r="C1280" s="32">
        <v>43070.325486111113</v>
      </c>
    </row>
    <row r="1281" spans="1:3">
      <c r="A1281">
        <v>189561</v>
      </c>
      <c r="B1281">
        <v>381850</v>
      </c>
      <c r="C1281" s="32">
        <v>43070.693807870368</v>
      </c>
    </row>
    <row r="1282" spans="1:3">
      <c r="A1282">
        <v>819671</v>
      </c>
      <c r="B1282">
        <v>570735</v>
      </c>
      <c r="C1282" s="32">
        <v>43072.377476851849</v>
      </c>
    </row>
    <row r="1283" spans="1:3">
      <c r="A1283">
        <v>157763</v>
      </c>
      <c r="B1283">
        <v>1859277</v>
      </c>
      <c r="C1283" s="32">
        <v>43072.604548611111</v>
      </c>
    </row>
    <row r="1284" spans="1:3">
      <c r="A1284">
        <v>116593</v>
      </c>
      <c r="B1284">
        <v>4217906</v>
      </c>
      <c r="C1284" s="32">
        <v>43071.007349537038</v>
      </c>
    </row>
    <row r="1285" spans="1:3">
      <c r="A1285">
        <v>343227</v>
      </c>
      <c r="B1285">
        <v>4756105</v>
      </c>
      <c r="C1285" s="32">
        <v>43072.014618055553</v>
      </c>
    </row>
    <row r="1286" spans="1:3">
      <c r="A1286">
        <v>454075</v>
      </c>
      <c r="B1286">
        <v>2296439</v>
      </c>
      <c r="C1286" s="32">
        <v>43070.592407407406</v>
      </c>
    </row>
    <row r="1287" spans="1:3">
      <c r="A1287">
        <v>594080</v>
      </c>
      <c r="B1287">
        <v>1154246</v>
      </c>
      <c r="C1287" s="32">
        <v>43070.051851851851</v>
      </c>
    </row>
    <row r="1288" spans="1:3">
      <c r="A1288">
        <v>493290</v>
      </c>
      <c r="B1288">
        <v>4801426</v>
      </c>
      <c r="C1288" s="32">
        <v>43071.70921296296</v>
      </c>
    </row>
    <row r="1289" spans="1:3">
      <c r="A1289">
        <v>456203</v>
      </c>
      <c r="B1289">
        <v>4145813</v>
      </c>
      <c r="C1289" s="32">
        <v>43071.609027777777</v>
      </c>
    </row>
    <row r="1290" spans="1:3">
      <c r="A1290">
        <v>875897</v>
      </c>
      <c r="B1290">
        <v>982926</v>
      </c>
      <c r="C1290" s="32">
        <v>43072.289085648146</v>
      </c>
    </row>
    <row r="1291" spans="1:3">
      <c r="A1291">
        <v>891641</v>
      </c>
      <c r="B1291">
        <v>235534</v>
      </c>
      <c r="C1291" s="32">
        <v>43071.613680555558</v>
      </c>
    </row>
    <row r="1292" spans="1:3">
      <c r="A1292">
        <v>909803</v>
      </c>
      <c r="B1292">
        <v>3607361</v>
      </c>
      <c r="C1292" s="32">
        <v>43072.615868055553</v>
      </c>
    </row>
    <row r="1293" spans="1:3">
      <c r="A1293">
        <v>608651</v>
      </c>
      <c r="B1293">
        <v>982926</v>
      </c>
      <c r="C1293" s="32">
        <v>43070.590601851851</v>
      </c>
    </row>
    <row r="1294" spans="1:3">
      <c r="A1294">
        <v>648624</v>
      </c>
      <c r="B1294">
        <v>450901</v>
      </c>
      <c r="C1294" s="32">
        <v>43071.641180555554</v>
      </c>
    </row>
    <row r="1295" spans="1:3">
      <c r="A1295">
        <v>410861</v>
      </c>
      <c r="B1295">
        <v>3738615</v>
      </c>
      <c r="C1295" s="32">
        <v>43070.230844907404</v>
      </c>
    </row>
    <row r="1296" spans="1:3">
      <c r="A1296">
        <v>131665</v>
      </c>
      <c r="B1296">
        <v>4789674</v>
      </c>
      <c r="C1296" s="32">
        <v>43070.624652777777</v>
      </c>
    </row>
    <row r="1297" spans="1:3">
      <c r="A1297">
        <v>506639</v>
      </c>
      <c r="B1297">
        <v>4606718</v>
      </c>
      <c r="C1297" s="32">
        <v>43072.47210648148</v>
      </c>
    </row>
    <row r="1298" spans="1:3">
      <c r="A1298">
        <v>735516</v>
      </c>
      <c r="B1298">
        <v>3004853</v>
      </c>
      <c r="C1298" s="32">
        <v>43072.262997685182</v>
      </c>
    </row>
    <row r="1299" spans="1:3">
      <c r="A1299">
        <v>897897</v>
      </c>
      <c r="B1299">
        <v>4756105</v>
      </c>
      <c r="C1299" s="32">
        <v>43070.040833333333</v>
      </c>
    </row>
    <row r="1300" spans="1:3">
      <c r="A1300">
        <v>210239</v>
      </c>
      <c r="B1300">
        <v>3015852</v>
      </c>
      <c r="C1300" s="32">
        <v>43072.589074074072</v>
      </c>
    </row>
    <row r="1301" spans="1:3">
      <c r="A1301">
        <v>92326</v>
      </c>
      <c r="B1301">
        <v>1960675</v>
      </c>
      <c r="C1301" s="32">
        <v>43072.643368055556</v>
      </c>
    </row>
    <row r="1302" spans="1:3">
      <c r="A1302">
        <v>206033</v>
      </c>
      <c r="B1302">
        <v>4022701</v>
      </c>
      <c r="C1302" s="32">
        <v>43071.08421296296</v>
      </c>
    </row>
    <row r="1303" spans="1:3">
      <c r="A1303">
        <v>991961</v>
      </c>
      <c r="B1303">
        <v>4217906</v>
      </c>
      <c r="C1303" s="32">
        <v>43071.12740740741</v>
      </c>
    </row>
    <row r="1304" spans="1:3">
      <c r="A1304">
        <v>244009</v>
      </c>
      <c r="B1304">
        <v>3624696</v>
      </c>
      <c r="C1304" s="32">
        <v>43071.822997685187</v>
      </c>
    </row>
    <row r="1305" spans="1:3">
      <c r="A1305">
        <v>457666</v>
      </c>
      <c r="B1305">
        <v>3204345</v>
      </c>
      <c r="C1305" s="32">
        <v>43070.463101851848</v>
      </c>
    </row>
    <row r="1306" spans="1:3">
      <c r="A1306">
        <v>97220</v>
      </c>
      <c r="B1306">
        <v>2862133</v>
      </c>
      <c r="C1306" s="32">
        <v>43071.200856481482</v>
      </c>
    </row>
    <row r="1307" spans="1:3">
      <c r="A1307">
        <v>708646</v>
      </c>
      <c r="B1307">
        <v>5002819</v>
      </c>
      <c r="C1307" s="32">
        <v>43070.268645833334</v>
      </c>
    </row>
    <row r="1308" spans="1:3">
      <c r="A1308">
        <v>622377</v>
      </c>
      <c r="B1308">
        <v>1464116</v>
      </c>
      <c r="C1308" s="32">
        <v>43070.003425925926</v>
      </c>
    </row>
    <row r="1309" spans="1:3">
      <c r="A1309">
        <v>397008</v>
      </c>
      <c r="B1309">
        <v>4391936</v>
      </c>
      <c r="C1309" s="32">
        <v>43070.227719907409</v>
      </c>
    </row>
    <row r="1310" spans="1:3">
      <c r="A1310">
        <v>890553</v>
      </c>
      <c r="B1310">
        <v>1068933</v>
      </c>
      <c r="C1310" s="32">
        <v>43071.175995370373</v>
      </c>
    </row>
    <row r="1311" spans="1:3">
      <c r="A1311">
        <v>422785</v>
      </c>
      <c r="B1311">
        <v>1805756</v>
      </c>
      <c r="C1311" s="32">
        <v>43070.545451388891</v>
      </c>
    </row>
    <row r="1312" spans="1:3">
      <c r="A1312">
        <v>87361</v>
      </c>
      <c r="B1312">
        <v>4672807</v>
      </c>
      <c r="C1312" s="32">
        <v>43071.408414351848</v>
      </c>
    </row>
    <row r="1313" spans="1:3">
      <c r="A1313">
        <v>864823</v>
      </c>
      <c r="B1313">
        <v>4756105</v>
      </c>
      <c r="C1313" s="32">
        <v>43071.503900462965</v>
      </c>
    </row>
    <row r="1314" spans="1:3">
      <c r="A1314">
        <v>380115</v>
      </c>
      <c r="B1314">
        <v>4181361</v>
      </c>
      <c r="C1314" s="32">
        <v>43072.284444444442</v>
      </c>
    </row>
    <row r="1315" spans="1:3">
      <c r="A1315">
        <v>772148</v>
      </c>
      <c r="B1315">
        <v>384755</v>
      </c>
      <c r="C1315" s="32">
        <v>43072.334074074075</v>
      </c>
    </row>
    <row r="1316" spans="1:3">
      <c r="A1316">
        <v>128355</v>
      </c>
      <c r="B1316">
        <v>289692</v>
      </c>
      <c r="C1316" s="32">
        <v>43072.616574074076</v>
      </c>
    </row>
    <row r="1317" spans="1:3">
      <c r="A1317">
        <v>438256</v>
      </c>
      <c r="B1317">
        <v>4801426</v>
      </c>
      <c r="C1317" s="32">
        <v>43071.508391203701</v>
      </c>
    </row>
    <row r="1318" spans="1:3">
      <c r="A1318">
        <v>163099</v>
      </c>
      <c r="B1318">
        <v>3681810</v>
      </c>
      <c r="C1318" s="32">
        <v>43071.629745370374</v>
      </c>
    </row>
    <row r="1319" spans="1:3">
      <c r="A1319">
        <v>313207</v>
      </c>
      <c r="B1319">
        <v>3738615</v>
      </c>
      <c r="C1319" s="32">
        <v>43071.694178240738</v>
      </c>
    </row>
    <row r="1320" spans="1:3">
      <c r="A1320">
        <v>433417</v>
      </c>
      <c r="B1320">
        <v>4222240</v>
      </c>
      <c r="C1320" s="32">
        <v>43070.463425925926</v>
      </c>
    </row>
    <row r="1321" spans="1:3">
      <c r="A1321">
        <v>750265</v>
      </c>
      <c r="B1321">
        <v>570735</v>
      </c>
      <c r="C1321" s="32">
        <v>43071.196666666663</v>
      </c>
    </row>
    <row r="1322" spans="1:3">
      <c r="A1322">
        <v>607440</v>
      </c>
      <c r="B1322">
        <v>1080785</v>
      </c>
      <c r="C1322" s="32">
        <v>43072.088969907411</v>
      </c>
    </row>
    <row r="1323" spans="1:3">
      <c r="A1323">
        <v>484894</v>
      </c>
      <c r="B1323">
        <v>2702525</v>
      </c>
      <c r="C1323" s="32">
        <v>43071.689525462964</v>
      </c>
    </row>
    <row r="1324" spans="1:3">
      <c r="A1324">
        <v>643141</v>
      </c>
      <c r="B1324">
        <v>381850</v>
      </c>
      <c r="C1324" s="32">
        <v>43070.443287037036</v>
      </c>
    </row>
    <row r="1325" spans="1:3">
      <c r="A1325">
        <v>593604</v>
      </c>
      <c r="B1325">
        <v>4145813</v>
      </c>
      <c r="C1325" s="32">
        <v>43070.025138888886</v>
      </c>
    </row>
    <row r="1326" spans="1:3">
      <c r="A1326">
        <v>287144</v>
      </c>
      <c r="B1326">
        <v>341057</v>
      </c>
      <c r="C1326" s="32">
        <v>43069.845856481479</v>
      </c>
    </row>
    <row r="1327" spans="1:3">
      <c r="A1327">
        <v>917269</v>
      </c>
      <c r="B1327">
        <v>2465336</v>
      </c>
      <c r="C1327" s="32">
        <v>43071.73940972222</v>
      </c>
    </row>
    <row r="1328" spans="1:3">
      <c r="A1328">
        <v>220419</v>
      </c>
      <c r="B1328">
        <v>4690421</v>
      </c>
      <c r="C1328" s="32">
        <v>43072.341180555559</v>
      </c>
    </row>
    <row r="1329" spans="1:3">
      <c r="A1329">
        <v>821764</v>
      </c>
      <c r="B1329">
        <v>4756105</v>
      </c>
      <c r="C1329" s="32">
        <v>43070.431087962963</v>
      </c>
    </row>
    <row r="1330" spans="1:3">
      <c r="A1330">
        <v>754869</v>
      </c>
      <c r="B1330">
        <v>4339722</v>
      </c>
      <c r="C1330" s="32">
        <v>43070.396157407406</v>
      </c>
    </row>
    <row r="1331" spans="1:3">
      <c r="A1331">
        <v>437390</v>
      </c>
      <c r="B1331">
        <v>200278</v>
      </c>
      <c r="C1331" s="32">
        <v>43070.42659722222</v>
      </c>
    </row>
    <row r="1332" spans="1:3">
      <c r="A1332">
        <v>295587</v>
      </c>
      <c r="B1332">
        <v>154040</v>
      </c>
      <c r="C1332" s="32">
        <v>43071.264166666668</v>
      </c>
    </row>
    <row r="1333" spans="1:3">
      <c r="A1333">
        <v>98977</v>
      </c>
      <c r="B1333">
        <v>1464116</v>
      </c>
      <c r="C1333" s="32">
        <v>43071.537268518521</v>
      </c>
    </row>
    <row r="1334" spans="1:3">
      <c r="A1334">
        <v>114871</v>
      </c>
      <c r="B1334">
        <v>149192</v>
      </c>
      <c r="C1334" s="32">
        <v>43070.293622685182</v>
      </c>
    </row>
    <row r="1335" spans="1:3">
      <c r="A1335">
        <v>402861</v>
      </c>
      <c r="B1335">
        <v>2926020</v>
      </c>
      <c r="C1335" s="32">
        <v>43071.61959490741</v>
      </c>
    </row>
    <row r="1336" spans="1:3">
      <c r="A1336">
        <v>501847</v>
      </c>
      <c r="B1336">
        <v>1673021</v>
      </c>
      <c r="C1336" s="32">
        <v>43072.563020833331</v>
      </c>
    </row>
    <row r="1337" spans="1:3">
      <c r="A1337">
        <v>380217</v>
      </c>
      <c r="B1337">
        <v>570735</v>
      </c>
      <c r="C1337" s="32">
        <v>43071.072013888886</v>
      </c>
    </row>
    <row r="1338" spans="1:3">
      <c r="A1338">
        <v>179022</v>
      </c>
      <c r="B1338">
        <v>149192</v>
      </c>
      <c r="C1338" s="32">
        <v>43072.164027777777</v>
      </c>
    </row>
    <row r="1339" spans="1:3">
      <c r="A1339">
        <v>975590</v>
      </c>
      <c r="B1339">
        <v>2520377</v>
      </c>
      <c r="C1339" s="32">
        <v>43072.339895833335</v>
      </c>
    </row>
    <row r="1340" spans="1:3">
      <c r="A1340">
        <v>1016162</v>
      </c>
      <c r="B1340">
        <v>2640118</v>
      </c>
      <c r="C1340" s="32">
        <v>43070.569027777776</v>
      </c>
    </row>
    <row r="1341" spans="1:3">
      <c r="A1341">
        <v>103596</v>
      </c>
      <c r="B1341">
        <v>411153</v>
      </c>
      <c r="C1341" s="32">
        <v>43070.555231481485</v>
      </c>
    </row>
    <row r="1342" spans="1:3">
      <c r="A1342">
        <v>497642</v>
      </c>
      <c r="B1342">
        <v>1299190</v>
      </c>
      <c r="C1342" s="32">
        <v>43070.194131944445</v>
      </c>
    </row>
    <row r="1343" spans="1:3">
      <c r="A1343">
        <v>1001966</v>
      </c>
      <c r="B1343">
        <v>4576874</v>
      </c>
      <c r="C1343" s="32">
        <v>43072.00408564815</v>
      </c>
    </row>
    <row r="1344" spans="1:3">
      <c r="A1344">
        <v>514036</v>
      </c>
      <c r="B1344">
        <v>903809</v>
      </c>
      <c r="C1344" s="32">
        <v>43071.593148148146</v>
      </c>
    </row>
    <row r="1345" spans="1:3">
      <c r="A1345">
        <v>34755</v>
      </c>
      <c r="B1345">
        <v>2355072</v>
      </c>
      <c r="C1345" s="32">
        <v>43072.456307870372</v>
      </c>
    </row>
    <row r="1346" spans="1:3">
      <c r="A1346">
        <v>723081</v>
      </c>
      <c r="B1346">
        <v>982926</v>
      </c>
      <c r="C1346" s="32">
        <v>43071.668310185189</v>
      </c>
    </row>
    <row r="1347" spans="1:3">
      <c r="A1347">
        <v>867543</v>
      </c>
      <c r="B1347">
        <v>3702593</v>
      </c>
      <c r="C1347" s="32">
        <v>43072.608148148145</v>
      </c>
    </row>
    <row r="1348" spans="1:3">
      <c r="A1348">
        <v>97168</v>
      </c>
      <c r="B1348">
        <v>4974254</v>
      </c>
      <c r="C1348" s="32">
        <v>43072.651944444442</v>
      </c>
    </row>
    <row r="1349" spans="1:3">
      <c r="A1349">
        <v>664688</v>
      </c>
      <c r="B1349">
        <v>339124</v>
      </c>
      <c r="C1349" s="32">
        <v>43072.060289351852</v>
      </c>
    </row>
    <row r="1350" spans="1:3">
      <c r="A1350">
        <v>94044</v>
      </c>
      <c r="B1350">
        <v>383749</v>
      </c>
      <c r="C1350" s="32">
        <v>43071.512962962966</v>
      </c>
    </row>
    <row r="1351" spans="1:3">
      <c r="A1351">
        <v>512176</v>
      </c>
      <c r="B1351">
        <v>2157356</v>
      </c>
      <c r="C1351" s="32">
        <v>43071.03056712963</v>
      </c>
    </row>
    <row r="1352" spans="1:3">
      <c r="A1352">
        <v>912770</v>
      </c>
      <c r="B1352">
        <v>2355072</v>
      </c>
      <c r="C1352" s="32">
        <v>43072.505104166667</v>
      </c>
    </row>
    <row r="1353" spans="1:3">
      <c r="A1353">
        <v>755659</v>
      </c>
      <c r="B1353">
        <v>4756105</v>
      </c>
      <c r="C1353" s="32">
        <v>43071.589884259258</v>
      </c>
    </row>
    <row r="1354" spans="1:3">
      <c r="A1354">
        <v>318638</v>
      </c>
      <c r="B1354">
        <v>1464116</v>
      </c>
      <c r="C1354" s="32">
        <v>43072.55841435185</v>
      </c>
    </row>
    <row r="1355" spans="1:3">
      <c r="A1355">
        <v>973637</v>
      </c>
      <c r="B1355">
        <v>4756105</v>
      </c>
      <c r="C1355" s="32">
        <v>43072.513749999998</v>
      </c>
    </row>
    <row r="1356" spans="1:3">
      <c r="A1356">
        <v>797429</v>
      </c>
      <c r="B1356">
        <v>2355072</v>
      </c>
      <c r="C1356" s="32">
        <v>43071.973564814813</v>
      </c>
    </row>
    <row r="1357" spans="1:3">
      <c r="A1357">
        <v>135859</v>
      </c>
      <c r="B1357">
        <v>4756105</v>
      </c>
      <c r="C1357" s="32">
        <v>43070.058865740742</v>
      </c>
    </row>
    <row r="1358" spans="1:3">
      <c r="A1358">
        <v>288276</v>
      </c>
      <c r="B1358">
        <v>2355072</v>
      </c>
      <c r="C1358" s="32">
        <v>43071.091400462959</v>
      </c>
    </row>
    <row r="1359" spans="1:3">
      <c r="A1359">
        <v>413602</v>
      </c>
      <c r="B1359">
        <v>4197505</v>
      </c>
      <c r="C1359" s="32">
        <v>43072.254432870373</v>
      </c>
    </row>
    <row r="1360" spans="1:3">
      <c r="A1360">
        <v>97926</v>
      </c>
      <c r="B1360">
        <v>4908092</v>
      </c>
      <c r="C1360" s="32">
        <v>43072.441817129627</v>
      </c>
    </row>
    <row r="1361" spans="1:3">
      <c r="A1361">
        <v>109455</v>
      </c>
      <c r="B1361">
        <v>2572604</v>
      </c>
      <c r="C1361" s="32">
        <v>43070.667199074072</v>
      </c>
    </row>
    <row r="1362" spans="1:3">
      <c r="A1362">
        <v>921008</v>
      </c>
      <c r="B1362">
        <v>174239</v>
      </c>
      <c r="C1362" s="32">
        <v>43071.176458333335</v>
      </c>
    </row>
    <row r="1363" spans="1:3">
      <c r="A1363">
        <v>996751</v>
      </c>
      <c r="B1363">
        <v>4357323</v>
      </c>
      <c r="C1363" s="32">
        <v>43071.441967592589</v>
      </c>
    </row>
    <row r="1364" spans="1:3">
      <c r="A1364">
        <v>583825</v>
      </c>
      <c r="B1364">
        <v>4217906</v>
      </c>
      <c r="C1364" s="32">
        <v>43070.651122685187</v>
      </c>
    </row>
    <row r="1365" spans="1:3">
      <c r="A1365">
        <v>849910</v>
      </c>
      <c r="B1365">
        <v>4145813</v>
      </c>
      <c r="C1365" s="32">
        <v>43072.207337962966</v>
      </c>
    </row>
    <row r="1366" spans="1:3">
      <c r="A1366">
        <v>907911</v>
      </c>
      <c r="B1366">
        <v>2976589</v>
      </c>
      <c r="C1366" s="32">
        <v>43072.411168981482</v>
      </c>
    </row>
    <row r="1367" spans="1:3">
      <c r="A1367">
        <v>502194</v>
      </c>
      <c r="B1367">
        <v>2355072</v>
      </c>
      <c r="C1367" s="32">
        <v>43072.593402777777</v>
      </c>
    </row>
    <row r="1368" spans="1:3">
      <c r="A1368">
        <v>804164</v>
      </c>
      <c r="B1368">
        <v>4874384</v>
      </c>
      <c r="C1368" s="32">
        <v>43071.622523148151</v>
      </c>
    </row>
    <row r="1369" spans="1:3">
      <c r="A1369">
        <v>139119</v>
      </c>
      <c r="B1369">
        <v>4756105</v>
      </c>
      <c r="C1369" s="32">
        <v>43070.490740740737</v>
      </c>
    </row>
    <row r="1370" spans="1:3">
      <c r="A1370">
        <v>196569</v>
      </c>
      <c r="B1370">
        <v>3002561</v>
      </c>
      <c r="C1370" s="32">
        <v>43071.688645833332</v>
      </c>
    </row>
    <row r="1371" spans="1:3">
      <c r="A1371">
        <v>503358</v>
      </c>
      <c r="B1371">
        <v>2303546</v>
      </c>
      <c r="C1371" s="32">
        <v>43071.984166666669</v>
      </c>
    </row>
    <row r="1372" spans="1:3">
      <c r="A1372">
        <v>980734</v>
      </c>
      <c r="B1372">
        <v>4145813</v>
      </c>
      <c r="C1372" s="32">
        <v>43071.137523148151</v>
      </c>
    </row>
    <row r="1373" spans="1:3">
      <c r="A1373">
        <v>253490</v>
      </c>
      <c r="B1373">
        <v>238434</v>
      </c>
      <c r="C1373" s="32">
        <v>43072.641956018517</v>
      </c>
    </row>
    <row r="1374" spans="1:3">
      <c r="A1374">
        <v>347984</v>
      </c>
      <c r="B1374">
        <v>3913141</v>
      </c>
      <c r="C1374" s="32">
        <v>43070.546446759261</v>
      </c>
    </row>
    <row r="1375" spans="1:3">
      <c r="A1375">
        <v>766955</v>
      </c>
      <c r="B1375">
        <v>2640118</v>
      </c>
      <c r="C1375" s="32">
        <v>43069.699907407405</v>
      </c>
    </row>
    <row r="1376" spans="1:3">
      <c r="A1376">
        <v>782660</v>
      </c>
      <c r="B1376">
        <v>3004853</v>
      </c>
      <c r="C1376" s="32">
        <v>43072.38082175926</v>
      </c>
    </row>
    <row r="1377" spans="1:3">
      <c r="A1377">
        <v>489831</v>
      </c>
      <c r="B1377">
        <v>4723214</v>
      </c>
      <c r="C1377" s="32">
        <v>43071.254120370373</v>
      </c>
    </row>
    <row r="1378" spans="1:3">
      <c r="A1378">
        <v>622833</v>
      </c>
      <c r="B1378">
        <v>4217906</v>
      </c>
      <c r="C1378" s="32">
        <v>43071.265497685185</v>
      </c>
    </row>
    <row r="1379" spans="1:3">
      <c r="A1379">
        <v>823205</v>
      </c>
      <c r="B1379">
        <v>4512393</v>
      </c>
      <c r="C1379" s="32">
        <v>43071.476504629631</v>
      </c>
    </row>
    <row r="1380" spans="1:3">
      <c r="A1380">
        <v>14251</v>
      </c>
      <c r="B1380">
        <v>2578647</v>
      </c>
      <c r="C1380" s="32">
        <v>43072.542800925927</v>
      </c>
    </row>
    <row r="1381" spans="1:3">
      <c r="A1381">
        <v>350824</v>
      </c>
      <c r="B1381">
        <v>4756105</v>
      </c>
      <c r="C1381" s="32">
        <v>43072.565358796295</v>
      </c>
    </row>
    <row r="1382" spans="1:3">
      <c r="A1382">
        <v>631069</v>
      </c>
      <c r="B1382">
        <v>4662072</v>
      </c>
      <c r="C1382" s="32">
        <v>43070.610266203701</v>
      </c>
    </row>
    <row r="1383" spans="1:3">
      <c r="A1383">
        <v>34132</v>
      </c>
      <c r="B1383">
        <v>1829221</v>
      </c>
      <c r="C1383" s="32">
        <v>43070.613749999997</v>
      </c>
    </row>
    <row r="1384" spans="1:3">
      <c r="A1384">
        <v>915632</v>
      </c>
      <c r="B1384">
        <v>3674154</v>
      </c>
      <c r="C1384" s="32">
        <v>43072.598645833335</v>
      </c>
    </row>
    <row r="1385" spans="1:3">
      <c r="A1385">
        <v>756566</v>
      </c>
      <c r="B1385">
        <v>5071267</v>
      </c>
      <c r="C1385" s="32">
        <v>43070.615856481483</v>
      </c>
    </row>
    <row r="1386" spans="1:3">
      <c r="A1386">
        <v>199674</v>
      </c>
      <c r="B1386">
        <v>5048062</v>
      </c>
      <c r="C1386" s="32">
        <v>43072.068252314813</v>
      </c>
    </row>
    <row r="1387" spans="1:3">
      <c r="A1387">
        <v>937196</v>
      </c>
      <c r="B1387">
        <v>1994940</v>
      </c>
      <c r="C1387" s="32">
        <v>43070.594594907408</v>
      </c>
    </row>
    <row r="1388" spans="1:3">
      <c r="A1388">
        <v>997461</v>
      </c>
      <c r="B1388">
        <v>2578647</v>
      </c>
      <c r="C1388" s="32">
        <v>43071.007303240738</v>
      </c>
    </row>
    <row r="1389" spans="1:3">
      <c r="A1389">
        <v>124881</v>
      </c>
      <c r="B1389">
        <v>4181361</v>
      </c>
      <c r="C1389" s="32">
        <v>43071.07675925926</v>
      </c>
    </row>
    <row r="1390" spans="1:3">
      <c r="A1390">
        <v>108623</v>
      </c>
      <c r="B1390">
        <v>4719814</v>
      </c>
      <c r="C1390" s="32">
        <v>43072.62395833333</v>
      </c>
    </row>
    <row r="1391" spans="1:3">
      <c r="A1391">
        <v>786238</v>
      </c>
      <c r="B1391">
        <v>880704</v>
      </c>
      <c r="C1391" s="32">
        <v>43071.384212962963</v>
      </c>
    </row>
    <row r="1392" spans="1:3">
      <c r="A1392">
        <v>46187</v>
      </c>
      <c r="B1392">
        <v>4602841</v>
      </c>
      <c r="C1392" s="32">
        <v>43071.157094907408</v>
      </c>
    </row>
    <row r="1393" spans="1:3">
      <c r="A1393">
        <v>147865</v>
      </c>
      <c r="B1393">
        <v>570735</v>
      </c>
      <c r="C1393" s="32">
        <v>43072.266770833332</v>
      </c>
    </row>
    <row r="1394" spans="1:3">
      <c r="A1394">
        <v>347899</v>
      </c>
      <c r="B1394">
        <v>3002561</v>
      </c>
      <c r="C1394" s="32">
        <v>43072.422615740739</v>
      </c>
    </row>
    <row r="1395" spans="1:3">
      <c r="A1395">
        <v>241859</v>
      </c>
      <c r="B1395">
        <v>982926</v>
      </c>
      <c r="C1395" s="32">
        <v>43071.398263888892</v>
      </c>
    </row>
    <row r="1396" spans="1:3">
      <c r="A1396">
        <v>608513</v>
      </c>
      <c r="B1396">
        <v>2495340</v>
      </c>
      <c r="C1396" s="32">
        <v>43071.120706018519</v>
      </c>
    </row>
    <row r="1397" spans="1:3">
      <c r="A1397">
        <v>145622</v>
      </c>
      <c r="B1397">
        <v>2858794</v>
      </c>
      <c r="C1397" s="32">
        <v>43072.474606481483</v>
      </c>
    </row>
    <row r="1398" spans="1:3">
      <c r="A1398">
        <v>114894</v>
      </c>
      <c r="B1398">
        <v>4756105</v>
      </c>
      <c r="C1398" s="32">
        <v>43072.659618055557</v>
      </c>
    </row>
    <row r="1399" spans="1:3">
      <c r="A1399">
        <v>581920</v>
      </c>
      <c r="B1399">
        <v>1320293</v>
      </c>
      <c r="C1399" s="32">
        <v>43072.598113425927</v>
      </c>
    </row>
    <row r="1400" spans="1:3">
      <c r="A1400">
        <v>987795</v>
      </c>
      <c r="B1400">
        <v>4181361</v>
      </c>
      <c r="C1400" s="32">
        <v>43072.574699074074</v>
      </c>
    </row>
    <row r="1401" spans="1:3">
      <c r="A1401">
        <v>23975</v>
      </c>
      <c r="B1401">
        <v>2578647</v>
      </c>
      <c r="C1401" s="32">
        <v>43071.017997685187</v>
      </c>
    </row>
    <row r="1402" spans="1:3">
      <c r="A1402">
        <v>605289</v>
      </c>
      <c r="B1402">
        <v>512076</v>
      </c>
      <c r="C1402" s="32">
        <v>43071.100787037038</v>
      </c>
    </row>
    <row r="1403" spans="1:3">
      <c r="A1403">
        <v>828355</v>
      </c>
      <c r="B1403">
        <v>5071267</v>
      </c>
      <c r="C1403" s="32">
        <v>43072.381076388891</v>
      </c>
    </row>
    <row r="1404" spans="1:3">
      <c r="A1404">
        <v>543042</v>
      </c>
      <c r="B1404">
        <v>4801426</v>
      </c>
      <c r="C1404" s="32">
        <v>43072.361689814818</v>
      </c>
    </row>
    <row r="1405" spans="1:3">
      <c r="A1405">
        <v>928057</v>
      </c>
      <c r="B1405">
        <v>4901188</v>
      </c>
      <c r="C1405" s="32">
        <v>43072.508692129632</v>
      </c>
    </row>
    <row r="1406" spans="1:3">
      <c r="A1406">
        <v>966339</v>
      </c>
      <c r="B1406">
        <v>1729993</v>
      </c>
      <c r="C1406" s="32">
        <v>43071.222974537035</v>
      </c>
    </row>
    <row r="1407" spans="1:3">
      <c r="A1407">
        <v>175945</v>
      </c>
      <c r="B1407">
        <v>1275696</v>
      </c>
      <c r="C1407" s="32">
        <v>43072.600995370369</v>
      </c>
    </row>
    <row r="1408" spans="1:3">
      <c r="A1408">
        <v>373755</v>
      </c>
      <c r="B1408">
        <v>1397912</v>
      </c>
      <c r="C1408" s="32">
        <v>43071.565486111111</v>
      </c>
    </row>
    <row r="1409" spans="1:3">
      <c r="A1409">
        <v>518638</v>
      </c>
      <c r="B1409">
        <v>2982027</v>
      </c>
      <c r="C1409" s="32">
        <v>43072.656782407408</v>
      </c>
    </row>
    <row r="1410" spans="1:3">
      <c r="A1410">
        <v>504969</v>
      </c>
      <c r="B1410">
        <v>4756105</v>
      </c>
      <c r="C1410" s="32">
        <v>43072.642800925925</v>
      </c>
    </row>
    <row r="1411" spans="1:3">
      <c r="A1411">
        <v>528923</v>
      </c>
      <c r="B1411">
        <v>3736316</v>
      </c>
      <c r="C1411" s="32">
        <v>43070.937685185185</v>
      </c>
    </row>
    <row r="1412" spans="1:3">
      <c r="A1412">
        <v>670374</v>
      </c>
      <c r="B1412">
        <v>3607361</v>
      </c>
      <c r="C1412" s="32">
        <v>43072.079074074078</v>
      </c>
    </row>
    <row r="1413" spans="1:3">
      <c r="A1413">
        <v>719825</v>
      </c>
      <c r="B1413">
        <v>4756105</v>
      </c>
      <c r="C1413" s="32">
        <v>43072.204965277779</v>
      </c>
    </row>
    <row r="1414" spans="1:3">
      <c r="A1414">
        <v>774136</v>
      </c>
      <c r="B1414">
        <v>3378887</v>
      </c>
      <c r="C1414" s="32">
        <v>43070.596412037034</v>
      </c>
    </row>
    <row r="1415" spans="1:3">
      <c r="A1415">
        <v>823252</v>
      </c>
      <c r="B1415">
        <v>405755</v>
      </c>
      <c r="C1415" s="32">
        <v>43070.37127314815</v>
      </c>
    </row>
    <row r="1416" spans="1:3">
      <c r="A1416">
        <v>977084</v>
      </c>
      <c r="B1416">
        <v>1859277</v>
      </c>
      <c r="C1416" s="32">
        <v>43071.438194444447</v>
      </c>
    </row>
    <row r="1417" spans="1:3">
      <c r="A1417">
        <v>983593</v>
      </c>
      <c r="B1417">
        <v>1051370</v>
      </c>
      <c r="C1417" s="32">
        <v>43071.216145833336</v>
      </c>
    </row>
    <row r="1418" spans="1:3">
      <c r="A1418">
        <v>880104</v>
      </c>
      <c r="B1418">
        <v>2131531</v>
      </c>
      <c r="C1418" s="32">
        <v>43071.464143518519</v>
      </c>
    </row>
    <row r="1419" spans="1:3">
      <c r="A1419">
        <v>412371</v>
      </c>
      <c r="B1419">
        <v>2355072</v>
      </c>
      <c r="C1419" s="32">
        <v>43070.574432870373</v>
      </c>
    </row>
    <row r="1420" spans="1:3">
      <c r="A1420">
        <v>853564</v>
      </c>
      <c r="B1420">
        <v>425574</v>
      </c>
      <c r="C1420" s="32">
        <v>43072.361030092594</v>
      </c>
    </row>
    <row r="1421" spans="1:3">
      <c r="A1421">
        <v>671990</v>
      </c>
      <c r="B1421">
        <v>1464116</v>
      </c>
      <c r="C1421" s="32">
        <v>43070.213564814818</v>
      </c>
    </row>
    <row r="1422" spans="1:3">
      <c r="A1422">
        <v>97391</v>
      </c>
      <c r="B1422">
        <v>2926020</v>
      </c>
      <c r="C1422" s="32">
        <v>43071.240381944444</v>
      </c>
    </row>
    <row r="1423" spans="1:3">
      <c r="A1423">
        <v>177990</v>
      </c>
      <c r="B1423">
        <v>886203</v>
      </c>
      <c r="C1423" s="32">
        <v>43072.524629629632</v>
      </c>
    </row>
    <row r="1424" spans="1:3">
      <c r="A1424">
        <v>237789</v>
      </c>
      <c r="B1424">
        <v>267209</v>
      </c>
      <c r="C1424" s="32">
        <v>43070.436967592592</v>
      </c>
    </row>
    <row r="1425" spans="1:3">
      <c r="A1425">
        <v>578583</v>
      </c>
      <c r="B1425">
        <v>2644878</v>
      </c>
      <c r="C1425" s="32">
        <v>43069.680949074071</v>
      </c>
    </row>
    <row r="1426" spans="1:3">
      <c r="A1426">
        <v>594067</v>
      </c>
      <c r="B1426">
        <v>1464116</v>
      </c>
      <c r="C1426" s="32">
        <v>43071.511886574073</v>
      </c>
    </row>
    <row r="1427" spans="1:3">
      <c r="A1427">
        <v>429005</v>
      </c>
      <c r="B1427">
        <v>5062853</v>
      </c>
      <c r="C1427" s="32">
        <v>43069.833194444444</v>
      </c>
    </row>
    <row r="1428" spans="1:3">
      <c r="A1428">
        <v>908470</v>
      </c>
      <c r="B1428">
        <v>3645362</v>
      </c>
      <c r="C1428" s="32">
        <v>43072.191493055558</v>
      </c>
    </row>
    <row r="1429" spans="1:3">
      <c r="A1429">
        <v>428850</v>
      </c>
      <c r="B1429">
        <v>50601</v>
      </c>
      <c r="C1429" s="32">
        <v>43071.250138888892</v>
      </c>
    </row>
    <row r="1430" spans="1:3">
      <c r="A1430">
        <v>436904</v>
      </c>
      <c r="B1430">
        <v>2920476</v>
      </c>
      <c r="C1430" s="32">
        <v>43072.473912037036</v>
      </c>
    </row>
    <row r="1431" spans="1:3">
      <c r="A1431">
        <v>600414</v>
      </c>
      <c r="B1431">
        <v>4993094</v>
      </c>
      <c r="C1431" s="32">
        <v>43071.534513888888</v>
      </c>
    </row>
    <row r="1432" spans="1:3">
      <c r="A1432">
        <v>916410</v>
      </c>
      <c r="B1432">
        <v>2885642</v>
      </c>
      <c r="C1432" s="32">
        <v>43071.49417824074</v>
      </c>
    </row>
    <row r="1433" spans="1:3">
      <c r="A1433">
        <v>827591</v>
      </c>
      <c r="B1433">
        <v>3299155</v>
      </c>
      <c r="C1433" s="32">
        <v>43072.60665509259</v>
      </c>
    </row>
    <row r="1434" spans="1:3">
      <c r="A1434">
        <v>253484</v>
      </c>
      <c r="B1434">
        <v>3102419</v>
      </c>
      <c r="C1434" s="32">
        <v>43071.60052083333</v>
      </c>
    </row>
    <row r="1435" spans="1:3">
      <c r="A1435">
        <v>273248</v>
      </c>
      <c r="B1435">
        <v>2355072</v>
      </c>
      <c r="C1435" s="32">
        <v>43072.490682870368</v>
      </c>
    </row>
    <row r="1436" spans="1:3">
      <c r="A1436">
        <v>60635</v>
      </c>
      <c r="B1436">
        <v>1568197</v>
      </c>
      <c r="C1436" s="32">
        <v>43070.612129629626</v>
      </c>
    </row>
    <row r="1437" spans="1:3">
      <c r="A1437">
        <v>554128</v>
      </c>
      <c r="B1437">
        <v>1299190</v>
      </c>
      <c r="C1437" s="32">
        <v>43070.254317129627</v>
      </c>
    </row>
    <row r="1438" spans="1:3">
      <c r="A1438">
        <v>734201</v>
      </c>
      <c r="B1438">
        <v>1471163</v>
      </c>
      <c r="C1438" s="32">
        <v>43072.288703703707</v>
      </c>
    </row>
    <row r="1439" spans="1:3">
      <c r="A1439">
        <v>850422</v>
      </c>
      <c r="B1439">
        <v>2939262</v>
      </c>
      <c r="C1439" s="32">
        <v>43071.102071759262</v>
      </c>
    </row>
    <row r="1440" spans="1:3">
      <c r="A1440">
        <v>953309</v>
      </c>
      <c r="B1440">
        <v>4801426</v>
      </c>
      <c r="C1440" s="32">
        <v>43069.691527777781</v>
      </c>
    </row>
    <row r="1441" spans="1:3">
      <c r="A1441">
        <v>56111</v>
      </c>
      <c r="B1441">
        <v>1419417</v>
      </c>
      <c r="C1441" s="32">
        <v>43072.256296296298</v>
      </c>
    </row>
    <row r="1442" spans="1:3">
      <c r="A1442">
        <v>670976</v>
      </c>
      <c r="B1442">
        <v>4069500</v>
      </c>
      <c r="C1442" s="32">
        <v>43072.266828703701</v>
      </c>
    </row>
    <row r="1443" spans="1:3">
      <c r="A1443">
        <v>485405</v>
      </c>
      <c r="B1443">
        <v>2214984</v>
      </c>
      <c r="C1443" s="32">
        <v>43072.598738425928</v>
      </c>
    </row>
    <row r="1444" spans="1:3">
      <c r="A1444">
        <v>663355</v>
      </c>
      <c r="B1444">
        <v>3381583</v>
      </c>
      <c r="C1444" s="32">
        <v>43071.618310185186</v>
      </c>
    </row>
    <row r="1445" spans="1:3">
      <c r="A1445">
        <v>727654</v>
      </c>
      <c r="B1445">
        <v>1299190</v>
      </c>
      <c r="C1445" s="32">
        <v>43071.547222222223</v>
      </c>
    </row>
    <row r="1446" spans="1:3">
      <c r="A1446">
        <v>186518</v>
      </c>
      <c r="B1446">
        <v>982926</v>
      </c>
      <c r="C1446" s="32">
        <v>43071.390219907407</v>
      </c>
    </row>
    <row r="1447" spans="1:3">
      <c r="A1447">
        <v>918768</v>
      </c>
      <c r="B1447">
        <v>672001</v>
      </c>
      <c r="C1447" s="32">
        <v>43070.687164351853</v>
      </c>
    </row>
    <row r="1448" spans="1:3">
      <c r="A1448">
        <v>9047</v>
      </c>
      <c r="B1448">
        <v>2892802</v>
      </c>
      <c r="C1448" s="32">
        <v>43071.012326388889</v>
      </c>
    </row>
    <row r="1449" spans="1:3">
      <c r="A1449">
        <v>969670</v>
      </c>
      <c r="B1449">
        <v>1485951</v>
      </c>
      <c r="C1449" s="32">
        <v>43071.561365740738</v>
      </c>
    </row>
    <row r="1450" spans="1:3">
      <c r="A1450">
        <v>472403</v>
      </c>
      <c r="B1450">
        <v>2877672</v>
      </c>
      <c r="C1450" s="32">
        <v>43072.420474537037</v>
      </c>
    </row>
    <row r="1451" spans="1:3">
      <c r="A1451">
        <v>196714</v>
      </c>
      <c r="B1451">
        <v>4022701</v>
      </c>
      <c r="C1451" s="32">
        <v>43070.096122685187</v>
      </c>
    </row>
    <row r="1452" spans="1:3">
      <c r="A1452">
        <v>643525</v>
      </c>
      <c r="B1452">
        <v>4391936</v>
      </c>
      <c r="C1452" s="32">
        <v>43072.280462962961</v>
      </c>
    </row>
    <row r="1453" spans="1:3">
      <c r="A1453">
        <v>978904</v>
      </c>
      <c r="B1453">
        <v>3607361</v>
      </c>
      <c r="C1453" s="32">
        <v>43071.227997685186</v>
      </c>
    </row>
    <row r="1454" spans="1:3">
      <c r="A1454">
        <v>32558</v>
      </c>
      <c r="B1454">
        <v>4051859</v>
      </c>
      <c r="C1454" s="32">
        <v>43072.468206018515</v>
      </c>
    </row>
    <row r="1455" spans="1:3">
      <c r="A1455">
        <v>154802</v>
      </c>
      <c r="B1455">
        <v>4874384</v>
      </c>
      <c r="C1455" s="32">
        <v>43071.48704861111</v>
      </c>
    </row>
    <row r="1456" spans="1:3">
      <c r="A1456">
        <v>580395</v>
      </c>
      <c r="B1456">
        <v>149192</v>
      </c>
      <c r="C1456" s="32">
        <v>43072.347199074073</v>
      </c>
    </row>
    <row r="1457" spans="1:3">
      <c r="A1457">
        <v>986566</v>
      </c>
      <c r="B1457">
        <v>1258177</v>
      </c>
      <c r="C1457" s="32">
        <v>43071.505381944444</v>
      </c>
    </row>
    <row r="1458" spans="1:3">
      <c r="A1458">
        <v>72790</v>
      </c>
      <c r="B1458">
        <v>1368970</v>
      </c>
      <c r="C1458" s="32">
        <v>43071.005613425928</v>
      </c>
    </row>
    <row r="1459" spans="1:3">
      <c r="A1459">
        <v>690369</v>
      </c>
      <c r="B1459">
        <v>3607361</v>
      </c>
      <c r="C1459" s="32">
        <v>43070.597442129627</v>
      </c>
    </row>
    <row r="1460" spans="1:3">
      <c r="A1460">
        <v>878321</v>
      </c>
      <c r="B1460">
        <v>624370</v>
      </c>
      <c r="C1460" s="32">
        <v>43072.616527777776</v>
      </c>
    </row>
    <row r="1461" spans="1:3">
      <c r="A1461">
        <v>444700</v>
      </c>
      <c r="B1461">
        <v>2651305</v>
      </c>
      <c r="C1461" s="32">
        <v>43071.30059027778</v>
      </c>
    </row>
    <row r="1462" spans="1:3">
      <c r="A1462">
        <v>499141</v>
      </c>
      <c r="B1462">
        <v>85955</v>
      </c>
      <c r="C1462" s="32">
        <v>43070.693333333336</v>
      </c>
    </row>
    <row r="1463" spans="1:3">
      <c r="A1463">
        <v>253087</v>
      </c>
      <c r="B1463">
        <v>2631608</v>
      </c>
      <c r="C1463" s="32">
        <v>43071.062962962962</v>
      </c>
    </row>
    <row r="1464" spans="1:3">
      <c r="A1464">
        <v>164662</v>
      </c>
      <c r="B1464">
        <v>2476560</v>
      </c>
      <c r="C1464" s="32">
        <v>43070.595416666663</v>
      </c>
    </row>
    <row r="1465" spans="1:3">
      <c r="A1465">
        <v>393005</v>
      </c>
      <c r="B1465">
        <v>846990</v>
      </c>
      <c r="C1465" s="32">
        <v>43071.538958333331</v>
      </c>
    </row>
    <row r="1466" spans="1:3">
      <c r="A1466">
        <v>674338</v>
      </c>
      <c r="B1466">
        <v>2440364</v>
      </c>
      <c r="C1466" s="32">
        <v>43070.751701388886</v>
      </c>
    </row>
    <row r="1467" spans="1:3">
      <c r="A1467">
        <v>423920</v>
      </c>
      <c r="B1467">
        <v>1320293</v>
      </c>
      <c r="C1467" s="32">
        <v>43070.206192129626</v>
      </c>
    </row>
    <row r="1468" spans="1:3">
      <c r="A1468">
        <v>480282</v>
      </c>
      <c r="B1468">
        <v>4789432</v>
      </c>
      <c r="C1468" s="32">
        <v>43070.72042824074</v>
      </c>
    </row>
    <row r="1469" spans="1:3">
      <c r="A1469">
        <v>642974</v>
      </c>
      <c r="B1469">
        <v>2940518</v>
      </c>
      <c r="C1469" s="32">
        <v>43071.646145833336</v>
      </c>
    </row>
    <row r="1470" spans="1:3">
      <c r="A1470">
        <v>929098</v>
      </c>
      <c r="B1470">
        <v>1029459</v>
      </c>
      <c r="C1470" s="32">
        <v>43071.309525462966</v>
      </c>
    </row>
    <row r="1471" spans="1:3">
      <c r="A1471">
        <v>635569</v>
      </c>
      <c r="B1471">
        <v>3621778</v>
      </c>
      <c r="C1471" s="32">
        <v>43071.641481481478</v>
      </c>
    </row>
    <row r="1472" spans="1:3">
      <c r="A1472">
        <v>902870</v>
      </c>
      <c r="B1472">
        <v>4181361</v>
      </c>
      <c r="C1472" s="32">
        <v>43071.469733796293</v>
      </c>
    </row>
    <row r="1473" spans="1:3">
      <c r="A1473">
        <v>736975</v>
      </c>
      <c r="B1473">
        <v>3299155</v>
      </c>
      <c r="C1473" s="32">
        <v>43070.643541666665</v>
      </c>
    </row>
    <row r="1474" spans="1:3">
      <c r="A1474">
        <v>177453</v>
      </c>
      <c r="B1474">
        <v>2939262</v>
      </c>
      <c r="C1474" s="32">
        <v>43070.061574074076</v>
      </c>
    </row>
    <row r="1475" spans="1:3">
      <c r="A1475">
        <v>474554</v>
      </c>
      <c r="B1475">
        <v>4801426</v>
      </c>
      <c r="C1475" s="32">
        <v>43070.217789351853</v>
      </c>
    </row>
    <row r="1476" spans="1:3">
      <c r="A1476">
        <v>519043</v>
      </c>
      <c r="B1476">
        <v>3138705</v>
      </c>
      <c r="C1476" s="32">
        <v>43071.156724537039</v>
      </c>
    </row>
    <row r="1477" spans="1:3">
      <c r="A1477">
        <v>958710</v>
      </c>
      <c r="B1477">
        <v>753984</v>
      </c>
      <c r="C1477" s="32">
        <v>43070.90384259259</v>
      </c>
    </row>
    <row r="1478" spans="1:3">
      <c r="A1478">
        <v>233543</v>
      </c>
      <c r="B1478">
        <v>1928278</v>
      </c>
      <c r="C1478" s="32">
        <v>43072.242604166669</v>
      </c>
    </row>
    <row r="1479" spans="1:3">
      <c r="A1479">
        <v>525159</v>
      </c>
      <c r="B1479">
        <v>4462359</v>
      </c>
      <c r="C1479" s="32">
        <v>43071.213993055557</v>
      </c>
    </row>
    <row r="1480" spans="1:3">
      <c r="A1480">
        <v>638367</v>
      </c>
      <c r="B1480">
        <v>1416713</v>
      </c>
      <c r="C1480" s="32">
        <v>43071.600868055553</v>
      </c>
    </row>
    <row r="1481" spans="1:3">
      <c r="A1481">
        <v>1002836</v>
      </c>
      <c r="B1481">
        <v>4643350</v>
      </c>
      <c r="C1481" s="32">
        <v>43071.528611111113</v>
      </c>
    </row>
    <row r="1482" spans="1:3">
      <c r="A1482">
        <v>737850</v>
      </c>
      <c r="B1482">
        <v>2925160</v>
      </c>
      <c r="C1482" s="32">
        <v>43071.752604166664</v>
      </c>
    </row>
    <row r="1483" spans="1:3">
      <c r="A1483">
        <v>247407</v>
      </c>
      <c r="B1483">
        <v>1397912</v>
      </c>
      <c r="C1483" s="32">
        <v>43070.327881944446</v>
      </c>
    </row>
    <row r="1484" spans="1:3">
      <c r="A1484">
        <v>684030</v>
      </c>
      <c r="B1484">
        <v>1051370</v>
      </c>
      <c r="C1484" s="32">
        <v>43072.565787037034</v>
      </c>
    </row>
    <row r="1485" spans="1:3">
      <c r="A1485">
        <v>289721</v>
      </c>
      <c r="B1485">
        <v>3090850</v>
      </c>
      <c r="C1485" s="32">
        <v>43072.014085648145</v>
      </c>
    </row>
    <row r="1486" spans="1:3">
      <c r="A1486">
        <v>199973</v>
      </c>
      <c r="B1486">
        <v>4818107</v>
      </c>
      <c r="C1486" s="32">
        <v>43070.783252314817</v>
      </c>
    </row>
    <row r="1487" spans="1:3">
      <c r="A1487">
        <v>374169</v>
      </c>
      <c r="B1487">
        <v>154040</v>
      </c>
      <c r="C1487" s="32">
        <v>43072.382905092592</v>
      </c>
    </row>
    <row r="1488" spans="1:3">
      <c r="A1488">
        <v>129725</v>
      </c>
      <c r="B1488">
        <v>4181361</v>
      </c>
      <c r="C1488" s="32">
        <v>43071.088368055556</v>
      </c>
    </row>
    <row r="1489" spans="1:3">
      <c r="A1489">
        <v>277518</v>
      </c>
      <c r="B1489">
        <v>1420205</v>
      </c>
      <c r="C1489" s="32">
        <v>43072.571192129632</v>
      </c>
    </row>
    <row r="1490" spans="1:3">
      <c r="A1490">
        <v>597707</v>
      </c>
      <c r="B1490">
        <v>4357323</v>
      </c>
      <c r="C1490" s="32">
        <v>43070.58935185185</v>
      </c>
    </row>
    <row r="1491" spans="1:3">
      <c r="A1491">
        <v>616469</v>
      </c>
      <c r="B1491">
        <v>1575622</v>
      </c>
      <c r="C1491" s="32">
        <v>43071.253275462965</v>
      </c>
    </row>
    <row r="1492" spans="1:3">
      <c r="A1492">
        <v>575630</v>
      </c>
      <c r="B1492">
        <v>2578647</v>
      </c>
      <c r="C1492" s="32">
        <v>43071.562881944446</v>
      </c>
    </row>
    <row r="1493" spans="1:3">
      <c r="A1493">
        <v>348091</v>
      </c>
      <c r="B1493">
        <v>64179</v>
      </c>
      <c r="C1493" s="32">
        <v>43072.26189814815</v>
      </c>
    </row>
    <row r="1494" spans="1:3">
      <c r="A1494">
        <v>888938</v>
      </c>
      <c r="B1494">
        <v>2667323</v>
      </c>
      <c r="C1494" s="32">
        <v>43071.428530092591</v>
      </c>
    </row>
    <row r="1495" spans="1:3">
      <c r="A1495">
        <v>52029</v>
      </c>
      <c r="B1495">
        <v>1080785</v>
      </c>
      <c r="C1495" s="32">
        <v>43072.22859953704</v>
      </c>
    </row>
    <row r="1496" spans="1:3">
      <c r="A1496">
        <v>938098</v>
      </c>
      <c r="B1496">
        <v>4817527</v>
      </c>
      <c r="C1496" s="32">
        <v>43072.359201388892</v>
      </c>
    </row>
    <row r="1497" spans="1:3">
      <c r="A1497">
        <v>825478</v>
      </c>
      <c r="B1497">
        <v>4217906</v>
      </c>
      <c r="C1497" s="32">
        <v>43071.317465277774</v>
      </c>
    </row>
    <row r="1498" spans="1:3">
      <c r="A1498">
        <v>290942</v>
      </c>
      <c r="B1498">
        <v>4145813</v>
      </c>
      <c r="C1498" s="32">
        <v>43071.204317129632</v>
      </c>
    </row>
    <row r="1499" spans="1:3">
      <c r="A1499">
        <v>340100</v>
      </c>
      <c r="B1499">
        <v>1973012</v>
      </c>
      <c r="C1499" s="32">
        <v>43072.597743055558</v>
      </c>
    </row>
    <row r="1500" spans="1:3">
      <c r="A1500">
        <v>149036</v>
      </c>
      <c r="B1500">
        <v>4722263</v>
      </c>
      <c r="C1500" s="32">
        <v>43072.491053240738</v>
      </c>
    </row>
    <row r="1501" spans="1:3">
      <c r="A1501">
        <v>314204</v>
      </c>
      <c r="B1501">
        <v>883960</v>
      </c>
      <c r="C1501" s="32">
        <v>43070.771539351852</v>
      </c>
    </row>
    <row r="1502" spans="1:3">
      <c r="A1502">
        <v>734729</v>
      </c>
      <c r="B1502">
        <v>982926</v>
      </c>
      <c r="C1502" s="32">
        <v>43072.567766203705</v>
      </c>
    </row>
    <row r="1503" spans="1:3">
      <c r="A1503">
        <v>703981</v>
      </c>
      <c r="B1503">
        <v>800581</v>
      </c>
      <c r="C1503" s="32">
        <v>43072.274293981478</v>
      </c>
    </row>
    <row r="1504" spans="1:3">
      <c r="A1504">
        <v>407704</v>
      </c>
      <c r="B1504">
        <v>4576874</v>
      </c>
      <c r="C1504" s="32">
        <v>43070.666909722226</v>
      </c>
    </row>
    <row r="1505" spans="1:3">
      <c r="A1505">
        <v>315322</v>
      </c>
      <c r="B1505">
        <v>2858794</v>
      </c>
      <c r="C1505" s="32">
        <v>43072.249571759261</v>
      </c>
    </row>
    <row r="1506" spans="1:3">
      <c r="A1506">
        <v>232628</v>
      </c>
      <c r="B1506">
        <v>2735466</v>
      </c>
      <c r="C1506" s="32">
        <v>43071.458564814813</v>
      </c>
    </row>
    <row r="1507" spans="1:3">
      <c r="A1507">
        <v>165334</v>
      </c>
      <c r="B1507">
        <v>149192</v>
      </c>
      <c r="C1507" s="32">
        <v>43072.599756944444</v>
      </c>
    </row>
    <row r="1508" spans="1:3">
      <c r="A1508">
        <v>209625</v>
      </c>
      <c r="B1508">
        <v>2157356</v>
      </c>
      <c r="C1508" s="32">
        <v>43071.599131944444</v>
      </c>
    </row>
    <row r="1509" spans="1:3">
      <c r="A1509">
        <v>215760</v>
      </c>
      <c r="B1509">
        <v>3002561</v>
      </c>
      <c r="C1509" s="32">
        <v>43072.085300925923</v>
      </c>
    </row>
    <row r="1510" spans="1:3">
      <c r="A1510">
        <v>78081</v>
      </c>
      <c r="B1510">
        <v>2939262</v>
      </c>
      <c r="C1510" s="32">
        <v>43072.594467592593</v>
      </c>
    </row>
    <row r="1511" spans="1:3">
      <c r="A1511">
        <v>867338</v>
      </c>
      <c r="B1511">
        <v>1299190</v>
      </c>
      <c r="C1511" s="32">
        <v>43072.429502314815</v>
      </c>
    </row>
    <row r="1512" spans="1:3">
      <c r="A1512">
        <v>974983</v>
      </c>
      <c r="B1512">
        <v>3002561</v>
      </c>
      <c r="C1512" s="32">
        <v>43072.434374999997</v>
      </c>
    </row>
    <row r="1513" spans="1:3">
      <c r="A1513">
        <v>181466</v>
      </c>
      <c r="B1513">
        <v>2837163</v>
      </c>
      <c r="C1513" s="32">
        <v>43071.198865740742</v>
      </c>
    </row>
    <row r="1514" spans="1:3">
      <c r="A1514">
        <v>592265</v>
      </c>
      <c r="B1514">
        <v>2926020</v>
      </c>
      <c r="C1514" s="32">
        <v>43072.315092592595</v>
      </c>
    </row>
    <row r="1515" spans="1:3">
      <c r="A1515">
        <v>651100</v>
      </c>
      <c r="B1515">
        <v>1126526</v>
      </c>
      <c r="C1515" s="32">
        <v>43072.607754629629</v>
      </c>
    </row>
    <row r="1516" spans="1:3">
      <c r="A1516">
        <v>134261</v>
      </c>
      <c r="B1516">
        <v>2043591</v>
      </c>
      <c r="C1516" s="32">
        <v>43072.085162037038</v>
      </c>
    </row>
    <row r="1517" spans="1:3">
      <c r="A1517">
        <v>246548</v>
      </c>
      <c r="B1517">
        <v>3015852</v>
      </c>
      <c r="C1517" s="32">
        <v>43070.124178240738</v>
      </c>
    </row>
    <row r="1518" spans="1:3">
      <c r="A1518">
        <v>250683</v>
      </c>
      <c r="B1518">
        <v>3607361</v>
      </c>
      <c r="C1518" s="32">
        <v>43070.582685185182</v>
      </c>
    </row>
    <row r="1519" spans="1:3">
      <c r="A1519">
        <v>80134</v>
      </c>
      <c r="B1519">
        <v>2702525</v>
      </c>
      <c r="C1519" s="32">
        <v>43072.516053240739</v>
      </c>
    </row>
    <row r="1520" spans="1:3">
      <c r="A1520">
        <v>871509</v>
      </c>
      <c r="B1520">
        <v>3645362</v>
      </c>
      <c r="C1520" s="32">
        <v>43070.082569444443</v>
      </c>
    </row>
    <row r="1521" spans="1:3">
      <c r="A1521">
        <v>974007</v>
      </c>
      <c r="B1521">
        <v>4145813</v>
      </c>
      <c r="C1521" s="32">
        <v>43072.003692129627</v>
      </c>
    </row>
    <row r="1522" spans="1:3">
      <c r="A1522">
        <v>982276</v>
      </c>
      <c r="B1522">
        <v>1462965</v>
      </c>
      <c r="C1522" s="32">
        <v>43072.244375000002</v>
      </c>
    </row>
    <row r="1523" spans="1:3">
      <c r="A1523">
        <v>968415</v>
      </c>
      <c r="B1523">
        <v>2520377</v>
      </c>
      <c r="C1523" s="32">
        <v>43070.310115740744</v>
      </c>
    </row>
    <row r="1524" spans="1:3">
      <c r="A1524">
        <v>942697</v>
      </c>
      <c r="B1524">
        <v>982926</v>
      </c>
      <c r="C1524" s="32">
        <v>43072.619386574072</v>
      </c>
    </row>
    <row r="1525" spans="1:3">
      <c r="A1525">
        <v>841878</v>
      </c>
      <c r="B1525">
        <v>2735466</v>
      </c>
      <c r="C1525" s="32">
        <v>43071.3278587963</v>
      </c>
    </row>
    <row r="1526" spans="1:3">
      <c r="A1526">
        <v>361022</v>
      </c>
      <c r="B1526">
        <v>4664549</v>
      </c>
      <c r="C1526" s="32">
        <v>43070.932557870372</v>
      </c>
    </row>
    <row r="1527" spans="1:3">
      <c r="A1527">
        <v>370050</v>
      </c>
      <c r="B1527">
        <v>3607361</v>
      </c>
      <c r="C1527" s="32">
        <v>43069.749652777777</v>
      </c>
    </row>
    <row r="1528" spans="1:3">
      <c r="A1528">
        <v>491564</v>
      </c>
      <c r="B1528">
        <v>2289814</v>
      </c>
      <c r="C1528" s="32">
        <v>43070.040150462963</v>
      </c>
    </row>
    <row r="1529" spans="1:3">
      <c r="A1529">
        <v>325147</v>
      </c>
      <c r="B1529">
        <v>3279507</v>
      </c>
      <c r="C1529" s="32">
        <v>43070.02071759259</v>
      </c>
    </row>
    <row r="1530" spans="1:3">
      <c r="A1530">
        <v>570994</v>
      </c>
      <c r="B1530">
        <v>1379146</v>
      </c>
      <c r="C1530" s="32">
        <v>43070.680266203701</v>
      </c>
    </row>
    <row r="1531" spans="1:3">
      <c r="A1531">
        <v>245401</v>
      </c>
      <c r="B1531">
        <v>3002561</v>
      </c>
      <c r="C1531" s="32">
        <v>43072.628333333334</v>
      </c>
    </row>
    <row r="1532" spans="1:3">
      <c r="A1532">
        <v>495120</v>
      </c>
      <c r="B1532">
        <v>4756105</v>
      </c>
      <c r="C1532" s="32">
        <v>43071.445567129631</v>
      </c>
    </row>
    <row r="1533" spans="1:3">
      <c r="A1533">
        <v>690695</v>
      </c>
      <c r="B1533">
        <v>4145813</v>
      </c>
      <c r="C1533" s="32">
        <v>43072.632569444446</v>
      </c>
    </row>
    <row r="1534" spans="1:3">
      <c r="A1534">
        <v>531344</v>
      </c>
      <c r="B1534">
        <v>235534</v>
      </c>
      <c r="C1534" s="32">
        <v>43071.490694444445</v>
      </c>
    </row>
    <row r="1535" spans="1:3">
      <c r="A1535">
        <v>491499</v>
      </c>
      <c r="B1535">
        <v>2640118</v>
      </c>
      <c r="C1535" s="32">
        <v>43072.14638888889</v>
      </c>
    </row>
    <row r="1536" spans="1:3">
      <c r="A1536">
        <v>686701</v>
      </c>
      <c r="B1536">
        <v>1080785</v>
      </c>
      <c r="C1536" s="32">
        <v>43070.665625000001</v>
      </c>
    </row>
    <row r="1537" spans="1:3">
      <c r="A1537">
        <v>375023</v>
      </c>
      <c r="B1537">
        <v>4643350</v>
      </c>
      <c r="C1537" s="32">
        <v>43069.707627314812</v>
      </c>
    </row>
    <row r="1538" spans="1:3">
      <c r="A1538">
        <v>441754</v>
      </c>
      <c r="B1538">
        <v>1050007</v>
      </c>
      <c r="C1538" s="32">
        <v>43070.354050925926</v>
      </c>
    </row>
    <row r="1539" spans="1:3">
      <c r="A1539">
        <v>60812</v>
      </c>
      <c r="B1539">
        <v>238434</v>
      </c>
      <c r="C1539" s="32">
        <v>43072.485231481478</v>
      </c>
    </row>
    <row r="1540" spans="1:3">
      <c r="A1540">
        <v>242197</v>
      </c>
      <c r="B1540">
        <v>4627820</v>
      </c>
      <c r="C1540" s="32">
        <v>43072.420856481483</v>
      </c>
    </row>
    <row r="1541" spans="1:3">
      <c r="A1541">
        <v>324406</v>
      </c>
      <c r="B1541">
        <v>2355072</v>
      </c>
      <c r="C1541" s="32">
        <v>43070.571886574071</v>
      </c>
    </row>
    <row r="1542" spans="1:3">
      <c r="A1542">
        <v>321980</v>
      </c>
      <c r="B1542">
        <v>149192</v>
      </c>
      <c r="C1542" s="32">
        <v>43071.490659722222</v>
      </c>
    </row>
    <row r="1543" spans="1:3">
      <c r="A1543">
        <v>71520</v>
      </c>
      <c r="B1543">
        <v>2945933</v>
      </c>
      <c r="C1543" s="32">
        <v>43072.0471875</v>
      </c>
    </row>
    <row r="1544" spans="1:3">
      <c r="A1544">
        <v>800665</v>
      </c>
      <c r="B1544">
        <v>4181361</v>
      </c>
      <c r="C1544" s="32">
        <v>43072.020092592589</v>
      </c>
    </row>
    <row r="1545" spans="1:3">
      <c r="A1545">
        <v>540327</v>
      </c>
      <c r="B1545">
        <v>999755</v>
      </c>
      <c r="C1545" s="32">
        <v>43072.368888888886</v>
      </c>
    </row>
    <row r="1546" spans="1:3">
      <c r="A1546">
        <v>570692</v>
      </c>
      <c r="B1546">
        <v>4135836</v>
      </c>
      <c r="C1546" s="32">
        <v>43071.520914351851</v>
      </c>
    </row>
    <row r="1547" spans="1:3">
      <c r="A1547">
        <v>907055</v>
      </c>
      <c r="B1547">
        <v>3740459</v>
      </c>
      <c r="C1547" s="32">
        <v>43072.148634259262</v>
      </c>
    </row>
    <row r="1548" spans="1:3">
      <c r="A1548">
        <v>879643</v>
      </c>
      <c r="B1548">
        <v>982926</v>
      </c>
      <c r="C1548" s="32">
        <v>43072.600312499999</v>
      </c>
    </row>
    <row r="1549" spans="1:3">
      <c r="A1549">
        <v>88302</v>
      </c>
      <c r="B1549">
        <v>883960</v>
      </c>
      <c r="C1549" s="32">
        <v>43071.584224537037</v>
      </c>
    </row>
    <row r="1550" spans="1:3">
      <c r="A1550">
        <v>762068</v>
      </c>
      <c r="B1550">
        <v>4244487</v>
      </c>
      <c r="C1550" s="32">
        <v>43070.521458333336</v>
      </c>
    </row>
    <row r="1551" spans="1:3">
      <c r="A1551">
        <v>337867</v>
      </c>
      <c r="B1551">
        <v>3906242</v>
      </c>
      <c r="C1551" s="32">
        <v>43071.055949074071</v>
      </c>
    </row>
    <row r="1552" spans="1:3">
      <c r="A1552">
        <v>196855</v>
      </c>
      <c r="B1552">
        <v>903809</v>
      </c>
      <c r="C1552" s="32">
        <v>43070.671689814815</v>
      </c>
    </row>
    <row r="1553" spans="1:3">
      <c r="A1553">
        <v>435691</v>
      </c>
      <c r="B1553">
        <v>3112817</v>
      </c>
      <c r="C1553" s="32">
        <v>43072.099270833336</v>
      </c>
    </row>
    <row r="1554" spans="1:3">
      <c r="A1554">
        <v>632128</v>
      </c>
      <c r="B1554">
        <v>4563628</v>
      </c>
      <c r="C1554" s="32">
        <v>43070.081585648149</v>
      </c>
    </row>
    <row r="1555" spans="1:3">
      <c r="A1555">
        <v>983676</v>
      </c>
      <c r="B1555">
        <v>3361496</v>
      </c>
      <c r="C1555" s="32">
        <v>43071.559432870374</v>
      </c>
    </row>
    <row r="1556" spans="1:3">
      <c r="A1556">
        <v>265296</v>
      </c>
      <c r="B1556">
        <v>3694648</v>
      </c>
      <c r="C1556" s="32">
        <v>43071.681354166663</v>
      </c>
    </row>
    <row r="1557" spans="1:3">
      <c r="A1557">
        <v>228001</v>
      </c>
      <c r="B1557">
        <v>3781390</v>
      </c>
      <c r="C1557" s="32">
        <v>43072.430138888885</v>
      </c>
    </row>
    <row r="1558" spans="1:3">
      <c r="A1558">
        <v>403871</v>
      </c>
      <c r="B1558">
        <v>3826089</v>
      </c>
      <c r="C1558" s="32">
        <v>43071.433761574073</v>
      </c>
    </row>
    <row r="1559" spans="1:3">
      <c r="A1559">
        <v>452181</v>
      </c>
      <c r="B1559">
        <v>876318</v>
      </c>
      <c r="C1559" s="32">
        <v>43070.704062500001</v>
      </c>
    </row>
    <row r="1560" spans="1:3">
      <c r="A1560">
        <v>796608</v>
      </c>
      <c r="B1560">
        <v>1320293</v>
      </c>
      <c r="C1560" s="32">
        <v>43071.241365740738</v>
      </c>
    </row>
    <row r="1561" spans="1:3">
      <c r="A1561">
        <v>562342</v>
      </c>
      <c r="B1561">
        <v>2520377</v>
      </c>
      <c r="C1561" s="32">
        <v>43072.594189814816</v>
      </c>
    </row>
    <row r="1562" spans="1:3">
      <c r="A1562">
        <v>556417</v>
      </c>
      <c r="B1562">
        <v>2578647</v>
      </c>
      <c r="C1562" s="32">
        <v>43071.549907407411</v>
      </c>
    </row>
    <row r="1563" spans="1:3">
      <c r="A1563">
        <v>634428</v>
      </c>
      <c r="B1563">
        <v>4022701</v>
      </c>
      <c r="C1563" s="32">
        <v>43071.542662037034</v>
      </c>
    </row>
    <row r="1564" spans="1:3">
      <c r="A1564">
        <v>777539</v>
      </c>
      <c r="B1564">
        <v>794153</v>
      </c>
      <c r="C1564" s="32">
        <v>43071.145671296297</v>
      </c>
    </row>
    <row r="1565" spans="1:3">
      <c r="A1565">
        <v>778532</v>
      </c>
      <c r="B1565">
        <v>4583654</v>
      </c>
      <c r="C1565" s="32">
        <v>43071.62</v>
      </c>
    </row>
    <row r="1566" spans="1:3">
      <c r="A1566">
        <v>109022</v>
      </c>
      <c r="B1566">
        <v>590997</v>
      </c>
      <c r="C1566" s="32">
        <v>43072.403240740743</v>
      </c>
    </row>
    <row r="1567" spans="1:3">
      <c r="A1567">
        <v>522142</v>
      </c>
      <c r="B1567">
        <v>1792277</v>
      </c>
      <c r="C1567" s="32">
        <v>43071.208009259259</v>
      </c>
    </row>
    <row r="1568" spans="1:3">
      <c r="A1568">
        <v>35424</v>
      </c>
      <c r="B1568">
        <v>4145813</v>
      </c>
      <c r="C1568" s="32">
        <v>43072.580601851849</v>
      </c>
    </row>
    <row r="1569" spans="1:3">
      <c r="A1569">
        <v>422166</v>
      </c>
      <c r="B1569">
        <v>1176344</v>
      </c>
      <c r="C1569" s="32">
        <v>43072.344386574077</v>
      </c>
    </row>
    <row r="1570" spans="1:3">
      <c r="A1570">
        <v>107206</v>
      </c>
      <c r="B1570">
        <v>1577687</v>
      </c>
      <c r="C1570" s="32">
        <v>43071.553287037037</v>
      </c>
    </row>
    <row r="1571" spans="1:3">
      <c r="A1571">
        <v>796960</v>
      </c>
      <c r="B1571">
        <v>285583</v>
      </c>
      <c r="C1571" s="32">
        <v>43071.204930555556</v>
      </c>
    </row>
    <row r="1572" spans="1:3">
      <c r="A1572">
        <v>744678</v>
      </c>
      <c r="B1572">
        <v>4244990</v>
      </c>
      <c r="C1572" s="32">
        <v>43071.281087962961</v>
      </c>
    </row>
    <row r="1573" spans="1:3">
      <c r="A1573">
        <v>853441</v>
      </c>
      <c r="B1573">
        <v>883960</v>
      </c>
      <c r="C1573" s="32">
        <v>43072.470092592594</v>
      </c>
    </row>
    <row r="1574" spans="1:3">
      <c r="A1574">
        <v>297434</v>
      </c>
      <c r="B1574">
        <v>4069500</v>
      </c>
      <c r="C1574" s="32">
        <v>43071.555208333331</v>
      </c>
    </row>
    <row r="1575" spans="1:3">
      <c r="A1575">
        <v>668339</v>
      </c>
      <c r="B1575">
        <v>149192</v>
      </c>
      <c r="C1575" s="32">
        <v>43071.189849537041</v>
      </c>
    </row>
    <row r="1576" spans="1:3">
      <c r="A1576">
        <v>643165</v>
      </c>
      <c r="B1576">
        <v>903809</v>
      </c>
      <c r="C1576" s="32">
        <v>43071.585659722223</v>
      </c>
    </row>
    <row r="1577" spans="1:3">
      <c r="A1577">
        <v>478167</v>
      </c>
      <c r="B1577">
        <v>4181361</v>
      </c>
      <c r="C1577" s="32">
        <v>43069.72384259259</v>
      </c>
    </row>
    <row r="1578" spans="1:3">
      <c r="A1578">
        <v>122860</v>
      </c>
      <c r="B1578">
        <v>2735466</v>
      </c>
      <c r="C1578" s="32">
        <v>43071.515659722223</v>
      </c>
    </row>
    <row r="1579" spans="1:3">
      <c r="A1579">
        <v>131721</v>
      </c>
      <c r="B1579">
        <v>2355072</v>
      </c>
      <c r="C1579" s="32">
        <v>43072.20034722222</v>
      </c>
    </row>
    <row r="1580" spans="1:3">
      <c r="A1580">
        <v>356615</v>
      </c>
      <c r="B1580">
        <v>1464116</v>
      </c>
      <c r="C1580" s="32">
        <v>43071.257430555554</v>
      </c>
    </row>
    <row r="1581" spans="1:3">
      <c r="A1581">
        <v>525784</v>
      </c>
      <c r="B1581">
        <v>1216617</v>
      </c>
      <c r="C1581" s="32">
        <v>43070.369386574072</v>
      </c>
    </row>
    <row r="1582" spans="1:3">
      <c r="A1582">
        <v>661486</v>
      </c>
      <c r="B1582">
        <v>235534</v>
      </c>
      <c r="C1582" s="32">
        <v>43071.497650462959</v>
      </c>
    </row>
    <row r="1583" spans="1:3">
      <c r="A1583">
        <v>308046</v>
      </c>
      <c r="B1583">
        <v>3231625</v>
      </c>
      <c r="C1583" s="32">
        <v>43070.327025462961</v>
      </c>
    </row>
    <row r="1584" spans="1:3">
      <c r="A1584">
        <v>84324</v>
      </c>
      <c r="B1584">
        <v>4048584</v>
      </c>
      <c r="C1584" s="32">
        <v>43072.661608796298</v>
      </c>
    </row>
    <row r="1585" spans="1:3">
      <c r="A1585">
        <v>720223</v>
      </c>
      <c r="B1585">
        <v>2296439</v>
      </c>
      <c r="C1585" s="32">
        <v>43070.707569444443</v>
      </c>
    </row>
    <row r="1586" spans="1:3">
      <c r="A1586">
        <v>414380</v>
      </c>
      <c r="B1586">
        <v>965809</v>
      </c>
      <c r="C1586" s="32">
        <v>43070.544074074074</v>
      </c>
    </row>
    <row r="1587" spans="1:3">
      <c r="A1587">
        <v>109600</v>
      </c>
      <c r="B1587">
        <v>570735</v>
      </c>
      <c r="C1587" s="32">
        <v>43072.6406712963</v>
      </c>
    </row>
    <row r="1588" spans="1:3">
      <c r="A1588">
        <v>593696</v>
      </c>
      <c r="B1588">
        <v>4170419</v>
      </c>
      <c r="C1588" s="32">
        <v>43072.615254629629</v>
      </c>
    </row>
    <row r="1589" spans="1:3">
      <c r="A1589">
        <v>568109</v>
      </c>
      <c r="B1589">
        <v>411153</v>
      </c>
      <c r="C1589" s="32">
        <v>43069.979861111111</v>
      </c>
    </row>
    <row r="1590" spans="1:3">
      <c r="A1590">
        <v>815739</v>
      </c>
      <c r="B1590">
        <v>2131531</v>
      </c>
      <c r="C1590" s="32">
        <v>43071.414143518516</v>
      </c>
    </row>
    <row r="1591" spans="1:3">
      <c r="A1591">
        <v>562998</v>
      </c>
      <c r="B1591">
        <v>1061857</v>
      </c>
      <c r="C1591" s="32">
        <v>43070.175347222219</v>
      </c>
    </row>
    <row r="1592" spans="1:3">
      <c r="A1592">
        <v>890641</v>
      </c>
      <c r="B1592">
        <v>1474371</v>
      </c>
      <c r="C1592" s="32">
        <v>43071.458738425928</v>
      </c>
    </row>
    <row r="1593" spans="1:3">
      <c r="A1593">
        <v>287875</v>
      </c>
      <c r="B1593">
        <v>401357</v>
      </c>
      <c r="C1593" s="32">
        <v>43070.656030092592</v>
      </c>
    </row>
    <row r="1594" spans="1:3">
      <c r="A1594">
        <v>38422</v>
      </c>
      <c r="B1594">
        <v>3598912</v>
      </c>
      <c r="C1594" s="32">
        <v>43070.101493055554</v>
      </c>
    </row>
    <row r="1595" spans="1:3">
      <c r="A1595">
        <v>190774</v>
      </c>
      <c r="B1595">
        <v>2978598</v>
      </c>
      <c r="C1595" s="32">
        <v>43071.467118055552</v>
      </c>
    </row>
    <row r="1596" spans="1:3">
      <c r="A1596">
        <v>776008</v>
      </c>
      <c r="B1596">
        <v>431452</v>
      </c>
      <c r="C1596" s="32">
        <v>43071.577106481483</v>
      </c>
    </row>
    <row r="1597" spans="1:3">
      <c r="A1597">
        <v>969618</v>
      </c>
      <c r="B1597">
        <v>149192</v>
      </c>
      <c r="C1597" s="32">
        <v>43070.628576388888</v>
      </c>
    </row>
    <row r="1598" spans="1:3">
      <c r="A1598">
        <v>730603</v>
      </c>
      <c r="B1598">
        <v>2735466</v>
      </c>
      <c r="C1598" s="32">
        <v>43069.915960648148</v>
      </c>
    </row>
    <row r="1599" spans="1:3">
      <c r="A1599">
        <v>174334</v>
      </c>
      <c r="B1599">
        <v>1669167</v>
      </c>
      <c r="C1599" s="32">
        <v>43071.549756944441</v>
      </c>
    </row>
    <row r="1600" spans="1:3">
      <c r="A1600">
        <v>795711</v>
      </c>
      <c r="B1600">
        <v>2230040</v>
      </c>
      <c r="C1600" s="32">
        <v>43070.553877314815</v>
      </c>
    </row>
    <row r="1601" spans="1:3">
      <c r="A1601">
        <v>501446</v>
      </c>
      <c r="B1601">
        <v>1029459</v>
      </c>
      <c r="C1601" s="32">
        <v>43072.184247685182</v>
      </c>
    </row>
    <row r="1602" spans="1:3">
      <c r="A1602">
        <v>570154</v>
      </c>
      <c r="B1602">
        <v>3102419</v>
      </c>
      <c r="C1602" s="32">
        <v>43072.584340277775</v>
      </c>
    </row>
    <row r="1603" spans="1:3">
      <c r="A1603">
        <v>76494</v>
      </c>
      <c r="B1603">
        <v>1575622</v>
      </c>
      <c r="C1603" s="32">
        <v>43071.416817129626</v>
      </c>
    </row>
    <row r="1604" spans="1:3">
      <c r="A1604">
        <v>393056</v>
      </c>
      <c r="B1604">
        <v>672001</v>
      </c>
      <c r="C1604" s="32">
        <v>43072.074988425928</v>
      </c>
    </row>
    <row r="1605" spans="1:3">
      <c r="A1605">
        <v>1000087</v>
      </c>
      <c r="B1605">
        <v>2926020</v>
      </c>
      <c r="C1605" s="32">
        <v>43071.711944444447</v>
      </c>
    </row>
    <row r="1606" spans="1:3">
      <c r="A1606">
        <v>898491</v>
      </c>
      <c r="B1606">
        <v>1277731</v>
      </c>
      <c r="C1606" s="32">
        <v>43071.34778935185</v>
      </c>
    </row>
    <row r="1607" spans="1:3">
      <c r="A1607">
        <v>375034</v>
      </c>
      <c r="B1607">
        <v>2885642</v>
      </c>
      <c r="C1607" s="32">
        <v>43072.194699074076</v>
      </c>
    </row>
    <row r="1608" spans="1:3">
      <c r="A1608">
        <v>327343</v>
      </c>
      <c r="B1608">
        <v>2355072</v>
      </c>
      <c r="C1608" s="32">
        <v>43071.474942129629</v>
      </c>
    </row>
    <row r="1609" spans="1:3">
      <c r="A1609">
        <v>268950</v>
      </c>
      <c r="B1609">
        <v>1299190</v>
      </c>
      <c r="C1609" s="32">
        <v>43072.160011574073</v>
      </c>
    </row>
    <row r="1610" spans="1:3">
      <c r="A1610">
        <v>401317</v>
      </c>
      <c r="B1610">
        <v>3002561</v>
      </c>
      <c r="C1610" s="32">
        <v>43070.538657407407</v>
      </c>
    </row>
    <row r="1611" spans="1:3">
      <c r="A1611">
        <v>249537</v>
      </c>
      <c r="B1611">
        <v>801221</v>
      </c>
      <c r="C1611" s="32">
        <v>43070.999479166669</v>
      </c>
    </row>
    <row r="1612" spans="1:3">
      <c r="A1612">
        <v>735478</v>
      </c>
      <c r="B1612">
        <v>4022701</v>
      </c>
      <c r="C1612" s="32">
        <v>43070.235138888886</v>
      </c>
    </row>
    <row r="1613" spans="1:3">
      <c r="A1613">
        <v>684449</v>
      </c>
      <c r="B1613">
        <v>3607361</v>
      </c>
      <c r="C1613" s="32">
        <v>43071.347615740742</v>
      </c>
    </row>
    <row r="1614" spans="1:3">
      <c r="A1614">
        <v>310341</v>
      </c>
      <c r="B1614">
        <v>2131531</v>
      </c>
      <c r="C1614" s="32">
        <v>43072.285555555558</v>
      </c>
    </row>
    <row r="1615" spans="1:3">
      <c r="A1615">
        <v>559613</v>
      </c>
      <c r="B1615">
        <v>611849</v>
      </c>
      <c r="C1615" s="32">
        <v>43071.531793981485</v>
      </c>
    </row>
    <row r="1616" spans="1:3">
      <c r="A1616">
        <v>597538</v>
      </c>
      <c r="B1616">
        <v>4145813</v>
      </c>
      <c r="C1616" s="32">
        <v>43071.340381944443</v>
      </c>
    </row>
    <row r="1617" spans="1:3">
      <c r="A1617">
        <v>799179</v>
      </c>
      <c r="B1617">
        <v>1029459</v>
      </c>
      <c r="C1617" s="32">
        <v>43069.679745370369</v>
      </c>
    </row>
    <row r="1618" spans="1:3">
      <c r="A1618">
        <v>521555</v>
      </c>
      <c r="B1618">
        <v>4435957</v>
      </c>
      <c r="C1618" s="32">
        <v>43070.578541666669</v>
      </c>
    </row>
    <row r="1619" spans="1:3">
      <c r="A1619">
        <v>114395</v>
      </c>
      <c r="B1619">
        <v>1568197</v>
      </c>
      <c r="C1619" s="32">
        <v>43071.516215277778</v>
      </c>
    </row>
    <row r="1620" spans="1:3">
      <c r="A1620">
        <v>324071</v>
      </c>
      <c r="B1620">
        <v>4756105</v>
      </c>
      <c r="C1620" s="32">
        <v>43071.358877314815</v>
      </c>
    </row>
    <row r="1621" spans="1:3">
      <c r="A1621">
        <v>824737</v>
      </c>
      <c r="B1621">
        <v>2520771</v>
      </c>
      <c r="C1621" s="32">
        <v>43072.265219907407</v>
      </c>
    </row>
    <row r="1622" spans="1:3">
      <c r="A1622">
        <v>895698</v>
      </c>
      <c r="B1622">
        <v>982926</v>
      </c>
      <c r="C1622" s="32">
        <v>43071.381979166668</v>
      </c>
    </row>
    <row r="1623" spans="1:3">
      <c r="A1623">
        <v>238165</v>
      </c>
      <c r="B1623">
        <v>1464116</v>
      </c>
      <c r="C1623" s="32">
        <v>43072.391712962963</v>
      </c>
    </row>
    <row r="1624" spans="1:3">
      <c r="A1624">
        <v>448101</v>
      </c>
      <c r="B1624">
        <v>4069500</v>
      </c>
      <c r="C1624" s="32">
        <v>43072.266550925924</v>
      </c>
    </row>
    <row r="1625" spans="1:3">
      <c r="A1625">
        <v>913283</v>
      </c>
      <c r="B1625">
        <v>2355072</v>
      </c>
      <c r="C1625" s="32">
        <v>43070.653680555559</v>
      </c>
    </row>
    <row r="1626" spans="1:3">
      <c r="A1626">
        <v>885920</v>
      </c>
      <c r="B1626">
        <v>2476560</v>
      </c>
      <c r="C1626" s="32">
        <v>43072.047581018516</v>
      </c>
    </row>
    <row r="1627" spans="1:3">
      <c r="A1627">
        <v>1010926</v>
      </c>
      <c r="B1627">
        <v>3607361</v>
      </c>
      <c r="C1627" s="32">
        <v>43072.510150462964</v>
      </c>
    </row>
    <row r="1628" spans="1:3">
      <c r="A1628">
        <v>51235</v>
      </c>
      <c r="B1628">
        <v>160181</v>
      </c>
      <c r="C1628" s="32">
        <v>43072.34815972222</v>
      </c>
    </row>
    <row r="1629" spans="1:3">
      <c r="A1629">
        <v>478259</v>
      </c>
      <c r="B1629">
        <v>2737340</v>
      </c>
      <c r="C1629" s="32">
        <v>43071.341157407405</v>
      </c>
    </row>
    <row r="1630" spans="1:3">
      <c r="A1630">
        <v>607458</v>
      </c>
      <c r="B1630">
        <v>4130426</v>
      </c>
      <c r="C1630" s="32">
        <v>43071.654328703706</v>
      </c>
    </row>
    <row r="1631" spans="1:3">
      <c r="A1631">
        <v>692393</v>
      </c>
      <c r="B1631">
        <v>4789432</v>
      </c>
      <c r="C1631" s="32">
        <v>43070.630648148152</v>
      </c>
    </row>
    <row r="1632" spans="1:3">
      <c r="A1632">
        <v>366462</v>
      </c>
      <c r="B1632">
        <v>2228184</v>
      </c>
      <c r="C1632" s="32">
        <v>43071.627256944441</v>
      </c>
    </row>
    <row r="1633" spans="1:3">
      <c r="A1633">
        <v>844022</v>
      </c>
      <c r="B1633">
        <v>2465336</v>
      </c>
      <c r="C1633" s="32">
        <v>43071.006284722222</v>
      </c>
    </row>
    <row r="1634" spans="1:3">
      <c r="A1634">
        <v>769076</v>
      </c>
      <c r="B1634">
        <v>2241047</v>
      </c>
      <c r="C1634" s="32">
        <v>43071.647650462961</v>
      </c>
    </row>
    <row r="1635" spans="1:3">
      <c r="A1635">
        <v>613172</v>
      </c>
      <c r="B1635">
        <v>4643350</v>
      </c>
      <c r="C1635" s="32">
        <v>43072.346539351849</v>
      </c>
    </row>
    <row r="1636" spans="1:3">
      <c r="A1636">
        <v>202402</v>
      </c>
      <c r="B1636">
        <v>35290</v>
      </c>
      <c r="C1636" s="32">
        <v>43072.454398148147</v>
      </c>
    </row>
    <row r="1637" spans="1:3">
      <c r="A1637">
        <v>982317</v>
      </c>
      <c r="B1637">
        <v>1851156</v>
      </c>
      <c r="C1637" s="32">
        <v>43072.656805555554</v>
      </c>
    </row>
    <row r="1638" spans="1:3">
      <c r="A1638">
        <v>853957</v>
      </c>
      <c r="B1638">
        <v>965809</v>
      </c>
      <c r="C1638" s="32">
        <v>43070.974374999998</v>
      </c>
    </row>
    <row r="1639" spans="1:3">
      <c r="A1639">
        <v>438720</v>
      </c>
      <c r="B1639">
        <v>2096639</v>
      </c>
      <c r="C1639" s="32">
        <v>43071.518564814818</v>
      </c>
    </row>
    <row r="1640" spans="1:3">
      <c r="A1640">
        <v>224616</v>
      </c>
      <c r="B1640">
        <v>4145813</v>
      </c>
      <c r="C1640" s="32">
        <v>43072.65965277778</v>
      </c>
    </row>
    <row r="1641" spans="1:3">
      <c r="A1641">
        <v>951374</v>
      </c>
      <c r="B1641">
        <v>4801426</v>
      </c>
      <c r="C1641" s="32">
        <v>43071.595682870371</v>
      </c>
    </row>
    <row r="1642" spans="1:3">
      <c r="A1642">
        <v>956694</v>
      </c>
      <c r="B1642">
        <v>2520377</v>
      </c>
      <c r="C1642" s="32">
        <v>43072.079629629632</v>
      </c>
    </row>
    <row r="1643" spans="1:3">
      <c r="A1643">
        <v>804543</v>
      </c>
      <c r="B1643">
        <v>174239</v>
      </c>
      <c r="C1643" s="32">
        <v>43070.276956018519</v>
      </c>
    </row>
    <row r="1644" spans="1:3">
      <c r="A1644">
        <v>330934</v>
      </c>
      <c r="B1644">
        <v>149192</v>
      </c>
      <c r="C1644" s="32">
        <v>43072.458252314813</v>
      </c>
    </row>
    <row r="1645" spans="1:3">
      <c r="A1645">
        <v>671777</v>
      </c>
      <c r="B1645">
        <v>1320293</v>
      </c>
      <c r="C1645" s="32">
        <v>43071.665520833332</v>
      </c>
    </row>
    <row r="1646" spans="1:3">
      <c r="A1646">
        <v>974857</v>
      </c>
      <c r="B1646">
        <v>1431810</v>
      </c>
      <c r="C1646" s="32">
        <v>43072.658703703702</v>
      </c>
    </row>
    <row r="1647" spans="1:3">
      <c r="A1647">
        <v>527078</v>
      </c>
      <c r="B1647">
        <v>4780547</v>
      </c>
      <c r="C1647" s="32">
        <v>43069.993668981479</v>
      </c>
    </row>
    <row r="1648" spans="1:3">
      <c r="A1648">
        <v>587936</v>
      </c>
      <c r="B1648">
        <v>149192</v>
      </c>
      <c r="C1648" s="32">
        <v>43071.456875000003</v>
      </c>
    </row>
    <row r="1649" spans="1:3">
      <c r="A1649">
        <v>207095</v>
      </c>
      <c r="B1649">
        <v>1249761</v>
      </c>
      <c r="C1649" s="32">
        <v>43072.636932870373</v>
      </c>
    </row>
    <row r="1650" spans="1:3">
      <c r="A1650">
        <v>234514</v>
      </c>
      <c r="B1650">
        <v>585178</v>
      </c>
      <c r="C1650" s="32">
        <v>43070.655219907407</v>
      </c>
    </row>
    <row r="1651" spans="1:3">
      <c r="A1651">
        <v>556012</v>
      </c>
      <c r="B1651">
        <v>4692440</v>
      </c>
      <c r="C1651" s="32">
        <v>43071.563576388886</v>
      </c>
    </row>
    <row r="1652" spans="1:3">
      <c r="A1652">
        <v>623039</v>
      </c>
      <c r="B1652">
        <v>2751159</v>
      </c>
      <c r="C1652" s="32">
        <v>43071.564386574071</v>
      </c>
    </row>
    <row r="1653" spans="1:3">
      <c r="A1653">
        <v>18152</v>
      </c>
      <c r="B1653">
        <v>3299155</v>
      </c>
      <c r="C1653" s="32">
        <v>43070.072465277779</v>
      </c>
    </row>
    <row r="1654" spans="1:3">
      <c r="A1654">
        <v>520414</v>
      </c>
      <c r="B1654">
        <v>384755</v>
      </c>
      <c r="C1654" s="32">
        <v>43071.047881944447</v>
      </c>
    </row>
    <row r="1655" spans="1:3">
      <c r="A1655">
        <v>408684</v>
      </c>
      <c r="B1655">
        <v>3807763</v>
      </c>
      <c r="C1655" s="32">
        <v>43072.428206018521</v>
      </c>
    </row>
    <row r="1656" spans="1:3">
      <c r="A1656">
        <v>863043</v>
      </c>
      <c r="B1656">
        <v>2520771</v>
      </c>
      <c r="C1656" s="32">
        <v>43070.692314814813</v>
      </c>
    </row>
    <row r="1657" spans="1:3">
      <c r="A1657">
        <v>516204</v>
      </c>
      <c r="B1657">
        <v>3189935</v>
      </c>
      <c r="C1657" s="32">
        <v>43070.418333333335</v>
      </c>
    </row>
    <row r="1658" spans="1:3">
      <c r="A1658">
        <v>845620</v>
      </c>
      <c r="B1658">
        <v>801221</v>
      </c>
      <c r="C1658" s="32">
        <v>43071.369803240741</v>
      </c>
    </row>
    <row r="1659" spans="1:3">
      <c r="A1659">
        <v>579458</v>
      </c>
      <c r="B1659">
        <v>2520377</v>
      </c>
      <c r="C1659" s="32">
        <v>43072.033032407409</v>
      </c>
    </row>
    <row r="1660" spans="1:3">
      <c r="A1660">
        <v>549874</v>
      </c>
      <c r="B1660">
        <v>2640118</v>
      </c>
      <c r="C1660" s="32">
        <v>43072.353506944448</v>
      </c>
    </row>
    <row r="1661" spans="1:3">
      <c r="A1661">
        <v>661010</v>
      </c>
      <c r="B1661">
        <v>4145813</v>
      </c>
      <c r="C1661" s="32">
        <v>43071.321828703702</v>
      </c>
    </row>
    <row r="1662" spans="1:3">
      <c r="A1662">
        <v>586195</v>
      </c>
      <c r="B1662">
        <v>2131531</v>
      </c>
      <c r="C1662" s="32">
        <v>43071.013564814813</v>
      </c>
    </row>
    <row r="1663" spans="1:3">
      <c r="A1663">
        <v>70282</v>
      </c>
      <c r="B1663">
        <v>2297500</v>
      </c>
      <c r="C1663" s="32">
        <v>43071.074571759258</v>
      </c>
    </row>
    <row r="1664" spans="1:3">
      <c r="A1664">
        <v>36258</v>
      </c>
      <c r="B1664">
        <v>3184456</v>
      </c>
      <c r="C1664" s="32">
        <v>43070.995486111111</v>
      </c>
    </row>
    <row r="1665" spans="1:3">
      <c r="A1665">
        <v>714773</v>
      </c>
      <c r="B1665">
        <v>79451</v>
      </c>
      <c r="C1665" s="32">
        <v>43069.797002314815</v>
      </c>
    </row>
    <row r="1666" spans="1:3">
      <c r="A1666">
        <v>831643</v>
      </c>
      <c r="B1666">
        <v>903809</v>
      </c>
      <c r="C1666" s="32">
        <v>43070.491226851853</v>
      </c>
    </row>
    <row r="1667" spans="1:3">
      <c r="A1667">
        <v>220131</v>
      </c>
      <c r="B1667">
        <v>2465336</v>
      </c>
      <c r="C1667" s="32">
        <v>43072.105312500003</v>
      </c>
    </row>
    <row r="1668" spans="1:3">
      <c r="A1668">
        <v>511483</v>
      </c>
      <c r="B1668">
        <v>4145813</v>
      </c>
      <c r="C1668" s="32">
        <v>43072.591354166667</v>
      </c>
    </row>
    <row r="1669" spans="1:3">
      <c r="A1669">
        <v>908173</v>
      </c>
      <c r="B1669">
        <v>4801426</v>
      </c>
      <c r="C1669" s="32">
        <v>43072.611643518518</v>
      </c>
    </row>
    <row r="1670" spans="1:3">
      <c r="A1670">
        <v>980991</v>
      </c>
      <c r="B1670">
        <v>3962843</v>
      </c>
      <c r="C1670" s="32">
        <v>43069.670300925929</v>
      </c>
    </row>
    <row r="1671" spans="1:3">
      <c r="A1671">
        <v>336680</v>
      </c>
      <c r="B1671">
        <v>3607361</v>
      </c>
      <c r="C1671" s="32">
        <v>43072.226747685185</v>
      </c>
    </row>
    <row r="1672" spans="1:3">
      <c r="A1672">
        <v>313989</v>
      </c>
      <c r="B1672">
        <v>815501</v>
      </c>
      <c r="C1672" s="32">
        <v>43071.576574074075</v>
      </c>
    </row>
    <row r="1673" spans="1:3">
      <c r="A1673">
        <v>304066</v>
      </c>
      <c r="B1673">
        <v>4145813</v>
      </c>
      <c r="C1673" s="32">
        <v>43070.951203703706</v>
      </c>
    </row>
    <row r="1674" spans="1:3">
      <c r="A1674">
        <v>150479</v>
      </c>
      <c r="B1674">
        <v>3075521</v>
      </c>
      <c r="C1674" s="32">
        <v>43072.163449074076</v>
      </c>
    </row>
    <row r="1675" spans="1:3">
      <c r="A1675">
        <v>1006576</v>
      </c>
      <c r="B1675">
        <v>2735466</v>
      </c>
      <c r="C1675" s="32">
        <v>43072.537210648145</v>
      </c>
    </row>
    <row r="1676" spans="1:3">
      <c r="A1676">
        <v>482800</v>
      </c>
      <c r="B1676">
        <v>1988066</v>
      </c>
      <c r="C1676" s="32">
        <v>43071.569988425923</v>
      </c>
    </row>
    <row r="1677" spans="1:3">
      <c r="A1677">
        <v>237816</v>
      </c>
      <c r="B1677">
        <v>4756105</v>
      </c>
      <c r="C1677" s="32">
        <v>43072.00576388889</v>
      </c>
    </row>
    <row r="1678" spans="1:3">
      <c r="A1678">
        <v>882967</v>
      </c>
      <c r="B1678">
        <v>4022701</v>
      </c>
      <c r="C1678" s="32">
        <v>43071.871238425927</v>
      </c>
    </row>
    <row r="1679" spans="1:3">
      <c r="A1679">
        <v>17605</v>
      </c>
      <c r="B1679">
        <v>2131531</v>
      </c>
      <c r="C1679" s="32">
        <v>43072.044641203705</v>
      </c>
    </row>
    <row r="1680" spans="1:3">
      <c r="A1680">
        <v>142222</v>
      </c>
      <c r="B1680">
        <v>4801426</v>
      </c>
      <c r="C1680" s="32">
        <v>43071.615381944444</v>
      </c>
    </row>
    <row r="1681" spans="1:3">
      <c r="A1681">
        <v>343783</v>
      </c>
      <c r="B1681">
        <v>4069500</v>
      </c>
      <c r="C1681" s="32">
        <v>43072.500543981485</v>
      </c>
    </row>
    <row r="1682" spans="1:3">
      <c r="A1682">
        <v>469126</v>
      </c>
      <c r="B1682">
        <v>4181361</v>
      </c>
      <c r="C1682" s="32">
        <v>43070.269884259258</v>
      </c>
    </row>
    <row r="1683" spans="1:3">
      <c r="A1683">
        <v>961049</v>
      </c>
      <c r="B1683">
        <v>4731191</v>
      </c>
      <c r="C1683" s="32">
        <v>43071.709074074075</v>
      </c>
    </row>
    <row r="1684" spans="1:3">
      <c r="A1684">
        <v>793156</v>
      </c>
      <c r="B1684">
        <v>238434</v>
      </c>
      <c r="C1684" s="32">
        <v>43071.731493055559</v>
      </c>
    </row>
    <row r="1685" spans="1:3">
      <c r="A1685">
        <v>969146</v>
      </c>
      <c r="B1685">
        <v>3392099</v>
      </c>
      <c r="C1685" s="32">
        <v>43070.538483796299</v>
      </c>
    </row>
    <row r="1686" spans="1:3">
      <c r="A1686">
        <v>417726</v>
      </c>
      <c r="B1686">
        <v>3158249</v>
      </c>
      <c r="C1686" s="32">
        <v>43072.406226851854</v>
      </c>
    </row>
    <row r="1687" spans="1:3">
      <c r="A1687">
        <v>374021</v>
      </c>
      <c r="B1687">
        <v>1467750</v>
      </c>
      <c r="C1687" s="32">
        <v>43071.431203703702</v>
      </c>
    </row>
    <row r="1688" spans="1:3">
      <c r="A1688">
        <v>245481</v>
      </c>
      <c r="B1688">
        <v>3607361</v>
      </c>
      <c r="C1688" s="32">
        <v>43070.126006944447</v>
      </c>
    </row>
    <row r="1689" spans="1:3">
      <c r="A1689">
        <v>476989</v>
      </c>
      <c r="B1689">
        <v>4801426</v>
      </c>
      <c r="C1689" s="32">
        <v>43072.320555555554</v>
      </c>
    </row>
    <row r="1690" spans="1:3">
      <c r="A1690">
        <v>690266</v>
      </c>
      <c r="B1690">
        <v>2465336</v>
      </c>
      <c r="C1690" s="32">
        <v>43072.365057870367</v>
      </c>
    </row>
    <row r="1691" spans="1:3">
      <c r="A1691">
        <v>442556</v>
      </c>
      <c r="B1691">
        <v>3065645</v>
      </c>
      <c r="C1691" s="32">
        <v>43070.119502314818</v>
      </c>
    </row>
    <row r="1692" spans="1:3">
      <c r="A1692">
        <v>256058</v>
      </c>
      <c r="B1692">
        <v>570735</v>
      </c>
      <c r="C1692" s="32">
        <v>43070.511712962965</v>
      </c>
    </row>
    <row r="1693" spans="1:3">
      <c r="A1693">
        <v>888690</v>
      </c>
      <c r="B1693">
        <v>1994940</v>
      </c>
      <c r="C1693" s="32">
        <v>43072.018553240741</v>
      </c>
    </row>
    <row r="1694" spans="1:3">
      <c r="A1694">
        <v>829026</v>
      </c>
      <c r="B1694">
        <v>1207256</v>
      </c>
      <c r="C1694" s="32">
        <v>43071.504791666666</v>
      </c>
    </row>
    <row r="1695" spans="1:3">
      <c r="A1695">
        <v>232125</v>
      </c>
      <c r="B1695">
        <v>2014414</v>
      </c>
      <c r="C1695" s="32">
        <v>43072.536157407405</v>
      </c>
    </row>
    <row r="1696" spans="1:3">
      <c r="A1696">
        <v>738494</v>
      </c>
      <c r="B1696">
        <v>4936889</v>
      </c>
      <c r="C1696" s="32">
        <v>43071.211377314816</v>
      </c>
    </row>
    <row r="1697" spans="1:3">
      <c r="A1697">
        <v>811303</v>
      </c>
      <c r="B1697">
        <v>2982027</v>
      </c>
      <c r="C1697" s="32">
        <v>43070.991180555553</v>
      </c>
    </row>
    <row r="1698" spans="1:3">
      <c r="A1698">
        <v>667062</v>
      </c>
      <c r="B1698">
        <v>4145813</v>
      </c>
      <c r="C1698" s="32">
        <v>43070.980312500003</v>
      </c>
    </row>
    <row r="1699" spans="1:3">
      <c r="A1699">
        <v>264008</v>
      </c>
      <c r="B1699">
        <v>2456212</v>
      </c>
      <c r="C1699" s="32">
        <v>43071.678807870368</v>
      </c>
    </row>
    <row r="1700" spans="1:3">
      <c r="A1700">
        <v>127016</v>
      </c>
      <c r="B1700">
        <v>4145813</v>
      </c>
      <c r="C1700" s="32">
        <v>43071.252905092595</v>
      </c>
    </row>
    <row r="1701" spans="1:3">
      <c r="A1701">
        <v>619119</v>
      </c>
      <c r="B1701">
        <v>4874384</v>
      </c>
      <c r="C1701" s="32">
        <v>43070.050844907404</v>
      </c>
    </row>
    <row r="1702" spans="1:3">
      <c r="A1702">
        <v>23851</v>
      </c>
      <c r="B1702">
        <v>3680035</v>
      </c>
      <c r="C1702" s="32">
        <v>43071.726851851854</v>
      </c>
    </row>
    <row r="1703" spans="1:3">
      <c r="A1703">
        <v>883692</v>
      </c>
      <c r="B1703">
        <v>2629787</v>
      </c>
      <c r="C1703" s="32">
        <v>43071.972222222219</v>
      </c>
    </row>
    <row r="1704" spans="1:3">
      <c r="A1704">
        <v>601078</v>
      </c>
      <c r="B1704">
        <v>2342116</v>
      </c>
      <c r="C1704" s="32">
        <v>43070.956516203703</v>
      </c>
    </row>
    <row r="1705" spans="1:3">
      <c r="A1705">
        <v>1001076</v>
      </c>
      <c r="B1705">
        <v>1397912</v>
      </c>
      <c r="C1705" s="32">
        <v>43072.556666666664</v>
      </c>
    </row>
    <row r="1706" spans="1:3">
      <c r="A1706">
        <v>285735</v>
      </c>
      <c r="B1706">
        <v>4801426</v>
      </c>
      <c r="C1706" s="32">
        <v>43071.54420138889</v>
      </c>
    </row>
    <row r="1707" spans="1:3">
      <c r="A1707">
        <v>485055</v>
      </c>
      <c r="B1707">
        <v>982926</v>
      </c>
      <c r="C1707" s="32">
        <v>43070.697939814818</v>
      </c>
    </row>
    <row r="1708" spans="1:3">
      <c r="A1708">
        <v>616507</v>
      </c>
      <c r="B1708">
        <v>2393184</v>
      </c>
      <c r="C1708" s="32">
        <v>43070.552569444444</v>
      </c>
    </row>
    <row r="1709" spans="1:3">
      <c r="A1709">
        <v>555343</v>
      </c>
      <c r="B1709">
        <v>102272</v>
      </c>
      <c r="C1709" s="32">
        <v>43071.085798611108</v>
      </c>
    </row>
    <row r="1710" spans="1:3">
      <c r="A1710">
        <v>170451</v>
      </c>
      <c r="B1710">
        <v>1936748</v>
      </c>
      <c r="C1710" s="32">
        <v>43071.21603009259</v>
      </c>
    </row>
    <row r="1711" spans="1:3">
      <c r="A1711">
        <v>454307</v>
      </c>
      <c r="B1711">
        <v>1467750</v>
      </c>
      <c r="C1711" s="32">
        <v>43072.248391203706</v>
      </c>
    </row>
    <row r="1712" spans="1:3">
      <c r="A1712">
        <v>4537</v>
      </c>
      <c r="B1712">
        <v>2465336</v>
      </c>
      <c r="C1712" s="32">
        <v>43070.620740740742</v>
      </c>
    </row>
    <row r="1713" spans="1:3">
      <c r="A1713">
        <v>301879</v>
      </c>
      <c r="B1713">
        <v>4145813</v>
      </c>
      <c r="C1713" s="32">
        <v>43070.260474537034</v>
      </c>
    </row>
    <row r="1714" spans="1:3">
      <c r="A1714">
        <v>22686</v>
      </c>
      <c r="B1714">
        <v>1548278</v>
      </c>
      <c r="C1714" s="32">
        <v>43069.794351851851</v>
      </c>
    </row>
    <row r="1715" spans="1:3">
      <c r="A1715">
        <v>615990</v>
      </c>
      <c r="B1715">
        <v>4801426</v>
      </c>
      <c r="C1715" s="32">
        <v>43070.384189814817</v>
      </c>
    </row>
    <row r="1716" spans="1:3">
      <c r="A1716">
        <v>394246</v>
      </c>
      <c r="B1716">
        <v>4145813</v>
      </c>
      <c r="C1716" s="32">
        <v>43070.694849537038</v>
      </c>
    </row>
    <row r="1717" spans="1:3">
      <c r="A1717">
        <v>150493</v>
      </c>
      <c r="B1717">
        <v>4338287</v>
      </c>
      <c r="C1717" s="32">
        <v>43071.466203703705</v>
      </c>
    </row>
    <row r="1718" spans="1:3">
      <c r="A1718">
        <v>259218</v>
      </c>
      <c r="B1718">
        <v>3065645</v>
      </c>
      <c r="C1718" s="32">
        <v>43071.622662037036</v>
      </c>
    </row>
    <row r="1719" spans="1:3">
      <c r="A1719">
        <v>831809</v>
      </c>
      <c r="B1719">
        <v>982926</v>
      </c>
      <c r="C1719" s="32">
        <v>43071.511574074073</v>
      </c>
    </row>
    <row r="1720" spans="1:3">
      <c r="A1720">
        <v>932025</v>
      </c>
      <c r="B1720">
        <v>2462567</v>
      </c>
      <c r="C1720" s="32">
        <v>43072.132303240738</v>
      </c>
    </row>
    <row r="1721" spans="1:3">
      <c r="A1721">
        <v>801082</v>
      </c>
      <c r="B1721">
        <v>1320293</v>
      </c>
      <c r="C1721" s="32">
        <v>43071.373020833336</v>
      </c>
    </row>
    <row r="1722" spans="1:3">
      <c r="A1722">
        <v>485430</v>
      </c>
      <c r="B1722">
        <v>1216617</v>
      </c>
      <c r="C1722" s="32">
        <v>43071.148784722223</v>
      </c>
    </row>
    <row r="1723" spans="1:3">
      <c r="A1723">
        <v>567974</v>
      </c>
      <c r="B1723">
        <v>3130529</v>
      </c>
      <c r="C1723" s="32">
        <v>43070.95815972222</v>
      </c>
    </row>
    <row r="1724" spans="1:3">
      <c r="A1724">
        <v>915170</v>
      </c>
      <c r="B1724">
        <v>2345211</v>
      </c>
      <c r="C1724" s="32">
        <v>43070.895231481481</v>
      </c>
    </row>
    <row r="1725" spans="1:3">
      <c r="A1725">
        <v>467412</v>
      </c>
      <c r="B1725">
        <v>2355072</v>
      </c>
      <c r="C1725" s="32">
        <v>43072.618715277778</v>
      </c>
    </row>
    <row r="1726" spans="1:3">
      <c r="A1726">
        <v>415104</v>
      </c>
      <c r="B1726">
        <v>4756105</v>
      </c>
      <c r="C1726" s="32">
        <v>43070.403726851851</v>
      </c>
    </row>
    <row r="1727" spans="1:3">
      <c r="A1727">
        <v>387668</v>
      </c>
      <c r="B1727">
        <v>1879194</v>
      </c>
      <c r="C1727" s="32">
        <v>43070.975821759261</v>
      </c>
    </row>
    <row r="1728" spans="1:3">
      <c r="A1728">
        <v>639869</v>
      </c>
      <c r="B1728">
        <v>4756105</v>
      </c>
      <c r="C1728" s="32">
        <v>43072.492349537039</v>
      </c>
    </row>
    <row r="1729" spans="1:3">
      <c r="A1729">
        <v>972467</v>
      </c>
      <c r="B1729">
        <v>1526484</v>
      </c>
      <c r="C1729" s="32">
        <v>43072.424027777779</v>
      </c>
    </row>
    <row r="1730" spans="1:3">
      <c r="A1730">
        <v>215195</v>
      </c>
      <c r="B1730">
        <v>1080785</v>
      </c>
      <c r="C1730" s="32">
        <v>43071.135879629626</v>
      </c>
    </row>
    <row r="1731" spans="1:3">
      <c r="A1731">
        <v>73866</v>
      </c>
      <c r="B1731">
        <v>3059103</v>
      </c>
      <c r="C1731" s="32">
        <v>43071.640011574076</v>
      </c>
    </row>
    <row r="1732" spans="1:3">
      <c r="A1732">
        <v>326709</v>
      </c>
      <c r="B1732">
        <v>2355072</v>
      </c>
      <c r="C1732" s="32">
        <v>43072.366875</v>
      </c>
    </row>
    <row r="1733" spans="1:3">
      <c r="A1733">
        <v>148346</v>
      </c>
      <c r="B1733">
        <v>2520377</v>
      </c>
      <c r="C1733" s="32">
        <v>43069.921759259261</v>
      </c>
    </row>
    <row r="1734" spans="1:3">
      <c r="A1734">
        <v>286123</v>
      </c>
      <c r="B1734">
        <v>4643350</v>
      </c>
      <c r="C1734" s="32">
        <v>43071.522476851853</v>
      </c>
    </row>
    <row r="1735" spans="1:3">
      <c r="A1735">
        <v>456403</v>
      </c>
      <c r="B1735">
        <v>2684959</v>
      </c>
      <c r="C1735" s="32">
        <v>43072.235856481479</v>
      </c>
    </row>
    <row r="1736" spans="1:3">
      <c r="A1736">
        <v>220510</v>
      </c>
      <c r="B1736">
        <v>1029459</v>
      </c>
      <c r="C1736" s="32">
        <v>43071.109652777777</v>
      </c>
    </row>
    <row r="1737" spans="1:3">
      <c r="A1737">
        <v>94292</v>
      </c>
      <c r="B1737">
        <v>3002561</v>
      </c>
      <c r="C1737" s="32">
        <v>43070.121157407404</v>
      </c>
    </row>
    <row r="1738" spans="1:3">
      <c r="A1738">
        <v>658508</v>
      </c>
      <c r="B1738">
        <v>3834955</v>
      </c>
      <c r="C1738" s="32">
        <v>43072.237523148149</v>
      </c>
    </row>
    <row r="1739" spans="1:3">
      <c r="A1739">
        <v>757586</v>
      </c>
      <c r="B1739">
        <v>2465336</v>
      </c>
      <c r="C1739" s="32">
        <v>43070.649826388886</v>
      </c>
    </row>
    <row r="1740" spans="1:3">
      <c r="A1740">
        <v>242136</v>
      </c>
      <c r="B1740">
        <v>4874384</v>
      </c>
      <c r="C1740" s="32">
        <v>43072.354259259257</v>
      </c>
    </row>
    <row r="1741" spans="1:3">
      <c r="A1741">
        <v>690849</v>
      </c>
      <c r="B1741">
        <v>1879194</v>
      </c>
      <c r="C1741" s="32">
        <v>43070.976365740738</v>
      </c>
    </row>
    <row r="1742" spans="1:3">
      <c r="A1742">
        <v>660198</v>
      </c>
      <c r="B1742">
        <v>1320293</v>
      </c>
      <c r="C1742" s="32">
        <v>43070.076157407406</v>
      </c>
    </row>
    <row r="1743" spans="1:3">
      <c r="A1743">
        <v>382054</v>
      </c>
      <c r="B1743">
        <v>2131531</v>
      </c>
      <c r="C1743" s="32">
        <v>43072.540925925925</v>
      </c>
    </row>
    <row r="1744" spans="1:3">
      <c r="A1744">
        <v>814458</v>
      </c>
      <c r="B1744">
        <v>3102419</v>
      </c>
      <c r="C1744" s="32">
        <v>43070.585995370369</v>
      </c>
    </row>
    <row r="1745" spans="1:3">
      <c r="A1745">
        <v>988040</v>
      </c>
      <c r="B1745">
        <v>3286162</v>
      </c>
      <c r="C1745" s="32">
        <v>43072.60633101852</v>
      </c>
    </row>
    <row r="1746" spans="1:3">
      <c r="A1746">
        <v>330362</v>
      </c>
      <c r="B1746">
        <v>846990</v>
      </c>
      <c r="C1746" s="32">
        <v>43071.312430555554</v>
      </c>
    </row>
    <row r="1747" spans="1:3">
      <c r="A1747">
        <v>650638</v>
      </c>
      <c r="B1747">
        <v>862523</v>
      </c>
      <c r="C1747" s="32">
        <v>43071.982314814813</v>
      </c>
    </row>
    <row r="1748" spans="1:3">
      <c r="A1748">
        <v>560613</v>
      </c>
      <c r="B1748">
        <v>2520771</v>
      </c>
      <c r="C1748" s="32">
        <v>43071.22284722222</v>
      </c>
    </row>
    <row r="1749" spans="1:3">
      <c r="A1749">
        <v>896110</v>
      </c>
      <c r="B1749">
        <v>1080785</v>
      </c>
      <c r="C1749" s="32">
        <v>43071.648692129631</v>
      </c>
    </row>
    <row r="1750" spans="1:3">
      <c r="A1750">
        <v>478937</v>
      </c>
      <c r="B1750">
        <v>3924783</v>
      </c>
      <c r="C1750" s="32">
        <v>43070.61109953704</v>
      </c>
    </row>
    <row r="1751" spans="1:3">
      <c r="A1751">
        <v>915742</v>
      </c>
      <c r="B1751">
        <v>2640118</v>
      </c>
      <c r="C1751" s="32">
        <v>43072.503136574072</v>
      </c>
    </row>
    <row r="1752" spans="1:3">
      <c r="A1752">
        <v>816138</v>
      </c>
      <c r="B1752">
        <v>4145813</v>
      </c>
      <c r="C1752" s="32">
        <v>43071.567233796297</v>
      </c>
    </row>
    <row r="1753" spans="1:3">
      <c r="A1753">
        <v>105472</v>
      </c>
      <c r="B1753">
        <v>2836123</v>
      </c>
      <c r="C1753" s="32">
        <v>43072.312465277777</v>
      </c>
    </row>
    <row r="1754" spans="1:3">
      <c r="A1754">
        <v>423617</v>
      </c>
      <c r="B1754">
        <v>1879194</v>
      </c>
      <c r="C1754" s="32">
        <v>43071.058703703704</v>
      </c>
    </row>
    <row r="1755" spans="1:3">
      <c r="A1755">
        <v>510013</v>
      </c>
      <c r="B1755">
        <v>1202097</v>
      </c>
      <c r="C1755" s="32">
        <v>43072.557974537034</v>
      </c>
    </row>
    <row r="1756" spans="1:3">
      <c r="A1756">
        <v>652105</v>
      </c>
      <c r="B1756">
        <v>4801426</v>
      </c>
      <c r="C1756" s="32">
        <v>43072.333749999998</v>
      </c>
    </row>
    <row r="1757" spans="1:3">
      <c r="A1757">
        <v>935930</v>
      </c>
      <c r="B1757">
        <v>2272151</v>
      </c>
      <c r="C1757" s="32">
        <v>43072.327592592592</v>
      </c>
    </row>
    <row r="1758" spans="1:3">
      <c r="A1758">
        <v>473754</v>
      </c>
      <c r="B1758">
        <v>1320293</v>
      </c>
      <c r="C1758" s="32">
        <v>43070.475023148145</v>
      </c>
    </row>
    <row r="1759" spans="1:3">
      <c r="A1759">
        <v>147298</v>
      </c>
      <c r="B1759">
        <v>2321441</v>
      </c>
      <c r="C1759" s="32">
        <v>43070.321689814817</v>
      </c>
    </row>
    <row r="1760" spans="1:3">
      <c r="A1760">
        <v>659758</v>
      </c>
      <c r="B1760">
        <v>2440115</v>
      </c>
      <c r="C1760" s="32">
        <v>43071.181400462963</v>
      </c>
    </row>
    <row r="1761" spans="1:3">
      <c r="A1761">
        <v>32805</v>
      </c>
      <c r="B1761">
        <v>4801426</v>
      </c>
      <c r="C1761" s="32">
        <v>43071.480532407404</v>
      </c>
    </row>
    <row r="1762" spans="1:3">
      <c r="A1762">
        <v>897660</v>
      </c>
      <c r="B1762">
        <v>4801426</v>
      </c>
      <c r="C1762" s="32">
        <v>43071.026539351849</v>
      </c>
    </row>
    <row r="1763" spans="1:3">
      <c r="A1763">
        <v>726890</v>
      </c>
      <c r="B1763">
        <v>2891408</v>
      </c>
      <c r="C1763" s="32">
        <v>43071.647662037038</v>
      </c>
    </row>
    <row r="1764" spans="1:3">
      <c r="A1764">
        <v>1017345</v>
      </c>
      <c r="B1764">
        <v>2865017</v>
      </c>
      <c r="C1764" s="32">
        <v>43070.669733796298</v>
      </c>
    </row>
    <row r="1765" spans="1:3">
      <c r="A1765">
        <v>137759</v>
      </c>
      <c r="B1765">
        <v>4921805</v>
      </c>
      <c r="C1765" s="32">
        <v>43072.597939814812</v>
      </c>
    </row>
    <row r="1766" spans="1:3">
      <c r="A1766">
        <v>543757</v>
      </c>
      <c r="B1766">
        <v>2652700</v>
      </c>
      <c r="C1766" s="32">
        <v>43070.589108796295</v>
      </c>
    </row>
    <row r="1767" spans="1:3">
      <c r="A1767">
        <v>279301</v>
      </c>
      <c r="B1767">
        <v>4048584</v>
      </c>
      <c r="C1767" s="32">
        <v>43071.151504629626</v>
      </c>
    </row>
    <row r="1768" spans="1:3">
      <c r="A1768">
        <v>528477</v>
      </c>
      <c r="B1768">
        <v>924708</v>
      </c>
      <c r="C1768" s="32">
        <v>43071.539386574077</v>
      </c>
    </row>
    <row r="1769" spans="1:3">
      <c r="A1769">
        <v>709718</v>
      </c>
      <c r="B1769">
        <v>3672452</v>
      </c>
      <c r="C1769" s="32">
        <v>43071.026712962965</v>
      </c>
    </row>
    <row r="1770" spans="1:3">
      <c r="A1770">
        <v>463938</v>
      </c>
      <c r="B1770">
        <v>4756105</v>
      </c>
      <c r="C1770" s="32">
        <v>43070.037812499999</v>
      </c>
    </row>
    <row r="1771" spans="1:3">
      <c r="A1771">
        <v>622550</v>
      </c>
      <c r="B1771">
        <v>4159072</v>
      </c>
      <c r="C1771" s="32">
        <v>43072.31486111111</v>
      </c>
    </row>
    <row r="1772" spans="1:3">
      <c r="A1772">
        <v>994601</v>
      </c>
      <c r="B1772">
        <v>2297500</v>
      </c>
      <c r="C1772" s="32">
        <v>43071.313599537039</v>
      </c>
    </row>
    <row r="1773" spans="1:3">
      <c r="A1773">
        <v>26192</v>
      </c>
      <c r="B1773">
        <v>1575622</v>
      </c>
      <c r="C1773" s="32">
        <v>43069.771805555552</v>
      </c>
    </row>
    <row r="1774" spans="1:3">
      <c r="A1774">
        <v>54326</v>
      </c>
      <c r="B1774">
        <v>772629</v>
      </c>
      <c r="C1774" s="32">
        <v>43072.415868055556</v>
      </c>
    </row>
    <row r="1775" spans="1:3">
      <c r="A1775">
        <v>82445</v>
      </c>
      <c r="B1775">
        <v>4606718</v>
      </c>
      <c r="C1775" s="32">
        <v>43071.083993055552</v>
      </c>
    </row>
    <row r="1776" spans="1:3">
      <c r="A1776">
        <v>851037</v>
      </c>
      <c r="B1776">
        <v>5004245</v>
      </c>
      <c r="C1776" s="32">
        <v>43071.487488425926</v>
      </c>
    </row>
    <row r="1777" spans="1:3">
      <c r="A1777">
        <v>982362</v>
      </c>
      <c r="B1777">
        <v>801221</v>
      </c>
      <c r="C1777" s="32">
        <v>43072.612013888887</v>
      </c>
    </row>
    <row r="1778" spans="1:3">
      <c r="A1778">
        <v>770112</v>
      </c>
      <c r="B1778">
        <v>2158079</v>
      </c>
      <c r="C1778" s="32">
        <v>43071.568402777775</v>
      </c>
    </row>
    <row r="1779" spans="1:3">
      <c r="A1779">
        <v>328294</v>
      </c>
      <c r="B1779">
        <v>4163659</v>
      </c>
      <c r="C1779" s="32">
        <v>43071.060474537036</v>
      </c>
    </row>
    <row r="1780" spans="1:3">
      <c r="A1780">
        <v>388260</v>
      </c>
      <c r="B1780">
        <v>2355072</v>
      </c>
      <c r="C1780" s="32">
        <v>43071.551828703705</v>
      </c>
    </row>
    <row r="1781" spans="1:3">
      <c r="A1781">
        <v>996229</v>
      </c>
      <c r="B1781">
        <v>1787510</v>
      </c>
      <c r="C1781" s="32">
        <v>43071.771284722221</v>
      </c>
    </row>
    <row r="1782" spans="1:3">
      <c r="A1782">
        <v>368237</v>
      </c>
      <c r="B1782">
        <v>4217906</v>
      </c>
      <c r="C1782" s="32">
        <v>43071.345358796294</v>
      </c>
    </row>
    <row r="1783" spans="1:3">
      <c r="A1783">
        <v>182247</v>
      </c>
      <c r="B1783">
        <v>4756105</v>
      </c>
      <c r="C1783" s="32">
        <v>43071.415613425925</v>
      </c>
    </row>
    <row r="1784" spans="1:3">
      <c r="A1784">
        <v>575004</v>
      </c>
      <c r="B1784">
        <v>2520771</v>
      </c>
      <c r="C1784" s="32">
        <v>43072.324826388889</v>
      </c>
    </row>
    <row r="1785" spans="1:3">
      <c r="A1785">
        <v>710270</v>
      </c>
      <c r="B1785">
        <v>1241067</v>
      </c>
      <c r="C1785" s="32">
        <v>43071.468668981484</v>
      </c>
    </row>
    <row r="1786" spans="1:3">
      <c r="A1786">
        <v>560649</v>
      </c>
      <c r="B1786">
        <v>4163659</v>
      </c>
      <c r="C1786" s="32">
        <v>43071.200856481482</v>
      </c>
    </row>
    <row r="1787" spans="1:3">
      <c r="A1787">
        <v>45028</v>
      </c>
      <c r="B1787">
        <v>4640311</v>
      </c>
      <c r="C1787" s="32">
        <v>43071.101446759261</v>
      </c>
    </row>
    <row r="1788" spans="1:3">
      <c r="A1788">
        <v>611410</v>
      </c>
      <c r="B1788">
        <v>586496</v>
      </c>
      <c r="C1788" s="32">
        <v>43070.660312499997</v>
      </c>
    </row>
    <row r="1789" spans="1:3">
      <c r="A1789">
        <v>271639</v>
      </c>
      <c r="B1789">
        <v>982926</v>
      </c>
      <c r="C1789" s="32">
        <v>43070.582476851851</v>
      </c>
    </row>
    <row r="1790" spans="1:3">
      <c r="A1790">
        <v>570286</v>
      </c>
      <c r="B1790">
        <v>2952458</v>
      </c>
      <c r="C1790" s="32">
        <v>43071.251585648148</v>
      </c>
    </row>
    <row r="1791" spans="1:3">
      <c r="A1791">
        <v>572242</v>
      </c>
      <c r="B1791">
        <v>2753808</v>
      </c>
      <c r="C1791" s="32">
        <v>43071.324467592596</v>
      </c>
    </row>
    <row r="1792" spans="1:3">
      <c r="A1792">
        <v>878344</v>
      </c>
      <c r="B1792">
        <v>2091359</v>
      </c>
      <c r="C1792" s="32">
        <v>43072.251423611109</v>
      </c>
    </row>
    <row r="1793" spans="1:3">
      <c r="A1793">
        <v>597716</v>
      </c>
      <c r="B1793">
        <v>903809</v>
      </c>
      <c r="C1793" s="32">
        <v>43071.369259259256</v>
      </c>
    </row>
    <row r="1794" spans="1:3">
      <c r="A1794">
        <v>586266</v>
      </c>
      <c r="B1794">
        <v>1464116</v>
      </c>
      <c r="C1794" s="32">
        <v>43072.235277777778</v>
      </c>
    </row>
    <row r="1795" spans="1:3">
      <c r="A1795">
        <v>156230</v>
      </c>
      <c r="B1795">
        <v>4801426</v>
      </c>
      <c r="C1795" s="32">
        <v>43070.615995370368</v>
      </c>
    </row>
    <row r="1796" spans="1:3">
      <c r="A1796">
        <v>36688</v>
      </c>
      <c r="B1796">
        <v>2939262</v>
      </c>
      <c r="C1796" s="32">
        <v>43071.122037037036</v>
      </c>
    </row>
    <row r="1797" spans="1:3">
      <c r="A1797">
        <v>619449</v>
      </c>
      <c r="B1797">
        <v>2945933</v>
      </c>
      <c r="C1797" s="32">
        <v>43070.594768518517</v>
      </c>
    </row>
    <row r="1798" spans="1:3">
      <c r="A1798">
        <v>794990</v>
      </c>
      <c r="B1798">
        <v>982926</v>
      </c>
      <c r="C1798" s="32">
        <v>43072.570844907408</v>
      </c>
    </row>
    <row r="1799" spans="1:3">
      <c r="A1799">
        <v>341727</v>
      </c>
      <c r="B1799">
        <v>3065645</v>
      </c>
      <c r="C1799" s="32">
        <v>43072.55736111111</v>
      </c>
    </row>
    <row r="1800" spans="1:3">
      <c r="A1800">
        <v>483451</v>
      </c>
      <c r="B1800">
        <v>4989387</v>
      </c>
      <c r="C1800" s="32">
        <v>43070.572800925926</v>
      </c>
    </row>
    <row r="1801" spans="1:3">
      <c r="A1801">
        <v>375264</v>
      </c>
      <c r="B1801">
        <v>285583</v>
      </c>
      <c r="C1801" s="32">
        <v>43071.606724537036</v>
      </c>
    </row>
    <row r="1802" spans="1:3">
      <c r="A1802">
        <v>225077</v>
      </c>
      <c r="B1802">
        <v>4672807</v>
      </c>
      <c r="C1802" s="32">
        <v>43070.570659722223</v>
      </c>
    </row>
    <row r="1803" spans="1:3">
      <c r="A1803">
        <v>349590</v>
      </c>
      <c r="B1803">
        <v>3087458</v>
      </c>
      <c r="C1803" s="32">
        <v>43072.301099537035</v>
      </c>
    </row>
    <row r="1804" spans="1:3">
      <c r="A1804">
        <v>741572</v>
      </c>
      <c r="B1804">
        <v>1320530</v>
      </c>
      <c r="C1804" s="32">
        <v>43071.662048611113</v>
      </c>
    </row>
    <row r="1805" spans="1:3">
      <c r="A1805">
        <v>303896</v>
      </c>
      <c r="B1805">
        <v>3087458</v>
      </c>
      <c r="C1805" s="32">
        <v>43070.190185185187</v>
      </c>
    </row>
    <row r="1806" spans="1:3">
      <c r="A1806">
        <v>259261</v>
      </c>
      <c r="B1806">
        <v>863375</v>
      </c>
      <c r="C1806" s="32">
        <v>43071.707233796296</v>
      </c>
    </row>
    <row r="1807" spans="1:3">
      <c r="A1807">
        <v>389191</v>
      </c>
      <c r="B1807">
        <v>994002</v>
      </c>
      <c r="C1807" s="32">
        <v>43070.361388888887</v>
      </c>
    </row>
    <row r="1808" spans="1:3">
      <c r="A1808">
        <v>452029</v>
      </c>
      <c r="B1808">
        <v>1029459</v>
      </c>
      <c r="C1808" s="32">
        <v>43069.780324074076</v>
      </c>
    </row>
    <row r="1809" spans="1:3">
      <c r="A1809">
        <v>904114</v>
      </c>
      <c r="B1809">
        <v>2684959</v>
      </c>
      <c r="C1809" s="32">
        <v>43069.815821759257</v>
      </c>
    </row>
    <row r="1810" spans="1:3">
      <c r="A1810">
        <v>808838</v>
      </c>
      <c r="B1810">
        <v>1320293</v>
      </c>
      <c r="C1810" s="32">
        <v>43071.728495370371</v>
      </c>
    </row>
    <row r="1811" spans="1:3">
      <c r="A1811">
        <v>738482</v>
      </c>
      <c r="B1811">
        <v>1817004</v>
      </c>
      <c r="C1811" s="32">
        <v>43071.579641203702</v>
      </c>
    </row>
    <row r="1812" spans="1:3">
      <c r="A1812">
        <v>970849</v>
      </c>
      <c r="B1812">
        <v>1879194</v>
      </c>
      <c r="C1812" s="32">
        <v>43071.311655092592</v>
      </c>
    </row>
    <row r="1813" spans="1:3">
      <c r="A1813">
        <v>290892</v>
      </c>
      <c r="B1813">
        <v>235534</v>
      </c>
      <c r="C1813" s="32">
        <v>43071.242847222224</v>
      </c>
    </row>
    <row r="1814" spans="1:3">
      <c r="A1814">
        <v>108941</v>
      </c>
      <c r="B1814">
        <v>4069500</v>
      </c>
      <c r="C1814" s="32">
        <v>43070.492013888892</v>
      </c>
    </row>
    <row r="1815" spans="1:3">
      <c r="A1815">
        <v>165162</v>
      </c>
      <c r="B1815">
        <v>3579754</v>
      </c>
      <c r="C1815" s="32">
        <v>43071.61755787037</v>
      </c>
    </row>
    <row r="1816" spans="1:3">
      <c r="A1816">
        <v>392184</v>
      </c>
      <c r="B1816">
        <v>982926</v>
      </c>
      <c r="C1816" s="32">
        <v>43072.617488425924</v>
      </c>
    </row>
    <row r="1817" spans="1:3">
      <c r="A1817">
        <v>774154</v>
      </c>
      <c r="B1817">
        <v>4145813</v>
      </c>
      <c r="C1817" s="32">
        <v>43072.59034722222</v>
      </c>
    </row>
    <row r="1818" spans="1:3">
      <c r="A1818">
        <v>76567</v>
      </c>
      <c r="B1818">
        <v>4962280</v>
      </c>
      <c r="C1818" s="32">
        <v>43071.610081018516</v>
      </c>
    </row>
    <row r="1819" spans="1:3">
      <c r="A1819">
        <v>82691</v>
      </c>
      <c r="B1819">
        <v>4267003</v>
      </c>
      <c r="C1819" s="32">
        <v>43071.438009259262</v>
      </c>
    </row>
    <row r="1820" spans="1:3">
      <c r="A1820">
        <v>179213</v>
      </c>
      <c r="B1820">
        <v>4217906</v>
      </c>
      <c r="C1820" s="32">
        <v>43070.942696759259</v>
      </c>
    </row>
    <row r="1821" spans="1:3">
      <c r="A1821">
        <v>146724</v>
      </c>
      <c r="B1821">
        <v>4602841</v>
      </c>
      <c r="C1821" s="32">
        <v>43071.993194444447</v>
      </c>
    </row>
    <row r="1822" spans="1:3">
      <c r="A1822">
        <v>677497</v>
      </c>
      <c r="B1822">
        <v>3171095</v>
      </c>
      <c r="C1822" s="32">
        <v>43071.53398148148</v>
      </c>
    </row>
    <row r="1823" spans="1:3">
      <c r="A1823">
        <v>638859</v>
      </c>
      <c r="B1823">
        <v>3002561</v>
      </c>
      <c r="C1823" s="32">
        <v>43072.545555555553</v>
      </c>
    </row>
    <row r="1824" spans="1:3">
      <c r="A1824">
        <v>950753</v>
      </c>
      <c r="B1824">
        <v>1320293</v>
      </c>
      <c r="C1824" s="32">
        <v>43071.590636574074</v>
      </c>
    </row>
    <row r="1825" spans="1:3">
      <c r="A1825">
        <v>923217</v>
      </c>
      <c r="B1825">
        <v>982926</v>
      </c>
      <c r="C1825" s="32">
        <v>43072.226527777777</v>
      </c>
    </row>
    <row r="1826" spans="1:3">
      <c r="A1826">
        <v>904144</v>
      </c>
      <c r="B1826">
        <v>1080785</v>
      </c>
      <c r="C1826" s="32">
        <v>43072.653773148151</v>
      </c>
    </row>
    <row r="1827" spans="1:3">
      <c r="A1827">
        <v>56264</v>
      </c>
      <c r="B1827">
        <v>5045733</v>
      </c>
      <c r="C1827" s="32">
        <v>43072.378738425927</v>
      </c>
    </row>
    <row r="1828" spans="1:3">
      <c r="A1828">
        <v>909518</v>
      </c>
      <c r="B1828">
        <v>2920476</v>
      </c>
      <c r="C1828" s="32">
        <v>43070.569872685184</v>
      </c>
    </row>
    <row r="1829" spans="1:3">
      <c r="A1829">
        <v>727981</v>
      </c>
      <c r="B1829">
        <v>3848953</v>
      </c>
      <c r="C1829" s="32">
        <v>43070.340266203704</v>
      </c>
    </row>
    <row r="1830" spans="1:3">
      <c r="A1830">
        <v>489721</v>
      </c>
      <c r="B1830">
        <v>2885642</v>
      </c>
      <c r="C1830" s="32">
        <v>43071.386377314811</v>
      </c>
    </row>
    <row r="1831" spans="1:3">
      <c r="A1831">
        <v>460487</v>
      </c>
      <c r="B1831">
        <v>906800</v>
      </c>
      <c r="C1831" s="32">
        <v>43071.619143518517</v>
      </c>
    </row>
    <row r="1832" spans="1:3">
      <c r="A1832">
        <v>834904</v>
      </c>
      <c r="B1832">
        <v>1879194</v>
      </c>
      <c r="C1832" s="32">
        <v>43071.509675925925</v>
      </c>
    </row>
    <row r="1833" spans="1:3">
      <c r="A1833">
        <v>262276</v>
      </c>
      <c r="B1833">
        <v>4756105</v>
      </c>
      <c r="C1833" s="32">
        <v>43072.295393518521</v>
      </c>
    </row>
    <row r="1834" spans="1:3">
      <c r="A1834">
        <v>456878</v>
      </c>
      <c r="B1834">
        <v>3439012</v>
      </c>
      <c r="C1834" s="32">
        <v>43070.255949074075</v>
      </c>
    </row>
    <row r="1835" spans="1:3">
      <c r="A1835">
        <v>907471</v>
      </c>
      <c r="B1835">
        <v>2926020</v>
      </c>
      <c r="C1835" s="32">
        <v>43071.245706018519</v>
      </c>
    </row>
    <row r="1836" spans="1:3">
      <c r="A1836">
        <v>533867</v>
      </c>
      <c r="B1836">
        <v>2355072</v>
      </c>
      <c r="C1836" s="32">
        <v>43071.412442129629</v>
      </c>
    </row>
    <row r="1837" spans="1:3">
      <c r="A1837">
        <v>233087</v>
      </c>
      <c r="B1837">
        <v>2578647</v>
      </c>
      <c r="C1837" s="32">
        <v>43070.830474537041</v>
      </c>
    </row>
    <row r="1838" spans="1:3">
      <c r="A1838">
        <v>402447</v>
      </c>
      <c r="B1838">
        <v>4943103</v>
      </c>
      <c r="C1838" s="32">
        <v>43070.089178240742</v>
      </c>
    </row>
    <row r="1839" spans="1:3">
      <c r="A1839">
        <v>479675</v>
      </c>
      <c r="B1839">
        <v>380289</v>
      </c>
      <c r="C1839" s="32">
        <v>43071.317893518521</v>
      </c>
    </row>
    <row r="1840" spans="1:3">
      <c r="A1840">
        <v>255452</v>
      </c>
      <c r="B1840">
        <v>50601</v>
      </c>
      <c r="C1840" s="32">
        <v>43071.666435185187</v>
      </c>
    </row>
    <row r="1841" spans="1:3">
      <c r="A1841">
        <v>127892</v>
      </c>
      <c r="B1841">
        <v>1299190</v>
      </c>
      <c r="C1841" s="32">
        <v>43071.257418981484</v>
      </c>
    </row>
    <row r="1842" spans="1:3">
      <c r="A1842">
        <v>920728</v>
      </c>
      <c r="B1842">
        <v>4163659</v>
      </c>
      <c r="C1842" s="32">
        <v>43071.660162037035</v>
      </c>
    </row>
    <row r="1843" spans="1:3">
      <c r="A1843">
        <v>606508</v>
      </c>
      <c r="B1843">
        <v>3902231</v>
      </c>
      <c r="C1843" s="32">
        <v>43072.035011574073</v>
      </c>
    </row>
    <row r="1844" spans="1:3">
      <c r="A1844">
        <v>668741</v>
      </c>
      <c r="B1844">
        <v>2671397</v>
      </c>
      <c r="C1844" s="32">
        <v>43070.866643518515</v>
      </c>
    </row>
    <row r="1845" spans="1:3">
      <c r="A1845">
        <v>461320</v>
      </c>
      <c r="B1845">
        <v>3738615</v>
      </c>
      <c r="C1845" s="32">
        <v>43070.561828703707</v>
      </c>
    </row>
    <row r="1846" spans="1:3">
      <c r="A1846">
        <v>92817</v>
      </c>
      <c r="B1846">
        <v>1567637</v>
      </c>
      <c r="C1846" s="32">
        <v>43071.276736111111</v>
      </c>
    </row>
    <row r="1847" spans="1:3">
      <c r="A1847">
        <v>205172</v>
      </c>
      <c r="B1847">
        <v>965809</v>
      </c>
      <c r="C1847" s="32">
        <v>43071.24759259259</v>
      </c>
    </row>
    <row r="1848" spans="1:3">
      <c r="A1848">
        <v>117983</v>
      </c>
      <c r="B1848">
        <v>1449177</v>
      </c>
      <c r="C1848" s="32">
        <v>43070.669224537036</v>
      </c>
    </row>
    <row r="1849" spans="1:3">
      <c r="A1849">
        <v>398055</v>
      </c>
      <c r="B1849">
        <v>2940518</v>
      </c>
      <c r="C1849" s="32">
        <v>43070.96435185185</v>
      </c>
    </row>
    <row r="1850" spans="1:3">
      <c r="A1850">
        <v>209067</v>
      </c>
      <c r="B1850">
        <v>2087597</v>
      </c>
      <c r="C1850" s="32">
        <v>43070.703275462962</v>
      </c>
    </row>
    <row r="1851" spans="1:3">
      <c r="A1851">
        <v>847022</v>
      </c>
      <c r="B1851">
        <v>292885</v>
      </c>
      <c r="C1851" s="32">
        <v>43072.549895833334</v>
      </c>
    </row>
    <row r="1852" spans="1:3">
      <c r="A1852">
        <v>904144</v>
      </c>
      <c r="B1852">
        <v>2131531</v>
      </c>
      <c r="C1852" s="32">
        <v>43071.612210648149</v>
      </c>
    </row>
    <row r="1853" spans="1:3">
      <c r="A1853">
        <v>305308</v>
      </c>
      <c r="B1853">
        <v>2355072</v>
      </c>
      <c r="C1853" s="32">
        <v>43071.029097222221</v>
      </c>
    </row>
    <row r="1854" spans="1:3">
      <c r="A1854">
        <v>608803</v>
      </c>
      <c r="B1854">
        <v>1807416</v>
      </c>
      <c r="C1854" s="32">
        <v>43071.147256944445</v>
      </c>
    </row>
    <row r="1855" spans="1:3">
      <c r="A1855">
        <v>351776</v>
      </c>
      <c r="B1855">
        <v>3538807</v>
      </c>
      <c r="C1855" s="32">
        <v>43071.322210648148</v>
      </c>
    </row>
    <row r="1856" spans="1:3">
      <c r="A1856">
        <v>344818</v>
      </c>
      <c r="B1856">
        <v>2072473</v>
      </c>
      <c r="C1856" s="32">
        <v>43071.568159722221</v>
      </c>
    </row>
    <row r="1857" spans="1:3">
      <c r="A1857">
        <v>748651</v>
      </c>
      <c r="B1857">
        <v>1994940</v>
      </c>
      <c r="C1857" s="32">
        <v>43072.085069444445</v>
      </c>
    </row>
    <row r="1858" spans="1:3">
      <c r="A1858">
        <v>969090</v>
      </c>
      <c r="B1858">
        <v>982926</v>
      </c>
      <c r="C1858" s="32">
        <v>43070.602789351855</v>
      </c>
    </row>
    <row r="1859" spans="1:3">
      <c r="A1859">
        <v>699623</v>
      </c>
      <c r="B1859">
        <v>2342116</v>
      </c>
      <c r="C1859" s="32">
        <v>43071.643530092595</v>
      </c>
    </row>
    <row r="1860" spans="1:3">
      <c r="A1860">
        <v>363608</v>
      </c>
      <c r="B1860">
        <v>2925160</v>
      </c>
      <c r="C1860" s="32">
        <v>43071.552465277775</v>
      </c>
    </row>
    <row r="1861" spans="1:3">
      <c r="A1861">
        <v>766701</v>
      </c>
      <c r="B1861">
        <v>1029459</v>
      </c>
      <c r="C1861" s="32">
        <v>43071.527858796297</v>
      </c>
    </row>
    <row r="1862" spans="1:3">
      <c r="A1862">
        <v>432737</v>
      </c>
      <c r="B1862">
        <v>3607361</v>
      </c>
      <c r="C1862" s="32">
        <v>43071.697060185186</v>
      </c>
    </row>
    <row r="1863" spans="1:3">
      <c r="A1863">
        <v>346953</v>
      </c>
      <c r="B1863">
        <v>3673049</v>
      </c>
      <c r="C1863" s="32">
        <v>43071.625844907408</v>
      </c>
    </row>
    <row r="1864" spans="1:3">
      <c r="A1864">
        <v>232044</v>
      </c>
      <c r="B1864">
        <v>3604509</v>
      </c>
      <c r="C1864" s="32">
        <v>43070.150057870371</v>
      </c>
    </row>
    <row r="1865" spans="1:3">
      <c r="A1865">
        <v>548822</v>
      </c>
      <c r="B1865">
        <v>149192</v>
      </c>
      <c r="C1865" s="32">
        <v>43071.62636574074</v>
      </c>
    </row>
    <row r="1866" spans="1:3">
      <c r="A1866">
        <v>462899</v>
      </c>
      <c r="B1866">
        <v>1349561</v>
      </c>
      <c r="C1866" s="32">
        <v>43071.697500000002</v>
      </c>
    </row>
    <row r="1867" spans="1:3">
      <c r="A1867">
        <v>702566</v>
      </c>
      <c r="B1867">
        <v>4756105</v>
      </c>
      <c r="C1867" s="32">
        <v>43072.573692129627</v>
      </c>
    </row>
    <row r="1868" spans="1:3">
      <c r="A1868">
        <v>302762</v>
      </c>
      <c r="B1868">
        <v>1879194</v>
      </c>
      <c r="C1868" s="32">
        <v>43070.173391203702</v>
      </c>
    </row>
    <row r="1869" spans="1:3">
      <c r="A1869">
        <v>399325</v>
      </c>
      <c r="B1869">
        <v>1258177</v>
      </c>
      <c r="C1869" s="32">
        <v>43071.323807870373</v>
      </c>
    </row>
    <row r="1870" spans="1:3">
      <c r="A1870">
        <v>458999</v>
      </c>
      <c r="B1870">
        <v>462551</v>
      </c>
      <c r="C1870" s="32">
        <v>43071.689513888887</v>
      </c>
    </row>
    <row r="1871" spans="1:3">
      <c r="A1871">
        <v>604034</v>
      </c>
      <c r="B1871">
        <v>1010656</v>
      </c>
      <c r="C1871" s="32">
        <v>43070.602141203701</v>
      </c>
    </row>
    <row r="1872" spans="1:3">
      <c r="A1872">
        <v>262523</v>
      </c>
      <c r="B1872">
        <v>3575962</v>
      </c>
      <c r="C1872" s="32">
        <v>43072.602222222224</v>
      </c>
    </row>
    <row r="1873" spans="1:3">
      <c r="A1873">
        <v>248137</v>
      </c>
      <c r="B1873">
        <v>4756105</v>
      </c>
      <c r="C1873" s="32">
        <v>43070.497199074074</v>
      </c>
    </row>
    <row r="1874" spans="1:3">
      <c r="A1874">
        <v>522035</v>
      </c>
      <c r="B1874">
        <v>3933554</v>
      </c>
      <c r="C1874" s="32">
        <v>43071.972071759257</v>
      </c>
    </row>
    <row r="1875" spans="1:3">
      <c r="A1875">
        <v>842569</v>
      </c>
      <c r="B1875">
        <v>4145813</v>
      </c>
      <c r="C1875" s="32">
        <v>43071.101493055554</v>
      </c>
    </row>
    <row r="1876" spans="1:3">
      <c r="A1876">
        <v>992641</v>
      </c>
      <c r="B1876">
        <v>2355072</v>
      </c>
      <c r="C1876" s="32">
        <v>43072.616307870368</v>
      </c>
    </row>
    <row r="1877" spans="1:3">
      <c r="A1877">
        <v>964289</v>
      </c>
      <c r="B1877">
        <v>2131531</v>
      </c>
      <c r="C1877" s="32">
        <v>43072.638020833336</v>
      </c>
    </row>
    <row r="1878" spans="1:3">
      <c r="A1878">
        <v>378293</v>
      </c>
      <c r="B1878">
        <v>3740459</v>
      </c>
      <c r="C1878" s="32">
        <v>43072.137141203704</v>
      </c>
    </row>
    <row r="1879" spans="1:3">
      <c r="A1879">
        <v>433333</v>
      </c>
      <c r="B1879">
        <v>2558244</v>
      </c>
      <c r="C1879" s="32">
        <v>43071.511932870373</v>
      </c>
    </row>
    <row r="1880" spans="1:3">
      <c r="A1880">
        <v>221952</v>
      </c>
      <c r="B1880">
        <v>2590256</v>
      </c>
      <c r="C1880" s="32">
        <v>43070.541284722225</v>
      </c>
    </row>
    <row r="1881" spans="1:3">
      <c r="A1881">
        <v>579731</v>
      </c>
      <c r="B1881">
        <v>1765288</v>
      </c>
      <c r="C1881" s="32">
        <v>43070.592430555553</v>
      </c>
    </row>
    <row r="1882" spans="1:3">
      <c r="A1882">
        <v>594285</v>
      </c>
      <c r="B1882">
        <v>4801426</v>
      </c>
      <c r="C1882" s="32">
        <v>43072.188877314817</v>
      </c>
    </row>
    <row r="1883" spans="1:3">
      <c r="A1883">
        <v>890626</v>
      </c>
      <c r="B1883">
        <v>149192</v>
      </c>
      <c r="C1883" s="32">
        <v>43069.69427083333</v>
      </c>
    </row>
    <row r="1884" spans="1:3">
      <c r="A1884">
        <v>18099</v>
      </c>
      <c r="B1884">
        <v>2465336</v>
      </c>
      <c r="C1884" s="32">
        <v>43071.016018518516</v>
      </c>
    </row>
    <row r="1885" spans="1:3">
      <c r="A1885">
        <v>184345</v>
      </c>
      <c r="B1885">
        <v>3081594</v>
      </c>
      <c r="C1885" s="32">
        <v>43071.246944444443</v>
      </c>
    </row>
    <row r="1886" spans="1:3">
      <c r="A1886">
        <v>725181</v>
      </c>
      <c r="B1886">
        <v>174239</v>
      </c>
      <c r="C1886" s="32">
        <v>43072.005555555559</v>
      </c>
    </row>
    <row r="1887" spans="1:3">
      <c r="A1887">
        <v>938272</v>
      </c>
      <c r="B1887">
        <v>1464116</v>
      </c>
      <c r="C1887" s="32">
        <v>43071.366273148145</v>
      </c>
    </row>
    <row r="1888" spans="1:3">
      <c r="A1888">
        <v>99538</v>
      </c>
      <c r="B1888">
        <v>3727100</v>
      </c>
      <c r="C1888" s="32">
        <v>43070.265787037039</v>
      </c>
    </row>
    <row r="1889" spans="1:3">
      <c r="A1889">
        <v>741828</v>
      </c>
      <c r="B1889">
        <v>1320293</v>
      </c>
      <c r="C1889" s="32">
        <v>43069.66847222222</v>
      </c>
    </row>
    <row r="1890" spans="1:3">
      <c r="A1890">
        <v>295901</v>
      </c>
      <c r="B1890">
        <v>2355072</v>
      </c>
      <c r="C1890" s="32">
        <v>43072.636782407404</v>
      </c>
    </row>
    <row r="1891" spans="1:3">
      <c r="A1891">
        <v>492185</v>
      </c>
      <c r="B1891">
        <v>3277224</v>
      </c>
      <c r="C1891" s="32">
        <v>43072.59778935185</v>
      </c>
    </row>
    <row r="1892" spans="1:3">
      <c r="A1892">
        <v>648228</v>
      </c>
      <c r="B1892">
        <v>982926</v>
      </c>
      <c r="C1892" s="32">
        <v>43071.373645833337</v>
      </c>
    </row>
    <row r="1893" spans="1:3">
      <c r="A1893">
        <v>778289</v>
      </c>
      <c r="B1893">
        <v>4197505</v>
      </c>
      <c r="C1893" s="32">
        <v>43071.145370370374</v>
      </c>
    </row>
    <row r="1894" spans="1:3">
      <c r="A1894">
        <v>212428</v>
      </c>
      <c r="B1894">
        <v>3336289</v>
      </c>
      <c r="C1894" s="32">
        <v>43070.250162037039</v>
      </c>
    </row>
    <row r="1895" spans="1:3">
      <c r="A1895">
        <v>171582</v>
      </c>
      <c r="B1895">
        <v>1575622</v>
      </c>
      <c r="C1895" s="32">
        <v>43071.056157407409</v>
      </c>
    </row>
    <row r="1896" spans="1:3">
      <c r="A1896">
        <v>522311</v>
      </c>
      <c r="B1896">
        <v>2939262</v>
      </c>
      <c r="C1896" s="32">
        <v>43071.503217592595</v>
      </c>
    </row>
    <row r="1897" spans="1:3">
      <c r="A1897">
        <v>536485</v>
      </c>
      <c r="B1897">
        <v>1879194</v>
      </c>
      <c r="C1897" s="32">
        <v>43071.505231481482</v>
      </c>
    </row>
    <row r="1898" spans="1:3">
      <c r="A1898">
        <v>2911</v>
      </c>
      <c r="B1898">
        <v>2355072</v>
      </c>
      <c r="C1898" s="32">
        <v>43071.399768518517</v>
      </c>
    </row>
    <row r="1899" spans="1:3">
      <c r="A1899">
        <v>259026</v>
      </c>
      <c r="B1899">
        <v>846990</v>
      </c>
      <c r="C1899" s="32">
        <v>43072.646423611113</v>
      </c>
    </row>
    <row r="1900" spans="1:3">
      <c r="A1900">
        <v>15048</v>
      </c>
      <c r="B1900">
        <v>1216617</v>
      </c>
      <c r="C1900" s="32">
        <v>43072.145960648151</v>
      </c>
    </row>
    <row r="1901" spans="1:3">
      <c r="A1901">
        <v>119427</v>
      </c>
      <c r="B1901">
        <v>149192</v>
      </c>
      <c r="C1901" s="32">
        <v>43071.622777777775</v>
      </c>
    </row>
    <row r="1902" spans="1:3">
      <c r="A1902">
        <v>643132</v>
      </c>
      <c r="B1902">
        <v>2725426</v>
      </c>
      <c r="C1902" s="32">
        <v>43070.609375</v>
      </c>
    </row>
    <row r="1903" spans="1:3">
      <c r="A1903">
        <v>614726</v>
      </c>
      <c r="B1903">
        <v>344833</v>
      </c>
      <c r="C1903" s="32">
        <v>43070.589861111112</v>
      </c>
    </row>
    <row r="1904" spans="1:3">
      <c r="A1904">
        <v>355359</v>
      </c>
      <c r="B1904">
        <v>4173315</v>
      </c>
      <c r="C1904" s="32">
        <v>43070.548819444448</v>
      </c>
    </row>
    <row r="1905" spans="1:3">
      <c r="A1905">
        <v>95046</v>
      </c>
      <c r="B1905">
        <v>1464116</v>
      </c>
      <c r="C1905" s="32">
        <v>43071.185671296298</v>
      </c>
    </row>
    <row r="1906" spans="1:3">
      <c r="A1906">
        <v>272678</v>
      </c>
      <c r="B1906">
        <v>4801438</v>
      </c>
      <c r="C1906" s="32">
        <v>43072.593090277776</v>
      </c>
    </row>
    <row r="1907" spans="1:3">
      <c r="A1907">
        <v>779460</v>
      </c>
      <c r="B1907">
        <v>360294</v>
      </c>
      <c r="C1907" s="32">
        <v>43069.828831018516</v>
      </c>
    </row>
    <row r="1908" spans="1:3">
      <c r="A1908">
        <v>968738</v>
      </c>
      <c r="B1908">
        <v>3430419</v>
      </c>
      <c r="C1908" s="32">
        <v>43070.519780092596</v>
      </c>
    </row>
    <row r="1909" spans="1:3">
      <c r="A1909">
        <v>875139</v>
      </c>
      <c r="B1909">
        <v>3500710</v>
      </c>
      <c r="C1909" s="32">
        <v>43072.172465277778</v>
      </c>
    </row>
    <row r="1910" spans="1:3">
      <c r="A1910">
        <v>990230</v>
      </c>
      <c r="B1910">
        <v>2578647</v>
      </c>
      <c r="C1910" s="32">
        <v>43070.223599537036</v>
      </c>
    </row>
    <row r="1911" spans="1:3">
      <c r="A1911">
        <v>381887</v>
      </c>
      <c r="B1911">
        <v>4145813</v>
      </c>
      <c r="C1911" s="32">
        <v>43070.085312499999</v>
      </c>
    </row>
    <row r="1912" spans="1:3">
      <c r="A1912">
        <v>946238</v>
      </c>
      <c r="B1912">
        <v>2735466</v>
      </c>
      <c r="C1912" s="32">
        <v>43071.271423611113</v>
      </c>
    </row>
    <row r="1913" spans="1:3">
      <c r="A1913">
        <v>102023</v>
      </c>
      <c r="B1913">
        <v>4145813</v>
      </c>
      <c r="C1913" s="32">
        <v>43071.581956018519</v>
      </c>
    </row>
    <row r="1914" spans="1:3">
      <c r="A1914">
        <v>347704</v>
      </c>
      <c r="B1914">
        <v>982926</v>
      </c>
      <c r="C1914" s="32">
        <v>43070.210520833331</v>
      </c>
    </row>
    <row r="1915" spans="1:3">
      <c r="A1915">
        <v>481595</v>
      </c>
      <c r="B1915">
        <v>1051370</v>
      </c>
      <c r="C1915" s="32">
        <v>43072.525462962964</v>
      </c>
    </row>
    <row r="1916" spans="1:3">
      <c r="A1916">
        <v>158263</v>
      </c>
      <c r="B1916">
        <v>3695050</v>
      </c>
      <c r="C1916" s="32">
        <v>43071.569837962961</v>
      </c>
    </row>
    <row r="1917" spans="1:3">
      <c r="A1917">
        <v>436910</v>
      </c>
      <c r="B1917">
        <v>1080785</v>
      </c>
      <c r="C1917" s="32">
        <v>43070.049212962964</v>
      </c>
    </row>
    <row r="1918" spans="1:3">
      <c r="A1918">
        <v>38375</v>
      </c>
      <c r="B1918">
        <v>982926</v>
      </c>
      <c r="C1918" s="32">
        <v>43072.601168981484</v>
      </c>
    </row>
    <row r="1919" spans="1:3">
      <c r="A1919">
        <v>969702</v>
      </c>
      <c r="B1919">
        <v>4692440</v>
      </c>
      <c r="C1919" s="32">
        <v>43071.592523148145</v>
      </c>
    </row>
    <row r="1920" spans="1:3">
      <c r="A1920">
        <v>235747</v>
      </c>
      <c r="B1920">
        <v>1817004</v>
      </c>
      <c r="C1920" s="32">
        <v>43072.565254629626</v>
      </c>
    </row>
    <row r="1921" spans="1:3">
      <c r="A1921">
        <v>6410</v>
      </c>
      <c r="B1921">
        <v>4801426</v>
      </c>
      <c r="C1921" s="32">
        <v>43071.767962962964</v>
      </c>
    </row>
    <row r="1922" spans="1:3">
      <c r="A1922">
        <v>612621</v>
      </c>
      <c r="B1922">
        <v>1819175</v>
      </c>
      <c r="C1922" s="32">
        <v>43071.178437499999</v>
      </c>
    </row>
    <row r="1923" spans="1:3">
      <c r="A1923">
        <v>77174</v>
      </c>
      <c r="B1923">
        <v>1349561</v>
      </c>
      <c r="C1923" s="32">
        <v>43072.073263888888</v>
      </c>
    </row>
    <row r="1924" spans="1:3">
      <c r="A1924">
        <v>199122</v>
      </c>
      <c r="B1924">
        <v>4145813</v>
      </c>
      <c r="C1924" s="32">
        <v>43072.591574074075</v>
      </c>
    </row>
    <row r="1925" spans="1:3">
      <c r="A1925">
        <v>311648</v>
      </c>
      <c r="B1925">
        <v>3855599</v>
      </c>
      <c r="C1925" s="32">
        <v>43072.051874999997</v>
      </c>
    </row>
    <row r="1926" spans="1:3">
      <c r="A1926">
        <v>614750</v>
      </c>
      <c r="B1926">
        <v>2520377</v>
      </c>
      <c r="C1926" s="32">
        <v>43071.206284722219</v>
      </c>
    </row>
    <row r="1927" spans="1:3">
      <c r="A1927">
        <v>329091</v>
      </c>
      <c r="B1927">
        <v>672001</v>
      </c>
      <c r="C1927" s="32">
        <v>43072.092222222222</v>
      </c>
    </row>
    <row r="1928" spans="1:3">
      <c r="A1928">
        <v>406568</v>
      </c>
      <c r="B1928">
        <v>4719814</v>
      </c>
      <c r="C1928" s="32">
        <v>43070.089803240742</v>
      </c>
    </row>
    <row r="1929" spans="1:3">
      <c r="A1929">
        <v>400795</v>
      </c>
      <c r="B1929">
        <v>2013232</v>
      </c>
      <c r="C1929" s="32">
        <v>43072.355358796296</v>
      </c>
    </row>
    <row r="1930" spans="1:3">
      <c r="A1930">
        <v>951479</v>
      </c>
      <c r="B1930">
        <v>2355072</v>
      </c>
      <c r="C1930" s="32">
        <v>43072.470960648148</v>
      </c>
    </row>
    <row r="1931" spans="1:3">
      <c r="A1931">
        <v>930769</v>
      </c>
      <c r="B1931">
        <v>2240104</v>
      </c>
      <c r="C1931" s="32">
        <v>43072.564814814818</v>
      </c>
    </row>
    <row r="1932" spans="1:3">
      <c r="A1932">
        <v>57777</v>
      </c>
      <c r="B1932">
        <v>1464116</v>
      </c>
      <c r="C1932" s="32">
        <v>43071.450428240743</v>
      </c>
    </row>
    <row r="1933" spans="1:3">
      <c r="A1933">
        <v>392162</v>
      </c>
      <c r="B1933">
        <v>4163659</v>
      </c>
      <c r="C1933" s="32">
        <v>43071.704652777778</v>
      </c>
    </row>
    <row r="1934" spans="1:3">
      <c r="A1934">
        <v>485395</v>
      </c>
      <c r="B1934">
        <v>4357323</v>
      </c>
      <c r="C1934" s="32">
        <v>43072.550023148149</v>
      </c>
    </row>
    <row r="1935" spans="1:3">
      <c r="A1935">
        <v>952030</v>
      </c>
      <c r="B1935">
        <v>2355072</v>
      </c>
      <c r="C1935" s="32">
        <v>43070.99386574074</v>
      </c>
    </row>
    <row r="1936" spans="1:3">
      <c r="A1936">
        <v>832074</v>
      </c>
      <c r="B1936">
        <v>2858794</v>
      </c>
      <c r="C1936" s="32">
        <v>43069.728101851855</v>
      </c>
    </row>
    <row r="1937" spans="1:3">
      <c r="A1937">
        <v>417499</v>
      </c>
      <c r="B1937">
        <v>2732466</v>
      </c>
      <c r="C1937" s="32">
        <v>43070.638229166667</v>
      </c>
    </row>
    <row r="1938" spans="1:3">
      <c r="A1938">
        <v>393865</v>
      </c>
      <c r="B1938">
        <v>3065645</v>
      </c>
      <c r="C1938" s="32">
        <v>43071.512986111113</v>
      </c>
    </row>
    <row r="1939" spans="1:3">
      <c r="A1939">
        <v>526283</v>
      </c>
      <c r="B1939">
        <v>4756105</v>
      </c>
      <c r="C1939" s="32">
        <v>43071.672546296293</v>
      </c>
    </row>
    <row r="1940" spans="1:3">
      <c r="A1940">
        <v>261307</v>
      </c>
      <c r="B1940">
        <v>4731191</v>
      </c>
      <c r="C1940" s="32">
        <v>43072.509988425925</v>
      </c>
    </row>
    <row r="1941" spans="1:3">
      <c r="A1941">
        <v>399788</v>
      </c>
      <c r="B1941">
        <v>4756105</v>
      </c>
      <c r="C1941" s="32">
        <v>43070.333113425928</v>
      </c>
    </row>
    <row r="1942" spans="1:3">
      <c r="A1942">
        <v>482662</v>
      </c>
      <c r="B1942">
        <v>3740459</v>
      </c>
      <c r="C1942" s="32">
        <v>43071.273379629631</v>
      </c>
    </row>
    <row r="1943" spans="1:3">
      <c r="A1943">
        <v>906747</v>
      </c>
      <c r="B1943">
        <v>1320293</v>
      </c>
      <c r="C1943" s="32">
        <v>43071.002175925925</v>
      </c>
    </row>
    <row r="1944" spans="1:3">
      <c r="A1944">
        <v>813264</v>
      </c>
      <c r="B1944">
        <v>3065645</v>
      </c>
      <c r="C1944" s="32">
        <v>43071.374745370369</v>
      </c>
    </row>
    <row r="1945" spans="1:3">
      <c r="A1945">
        <v>708585</v>
      </c>
      <c r="B1945">
        <v>2735466</v>
      </c>
      <c r="C1945" s="32">
        <v>43072.115833333337</v>
      </c>
    </row>
    <row r="1946" spans="1:3">
      <c r="A1946">
        <v>1010861</v>
      </c>
      <c r="B1946">
        <v>3002561</v>
      </c>
      <c r="C1946" s="32">
        <v>43072.551249999997</v>
      </c>
    </row>
    <row r="1947" spans="1:3">
      <c r="A1947">
        <v>837761</v>
      </c>
      <c r="B1947">
        <v>1029459</v>
      </c>
      <c r="C1947" s="32">
        <v>43071.109317129631</v>
      </c>
    </row>
    <row r="1948" spans="1:3">
      <c r="A1948">
        <v>361926</v>
      </c>
      <c r="B1948">
        <v>2529187</v>
      </c>
      <c r="C1948" s="32">
        <v>43072.592881944445</v>
      </c>
    </row>
    <row r="1949" spans="1:3">
      <c r="A1949">
        <v>986357</v>
      </c>
      <c r="B1949">
        <v>3738615</v>
      </c>
      <c r="C1949" s="32">
        <v>43069.762453703705</v>
      </c>
    </row>
    <row r="1950" spans="1:3">
      <c r="A1950">
        <v>965358</v>
      </c>
      <c r="B1950">
        <v>4339722</v>
      </c>
      <c r="C1950" s="32">
        <v>43071.556666666664</v>
      </c>
    </row>
    <row r="1951" spans="1:3">
      <c r="A1951">
        <v>380132</v>
      </c>
      <c r="B1951">
        <v>154040</v>
      </c>
      <c r="C1951" s="32">
        <v>43070.520497685182</v>
      </c>
    </row>
    <row r="1952" spans="1:3">
      <c r="A1952">
        <v>427130</v>
      </c>
      <c r="B1952">
        <v>4801426</v>
      </c>
      <c r="C1952" s="32">
        <v>43070.442210648151</v>
      </c>
    </row>
    <row r="1953" spans="1:3">
      <c r="A1953">
        <v>621045</v>
      </c>
      <c r="B1953">
        <v>965809</v>
      </c>
      <c r="C1953" s="32">
        <v>43071.730810185189</v>
      </c>
    </row>
    <row r="1954" spans="1:3">
      <c r="A1954">
        <v>663351</v>
      </c>
      <c r="B1954">
        <v>3112817</v>
      </c>
      <c r="C1954" s="32">
        <v>43071.569189814814</v>
      </c>
    </row>
    <row r="1955" spans="1:3">
      <c r="A1955">
        <v>708281</v>
      </c>
      <c r="B1955">
        <v>965809</v>
      </c>
      <c r="C1955" s="32">
        <v>43070.382303240738</v>
      </c>
    </row>
    <row r="1956" spans="1:3">
      <c r="A1956">
        <v>994065</v>
      </c>
      <c r="B1956">
        <v>72526</v>
      </c>
      <c r="C1956" s="32">
        <v>43071.216782407406</v>
      </c>
    </row>
    <row r="1957" spans="1:3">
      <c r="A1957">
        <v>833959</v>
      </c>
      <c r="B1957">
        <v>1568197</v>
      </c>
      <c r="C1957" s="32">
        <v>43072.578946759262</v>
      </c>
    </row>
    <row r="1958" spans="1:3">
      <c r="A1958">
        <v>802106</v>
      </c>
      <c r="B1958">
        <v>4145813</v>
      </c>
      <c r="C1958" s="32">
        <v>43069.923391203702</v>
      </c>
    </row>
    <row r="1959" spans="1:3">
      <c r="A1959">
        <v>531359</v>
      </c>
      <c r="B1959">
        <v>235534</v>
      </c>
      <c r="C1959" s="32">
        <v>43070.204988425925</v>
      </c>
    </row>
    <row r="1960" spans="1:3">
      <c r="A1960">
        <v>531055</v>
      </c>
      <c r="B1960">
        <v>149192</v>
      </c>
      <c r="C1960" s="32">
        <v>43071.716805555552</v>
      </c>
    </row>
    <row r="1961" spans="1:3">
      <c r="A1961">
        <v>586501</v>
      </c>
      <c r="B1961">
        <v>4801426</v>
      </c>
      <c r="C1961" s="32">
        <v>43069.996458333335</v>
      </c>
    </row>
    <row r="1962" spans="1:3">
      <c r="A1962">
        <v>31433</v>
      </c>
      <c r="B1962">
        <v>322167</v>
      </c>
      <c r="C1962" s="32">
        <v>43070.114664351851</v>
      </c>
    </row>
    <row r="1963" spans="1:3">
      <c r="A1963">
        <v>189082</v>
      </c>
      <c r="B1963">
        <v>3736936</v>
      </c>
      <c r="C1963" s="32">
        <v>43071.053136574075</v>
      </c>
    </row>
    <row r="1964" spans="1:3">
      <c r="A1964">
        <v>566101</v>
      </c>
      <c r="B1964">
        <v>1879194</v>
      </c>
      <c r="C1964" s="32">
        <v>43072.227037037039</v>
      </c>
    </row>
    <row r="1965" spans="1:3">
      <c r="A1965">
        <v>846905</v>
      </c>
      <c r="B1965">
        <v>3607361</v>
      </c>
      <c r="C1965" s="32">
        <v>43071.677881944444</v>
      </c>
    </row>
    <row r="1966" spans="1:3">
      <c r="A1966">
        <v>860570</v>
      </c>
      <c r="B1966">
        <v>1050007</v>
      </c>
      <c r="C1966" s="32">
        <v>43070.646122685182</v>
      </c>
    </row>
    <row r="1967" spans="1:3">
      <c r="A1967">
        <v>29958</v>
      </c>
      <c r="B1967">
        <v>4145813</v>
      </c>
      <c r="C1967" s="32">
        <v>43071.723923611113</v>
      </c>
    </row>
    <row r="1968" spans="1:3">
      <c r="A1968">
        <v>702192</v>
      </c>
      <c r="B1968">
        <v>1464116</v>
      </c>
      <c r="C1968" s="32">
        <v>43072.262199074074</v>
      </c>
    </row>
    <row r="1969" spans="1:3">
      <c r="A1969">
        <v>843497</v>
      </c>
      <c r="B1969">
        <v>1464116</v>
      </c>
      <c r="C1969" s="32">
        <v>43070.426342592589</v>
      </c>
    </row>
    <row r="1970" spans="1:3">
      <c r="A1970">
        <v>815568</v>
      </c>
      <c r="B1970">
        <v>1080785</v>
      </c>
      <c r="C1970" s="32">
        <v>43072.63449074074</v>
      </c>
    </row>
    <row r="1971" spans="1:3">
      <c r="A1971">
        <v>860793</v>
      </c>
      <c r="B1971">
        <v>3004853</v>
      </c>
      <c r="C1971" s="32">
        <v>43070.620578703703</v>
      </c>
    </row>
    <row r="1972" spans="1:3">
      <c r="A1972">
        <v>328354</v>
      </c>
      <c r="B1972">
        <v>562672</v>
      </c>
      <c r="C1972" s="32">
        <v>43072.482511574075</v>
      </c>
    </row>
    <row r="1973" spans="1:3">
      <c r="A1973">
        <v>358690</v>
      </c>
      <c r="B1973">
        <v>4756105</v>
      </c>
      <c r="C1973" s="32">
        <v>43072.38925925926</v>
      </c>
    </row>
    <row r="1974" spans="1:3">
      <c r="A1974">
        <v>61643</v>
      </c>
      <c r="B1974">
        <v>4756105</v>
      </c>
      <c r="C1974" s="32">
        <v>43071.028067129628</v>
      </c>
    </row>
    <row r="1975" spans="1:3">
      <c r="A1975">
        <v>238986</v>
      </c>
      <c r="B1975">
        <v>5071267</v>
      </c>
      <c r="C1975" s="32">
        <v>43071.335173611114</v>
      </c>
    </row>
    <row r="1976" spans="1:3">
      <c r="A1976">
        <v>551492</v>
      </c>
      <c r="B1976">
        <v>4643350</v>
      </c>
      <c r="C1976" s="32">
        <v>43072.004965277774</v>
      </c>
    </row>
    <row r="1977" spans="1:3">
      <c r="A1977">
        <v>554073</v>
      </c>
      <c r="B1977">
        <v>4512393</v>
      </c>
      <c r="C1977" s="32">
        <v>43071.123553240737</v>
      </c>
    </row>
    <row r="1978" spans="1:3">
      <c r="A1978">
        <v>861893</v>
      </c>
      <c r="B1978">
        <v>605237</v>
      </c>
      <c r="C1978" s="32">
        <v>43072.499155092592</v>
      </c>
    </row>
    <row r="1979" spans="1:3">
      <c r="A1979">
        <v>189082</v>
      </c>
      <c r="B1979">
        <v>3454970</v>
      </c>
      <c r="C1979" s="32">
        <v>43072.231064814812</v>
      </c>
    </row>
    <row r="1980" spans="1:3">
      <c r="A1980">
        <v>567683</v>
      </c>
      <c r="B1980">
        <v>2735466</v>
      </c>
      <c r="C1980" s="32">
        <v>43071.040092592593</v>
      </c>
    </row>
    <row r="1981" spans="1:3">
      <c r="A1981">
        <v>531137</v>
      </c>
      <c r="B1981">
        <v>3582241</v>
      </c>
      <c r="C1981" s="32">
        <v>43071.316736111112</v>
      </c>
    </row>
    <row r="1982" spans="1:3">
      <c r="A1982">
        <v>49115</v>
      </c>
      <c r="B1982">
        <v>570735</v>
      </c>
      <c r="C1982" s="32">
        <v>43071.107106481482</v>
      </c>
    </row>
    <row r="1983" spans="1:3">
      <c r="A1983">
        <v>263439</v>
      </c>
      <c r="B1983">
        <v>3754527</v>
      </c>
      <c r="C1983" s="32">
        <v>43069.720185185186</v>
      </c>
    </row>
    <row r="1984" spans="1:3">
      <c r="A1984">
        <v>187978</v>
      </c>
      <c r="B1984">
        <v>2939262</v>
      </c>
      <c r="C1984" s="32">
        <v>43070.949837962966</v>
      </c>
    </row>
    <row r="1985" spans="1:3">
      <c r="A1985">
        <v>563165</v>
      </c>
      <c r="B1985">
        <v>2355072</v>
      </c>
      <c r="C1985" s="32">
        <v>43071.733124999999</v>
      </c>
    </row>
    <row r="1986" spans="1:3">
      <c r="A1986">
        <v>550658</v>
      </c>
      <c r="B1986">
        <v>570735</v>
      </c>
      <c r="C1986" s="32">
        <v>43070.691805555558</v>
      </c>
    </row>
    <row r="1987" spans="1:3">
      <c r="A1987">
        <v>1005114</v>
      </c>
      <c r="B1987">
        <v>2920476</v>
      </c>
      <c r="C1987" s="32">
        <v>43072.56927083333</v>
      </c>
    </row>
    <row r="1988" spans="1:3">
      <c r="A1988">
        <v>482752</v>
      </c>
      <c r="B1988">
        <v>753984</v>
      </c>
      <c r="C1988" s="32">
        <v>43072.350752314815</v>
      </c>
    </row>
    <row r="1989" spans="1:3">
      <c r="A1989">
        <v>633619</v>
      </c>
      <c r="B1989">
        <v>3100408</v>
      </c>
      <c r="C1989" s="32">
        <v>43072.137557870374</v>
      </c>
    </row>
    <row r="1990" spans="1:3">
      <c r="A1990">
        <v>599772</v>
      </c>
      <c r="B1990">
        <v>1320293</v>
      </c>
      <c r="C1990" s="32">
        <v>43071.014016203706</v>
      </c>
    </row>
    <row r="1991" spans="1:3">
      <c r="A1991">
        <v>485329</v>
      </c>
      <c r="B1991">
        <v>381850</v>
      </c>
      <c r="C1991" s="32">
        <v>43071.141192129631</v>
      </c>
    </row>
    <row r="1992" spans="1:3">
      <c r="A1992">
        <v>569836</v>
      </c>
      <c r="B1992">
        <v>1299190</v>
      </c>
      <c r="C1992" s="32">
        <v>43071.555613425924</v>
      </c>
    </row>
    <row r="1993" spans="1:3">
      <c r="A1993">
        <v>854439</v>
      </c>
      <c r="B1993">
        <v>3607361</v>
      </c>
      <c r="C1993" s="32">
        <v>43072.127905092595</v>
      </c>
    </row>
    <row r="1994" spans="1:3">
      <c r="A1994">
        <v>654771</v>
      </c>
      <c r="B1994">
        <v>1288487</v>
      </c>
      <c r="C1994" s="32">
        <v>43070.612453703703</v>
      </c>
    </row>
    <row r="1995" spans="1:3">
      <c r="A1995">
        <v>964692</v>
      </c>
      <c r="B1995">
        <v>3607361</v>
      </c>
      <c r="C1995" s="32">
        <v>43072.545023148145</v>
      </c>
    </row>
    <row r="1996" spans="1:3">
      <c r="A1996">
        <v>416184</v>
      </c>
      <c r="B1996">
        <v>1859277</v>
      </c>
      <c r="C1996" s="32">
        <v>43071.493032407408</v>
      </c>
    </row>
    <row r="1997" spans="1:3">
      <c r="A1997">
        <v>478598</v>
      </c>
      <c r="B1997">
        <v>2355072</v>
      </c>
      <c r="C1997" s="32">
        <v>43070.71466435185</v>
      </c>
    </row>
    <row r="1998" spans="1:3">
      <c r="A1998">
        <v>922626</v>
      </c>
      <c r="B1998">
        <v>3607361</v>
      </c>
      <c r="C1998" s="32">
        <v>43070.213900462964</v>
      </c>
    </row>
    <row r="1999" spans="1:3">
      <c r="A1999">
        <v>362457</v>
      </c>
      <c r="B1999">
        <v>3879308</v>
      </c>
      <c r="C1999" s="32">
        <v>43071.666886574072</v>
      </c>
    </row>
    <row r="2000" spans="1:3">
      <c r="A2000">
        <v>242150</v>
      </c>
      <c r="B2000">
        <v>4217906</v>
      </c>
      <c r="C2000" s="32">
        <v>43071.497766203705</v>
      </c>
    </row>
    <row r="2001" spans="1:3">
      <c r="A2001">
        <v>549634</v>
      </c>
      <c r="B2001">
        <v>384755</v>
      </c>
      <c r="C2001" s="32">
        <v>43072.523402777777</v>
      </c>
    </row>
    <row r="2002" spans="1:3">
      <c r="A2002">
        <v>73035</v>
      </c>
      <c r="B2002">
        <v>542584</v>
      </c>
      <c r="C2002" s="32">
        <v>43070.292604166665</v>
      </c>
    </row>
    <row r="2003" spans="1:3">
      <c r="A2003">
        <v>568414</v>
      </c>
      <c r="B2003">
        <v>965809</v>
      </c>
      <c r="C2003" s="32">
        <v>43070.440648148149</v>
      </c>
    </row>
    <row r="2004" spans="1:3">
      <c r="A2004">
        <v>735846</v>
      </c>
      <c r="B2004">
        <v>4308141</v>
      </c>
      <c r="C2004" s="32">
        <v>43072.110150462962</v>
      </c>
    </row>
    <row r="2005" spans="1:3">
      <c r="A2005">
        <v>918512</v>
      </c>
      <c r="B2005">
        <v>1474371</v>
      </c>
      <c r="C2005" s="32">
        <v>43072.065821759257</v>
      </c>
    </row>
    <row r="2006" spans="1:3">
      <c r="A2006">
        <v>589172</v>
      </c>
      <c r="B2006">
        <v>4756105</v>
      </c>
      <c r="C2006" s="32">
        <v>43070.629467592589</v>
      </c>
    </row>
    <row r="2007" spans="1:3">
      <c r="A2007">
        <v>894857</v>
      </c>
      <c r="B2007">
        <v>2520771</v>
      </c>
      <c r="C2007" s="32">
        <v>43071.605324074073</v>
      </c>
    </row>
    <row r="2008" spans="1:3">
      <c r="A2008">
        <v>355235</v>
      </c>
      <c r="B2008">
        <v>1575622</v>
      </c>
      <c r="C2008" s="32">
        <v>43070.175844907404</v>
      </c>
    </row>
    <row r="2009" spans="1:3">
      <c r="A2009">
        <v>1007390</v>
      </c>
      <c r="B2009">
        <v>5071267</v>
      </c>
      <c r="C2009" s="32">
        <v>43070.309548611112</v>
      </c>
    </row>
    <row r="2010" spans="1:3">
      <c r="A2010">
        <v>351932</v>
      </c>
      <c r="B2010">
        <v>149192</v>
      </c>
      <c r="C2010" s="32">
        <v>43072.606145833335</v>
      </c>
    </row>
    <row r="2011" spans="1:3">
      <c r="A2011">
        <v>473671</v>
      </c>
      <c r="B2011">
        <v>2129666</v>
      </c>
      <c r="C2011" s="32">
        <v>43071.273981481485</v>
      </c>
    </row>
    <row r="2012" spans="1:3">
      <c r="A2012">
        <v>406290</v>
      </c>
      <c r="B2012">
        <v>4145813</v>
      </c>
      <c r="C2012" s="32">
        <v>43070.120868055557</v>
      </c>
    </row>
    <row r="2013" spans="1:3">
      <c r="A2013">
        <v>989756</v>
      </c>
      <c r="B2013">
        <v>3604509</v>
      </c>
      <c r="C2013" s="32">
        <v>43070.274756944447</v>
      </c>
    </row>
    <row r="2014" spans="1:3">
      <c r="A2014">
        <v>76978</v>
      </c>
      <c r="B2014">
        <v>982926</v>
      </c>
      <c r="C2014" s="32">
        <v>43070.479317129626</v>
      </c>
    </row>
    <row r="2015" spans="1:3">
      <c r="A2015">
        <v>621429</v>
      </c>
      <c r="B2015">
        <v>4801426</v>
      </c>
      <c r="C2015" s="32">
        <v>43070.719965277778</v>
      </c>
    </row>
    <row r="2016" spans="1:3">
      <c r="A2016">
        <v>980319</v>
      </c>
      <c r="B2016">
        <v>2462567</v>
      </c>
      <c r="C2016" s="32">
        <v>43070.013668981483</v>
      </c>
    </row>
    <row r="2017" spans="1:3">
      <c r="A2017">
        <v>441350</v>
      </c>
      <c r="B2017">
        <v>2129666</v>
      </c>
      <c r="C2017" s="32">
        <v>43071.662083333336</v>
      </c>
    </row>
    <row r="2018" spans="1:3">
      <c r="A2018">
        <v>516210</v>
      </c>
      <c r="B2018">
        <v>1859277</v>
      </c>
      <c r="C2018" s="32">
        <v>43071.985486111109</v>
      </c>
    </row>
    <row r="2019" spans="1:3">
      <c r="A2019">
        <v>410339</v>
      </c>
      <c r="B2019">
        <v>4069500</v>
      </c>
      <c r="C2019" s="32">
        <v>43070.443518518521</v>
      </c>
    </row>
    <row r="2020" spans="1:3">
      <c r="A2020">
        <v>90032</v>
      </c>
      <c r="B2020">
        <v>1851156</v>
      </c>
      <c r="C2020" s="32">
        <v>43072.472893518519</v>
      </c>
    </row>
    <row r="2021" spans="1:3">
      <c r="A2021">
        <v>272304</v>
      </c>
      <c r="B2021">
        <v>4756105</v>
      </c>
      <c r="C2021" s="32">
        <v>43071.626134259262</v>
      </c>
    </row>
    <row r="2022" spans="1:3">
      <c r="A2022">
        <v>563200</v>
      </c>
      <c r="B2022">
        <v>2072473</v>
      </c>
      <c r="C2022" s="32">
        <v>43071.648587962962</v>
      </c>
    </row>
    <row r="2023" spans="1:3">
      <c r="A2023">
        <v>234428</v>
      </c>
      <c r="B2023">
        <v>2966303</v>
      </c>
      <c r="C2023" s="32">
        <v>43072.641099537039</v>
      </c>
    </row>
    <row r="2024" spans="1:3">
      <c r="A2024">
        <v>302623</v>
      </c>
      <c r="B2024">
        <v>412619</v>
      </c>
      <c r="C2024" s="32">
        <v>43070.565300925926</v>
      </c>
    </row>
    <row r="2025" spans="1:3">
      <c r="A2025">
        <v>787164</v>
      </c>
      <c r="B2025">
        <v>3323023</v>
      </c>
      <c r="C2025" s="32">
        <v>43072.062210648146</v>
      </c>
    </row>
    <row r="2026" spans="1:3">
      <c r="A2026">
        <v>890572</v>
      </c>
      <c r="B2026">
        <v>3367924</v>
      </c>
      <c r="C2026" s="32">
        <v>43070.926423611112</v>
      </c>
    </row>
    <row r="2027" spans="1:3">
      <c r="A2027">
        <v>40729</v>
      </c>
      <c r="B2027">
        <v>2951233</v>
      </c>
      <c r="C2027" s="32">
        <v>43070.489224537036</v>
      </c>
    </row>
    <row r="2028" spans="1:3">
      <c r="A2028">
        <v>585364</v>
      </c>
      <c r="B2028">
        <v>4756105</v>
      </c>
      <c r="C2028" s="32">
        <v>43070.331747685188</v>
      </c>
    </row>
    <row r="2029" spans="1:3">
      <c r="A2029">
        <v>276399</v>
      </c>
      <c r="B2029">
        <v>3410245</v>
      </c>
      <c r="C2029" s="32">
        <v>43072.045416666668</v>
      </c>
    </row>
    <row r="2030" spans="1:3">
      <c r="A2030">
        <v>736754</v>
      </c>
      <c r="B2030">
        <v>982926</v>
      </c>
      <c r="C2030" s="32">
        <v>43072.122210648151</v>
      </c>
    </row>
    <row r="2031" spans="1:3">
      <c r="A2031">
        <v>1000690</v>
      </c>
      <c r="B2031">
        <v>1029459</v>
      </c>
      <c r="C2031" s="32">
        <v>43069.683854166666</v>
      </c>
    </row>
    <row r="2032" spans="1:3">
      <c r="A2032">
        <v>929379</v>
      </c>
      <c r="B2032">
        <v>4339722</v>
      </c>
      <c r="C2032" s="32">
        <v>43071.094618055555</v>
      </c>
    </row>
    <row r="2033" spans="1:3">
      <c r="A2033">
        <v>341332</v>
      </c>
      <c r="B2033">
        <v>1293225</v>
      </c>
      <c r="C2033" s="32">
        <v>43072.539953703701</v>
      </c>
    </row>
    <row r="2034" spans="1:3">
      <c r="A2034">
        <v>304664</v>
      </c>
      <c r="B2034">
        <v>1544586</v>
      </c>
      <c r="C2034" s="32">
        <v>43072.303611111114</v>
      </c>
    </row>
    <row r="2035" spans="1:3">
      <c r="A2035">
        <v>152572</v>
      </c>
      <c r="B2035">
        <v>3312150</v>
      </c>
      <c r="C2035" s="32">
        <v>43070.201099537036</v>
      </c>
    </row>
    <row r="2036" spans="1:3">
      <c r="A2036">
        <v>814217</v>
      </c>
      <c r="B2036">
        <v>982926</v>
      </c>
      <c r="C2036" s="32">
        <v>43070.496712962966</v>
      </c>
    </row>
    <row r="2037" spans="1:3">
      <c r="A2037">
        <v>287614</v>
      </c>
      <c r="B2037">
        <v>3002561</v>
      </c>
      <c r="C2037" s="32">
        <v>43071.596365740741</v>
      </c>
    </row>
    <row r="2038" spans="1:3">
      <c r="A2038">
        <v>875446</v>
      </c>
      <c r="B2038">
        <v>4339722</v>
      </c>
      <c r="C2038" s="32">
        <v>43072.383101851854</v>
      </c>
    </row>
    <row r="2039" spans="1:3">
      <c r="A2039">
        <v>627430</v>
      </c>
      <c r="B2039">
        <v>1457367</v>
      </c>
      <c r="C2039" s="32">
        <v>43072.506631944445</v>
      </c>
    </row>
    <row r="2040" spans="1:3">
      <c r="A2040">
        <v>687267</v>
      </c>
      <c r="B2040">
        <v>4349907</v>
      </c>
      <c r="C2040" s="32">
        <v>43072.327870370369</v>
      </c>
    </row>
    <row r="2041" spans="1:3">
      <c r="A2041">
        <v>733646</v>
      </c>
      <c r="B2041">
        <v>4181361</v>
      </c>
      <c r="C2041" s="32">
        <v>43072.518437500003</v>
      </c>
    </row>
    <row r="2042" spans="1:3">
      <c r="A2042">
        <v>872927</v>
      </c>
      <c r="B2042">
        <v>149192</v>
      </c>
      <c r="C2042" s="32">
        <v>43072.315555555557</v>
      </c>
    </row>
    <row r="2043" spans="1:3">
      <c r="A2043">
        <v>368300</v>
      </c>
      <c r="B2043">
        <v>838946</v>
      </c>
      <c r="C2043" s="32">
        <v>43071.588854166665</v>
      </c>
    </row>
    <row r="2044" spans="1:3">
      <c r="A2044">
        <v>160074</v>
      </c>
      <c r="B2044">
        <v>3400167</v>
      </c>
      <c r="C2044" s="32">
        <v>43070.447708333333</v>
      </c>
    </row>
    <row r="2045" spans="1:3">
      <c r="A2045">
        <v>623254</v>
      </c>
      <c r="B2045">
        <v>212449</v>
      </c>
      <c r="C2045" s="32">
        <v>43072.558020833334</v>
      </c>
    </row>
    <row r="2046" spans="1:3">
      <c r="A2046">
        <v>885979</v>
      </c>
      <c r="B2046">
        <v>1464116</v>
      </c>
      <c r="C2046" s="32">
        <v>43070.541562500002</v>
      </c>
    </row>
    <row r="2047" spans="1:3">
      <c r="A2047">
        <v>361343</v>
      </c>
      <c r="B2047">
        <v>982926</v>
      </c>
      <c r="C2047" s="32">
        <v>43071.566689814812</v>
      </c>
    </row>
    <row r="2048" spans="1:3">
      <c r="A2048">
        <v>410396</v>
      </c>
      <c r="B2048">
        <v>3747017</v>
      </c>
      <c r="C2048" s="32">
        <v>43071.296851851854</v>
      </c>
    </row>
    <row r="2049" spans="1:3">
      <c r="A2049">
        <v>608642</v>
      </c>
      <c r="B2049">
        <v>2640118</v>
      </c>
      <c r="C2049" s="32">
        <v>43070.49391203704</v>
      </c>
    </row>
    <row r="2050" spans="1:3">
      <c r="A2050">
        <v>280138</v>
      </c>
      <c r="B2050">
        <v>2355072</v>
      </c>
      <c r="C2050" s="32">
        <v>43072.610115740739</v>
      </c>
    </row>
    <row r="2051" spans="1:3">
      <c r="A2051">
        <v>499016</v>
      </c>
      <c r="B2051">
        <v>3566034</v>
      </c>
      <c r="C2051" s="32">
        <v>43072.175300925926</v>
      </c>
    </row>
    <row r="2052" spans="1:3">
      <c r="A2052">
        <v>81202</v>
      </c>
      <c r="B2052">
        <v>886203</v>
      </c>
      <c r="C2052" s="32">
        <v>43070.564097222225</v>
      </c>
    </row>
    <row r="2053" spans="1:3">
      <c r="A2053">
        <v>499710</v>
      </c>
      <c r="B2053">
        <v>3002561</v>
      </c>
      <c r="C2053" s="32">
        <v>43072.552754629629</v>
      </c>
    </row>
    <row r="2054" spans="1:3">
      <c r="A2054">
        <v>24153</v>
      </c>
      <c r="B2054">
        <v>1730594</v>
      </c>
      <c r="C2054" s="32">
        <v>43072.153252314813</v>
      </c>
    </row>
    <row r="2055" spans="1:3">
      <c r="A2055">
        <v>259951</v>
      </c>
      <c r="B2055">
        <v>3776866</v>
      </c>
      <c r="C2055" s="32">
        <v>43071.320335648146</v>
      </c>
    </row>
    <row r="2056" spans="1:3">
      <c r="A2056">
        <v>313049</v>
      </c>
      <c r="B2056">
        <v>1397912</v>
      </c>
      <c r="C2056" s="32">
        <v>43071.078240740739</v>
      </c>
    </row>
    <row r="2057" spans="1:3">
      <c r="A2057">
        <v>377231</v>
      </c>
      <c r="B2057">
        <v>570735</v>
      </c>
      <c r="C2057" s="32">
        <v>43070.296435185184</v>
      </c>
    </row>
    <row r="2058" spans="1:3">
      <c r="A2058">
        <v>510234</v>
      </c>
      <c r="B2058">
        <v>1464116</v>
      </c>
      <c r="C2058" s="32">
        <v>43072.635868055557</v>
      </c>
    </row>
    <row r="2059" spans="1:3">
      <c r="A2059">
        <v>17101</v>
      </c>
      <c r="B2059">
        <v>4719814</v>
      </c>
      <c r="C2059" s="32">
        <v>43072.156527777777</v>
      </c>
    </row>
    <row r="2060" spans="1:3">
      <c r="A2060">
        <v>481368</v>
      </c>
      <c r="B2060">
        <v>1029459</v>
      </c>
      <c r="C2060" s="32">
        <v>43071.558749999997</v>
      </c>
    </row>
    <row r="2061" spans="1:3">
      <c r="A2061">
        <v>820262</v>
      </c>
      <c r="B2061">
        <v>3607361</v>
      </c>
      <c r="C2061" s="32">
        <v>43072.310752314814</v>
      </c>
    </row>
    <row r="2062" spans="1:3">
      <c r="A2062">
        <v>842398</v>
      </c>
      <c r="B2062">
        <v>4756105</v>
      </c>
      <c r="C2062" s="32">
        <v>43071.527395833335</v>
      </c>
    </row>
    <row r="2063" spans="1:3">
      <c r="A2063">
        <v>631773</v>
      </c>
      <c r="B2063">
        <v>4756105</v>
      </c>
      <c r="C2063" s="32">
        <v>43070.669710648152</v>
      </c>
    </row>
    <row r="2064" spans="1:3">
      <c r="A2064">
        <v>957120</v>
      </c>
      <c r="B2064">
        <v>399287</v>
      </c>
      <c r="C2064" s="32">
        <v>43072.449502314812</v>
      </c>
    </row>
    <row r="2065" spans="1:3">
      <c r="A2065">
        <v>308847</v>
      </c>
      <c r="B2065">
        <v>4181361</v>
      </c>
      <c r="C2065" s="32">
        <v>43070.1015625</v>
      </c>
    </row>
    <row r="2066" spans="1:3">
      <c r="A2066">
        <v>278590</v>
      </c>
      <c r="B2066">
        <v>2735466</v>
      </c>
      <c r="C2066" s="32">
        <v>43070.619872685187</v>
      </c>
    </row>
    <row r="2067" spans="1:3">
      <c r="A2067">
        <v>720287</v>
      </c>
      <c r="B2067">
        <v>2520377</v>
      </c>
      <c r="C2067" s="32">
        <v>43072.505046296297</v>
      </c>
    </row>
    <row r="2068" spans="1:3">
      <c r="A2068">
        <v>187866</v>
      </c>
      <c r="B2068">
        <v>3004853</v>
      </c>
      <c r="C2068" s="32">
        <v>43069.752372685187</v>
      </c>
    </row>
    <row r="2069" spans="1:3">
      <c r="A2069">
        <v>543255</v>
      </c>
      <c r="B2069">
        <v>1851156</v>
      </c>
      <c r="C2069" s="32">
        <v>43071.210173611114</v>
      </c>
    </row>
    <row r="2070" spans="1:3">
      <c r="A2070">
        <v>571842</v>
      </c>
      <c r="B2070">
        <v>1595193</v>
      </c>
      <c r="C2070" s="32">
        <v>43070.193020833336</v>
      </c>
    </row>
    <row r="2071" spans="1:3">
      <c r="A2071">
        <v>855254</v>
      </c>
      <c r="B2071">
        <v>3299155</v>
      </c>
      <c r="C2071" s="32">
        <v>43072.090555555558</v>
      </c>
    </row>
    <row r="2072" spans="1:3">
      <c r="A2072">
        <v>342639</v>
      </c>
      <c r="B2072">
        <v>4697972</v>
      </c>
      <c r="C2072" s="32">
        <v>43070.184363425928</v>
      </c>
    </row>
    <row r="2073" spans="1:3">
      <c r="A2073">
        <v>460451</v>
      </c>
      <c r="B2073">
        <v>3002561</v>
      </c>
      <c r="C2073" s="32">
        <v>43070.589016203703</v>
      </c>
    </row>
    <row r="2074" spans="1:3">
      <c r="A2074">
        <v>585197</v>
      </c>
      <c r="B2074">
        <v>1397912</v>
      </c>
      <c r="C2074" s="32">
        <v>43071.570914351854</v>
      </c>
    </row>
    <row r="2075" spans="1:3">
      <c r="A2075">
        <v>203168</v>
      </c>
      <c r="B2075">
        <v>4776549</v>
      </c>
      <c r="C2075" s="32">
        <v>43070.256064814814</v>
      </c>
    </row>
    <row r="2076" spans="1:3">
      <c r="A2076">
        <v>707117</v>
      </c>
      <c r="B2076">
        <v>1859277</v>
      </c>
      <c r="C2076" s="32">
        <v>43071.560127314813</v>
      </c>
    </row>
    <row r="2077" spans="1:3">
      <c r="A2077">
        <v>575187</v>
      </c>
      <c r="B2077">
        <v>1575622</v>
      </c>
      <c r="C2077" s="32">
        <v>43071.270057870373</v>
      </c>
    </row>
    <row r="2078" spans="1:3">
      <c r="A2078">
        <v>936636</v>
      </c>
      <c r="B2078">
        <v>982926</v>
      </c>
      <c r="C2078" s="32">
        <v>43072.134629629632</v>
      </c>
    </row>
    <row r="2079" spans="1:3">
      <c r="A2079">
        <v>362295</v>
      </c>
      <c r="B2079">
        <v>3320579</v>
      </c>
      <c r="C2079" s="32">
        <v>43070.282337962963</v>
      </c>
    </row>
    <row r="2080" spans="1:3">
      <c r="A2080">
        <v>273985</v>
      </c>
      <c r="B2080">
        <v>182615</v>
      </c>
      <c r="C2080" s="32">
        <v>43072.219421296293</v>
      </c>
    </row>
    <row r="2081" spans="1:3">
      <c r="A2081">
        <v>559850</v>
      </c>
      <c r="B2081">
        <v>4181361</v>
      </c>
      <c r="C2081" s="32">
        <v>43072.1794212963</v>
      </c>
    </row>
    <row r="2082" spans="1:3">
      <c r="A2082">
        <v>921584</v>
      </c>
      <c r="B2082">
        <v>238434</v>
      </c>
      <c r="C2082" s="32">
        <v>43072.478750000002</v>
      </c>
    </row>
    <row r="2083" spans="1:3">
      <c r="A2083">
        <v>882695</v>
      </c>
      <c r="B2083">
        <v>2735466</v>
      </c>
      <c r="C2083" s="32">
        <v>43072.458738425928</v>
      </c>
    </row>
    <row r="2084" spans="1:3">
      <c r="A2084">
        <v>656803</v>
      </c>
      <c r="B2084">
        <v>4159072</v>
      </c>
      <c r="C2084" s="32">
        <v>43072.426689814813</v>
      </c>
    </row>
    <row r="2085" spans="1:3">
      <c r="A2085">
        <v>112761</v>
      </c>
      <c r="B2085">
        <v>941949</v>
      </c>
      <c r="C2085" s="32">
        <v>43072.235324074078</v>
      </c>
    </row>
    <row r="2086" spans="1:3">
      <c r="A2086">
        <v>119965</v>
      </c>
      <c r="B2086">
        <v>2878148</v>
      </c>
      <c r="C2086" s="32">
        <v>43071.711574074077</v>
      </c>
    </row>
    <row r="2087" spans="1:3">
      <c r="A2087">
        <v>180263</v>
      </c>
      <c r="B2087">
        <v>2465336</v>
      </c>
      <c r="C2087" s="32">
        <v>43071.643263888887</v>
      </c>
    </row>
    <row r="2088" spans="1:3">
      <c r="A2088">
        <v>145555</v>
      </c>
      <c r="B2088">
        <v>4217906</v>
      </c>
      <c r="C2088" s="32">
        <v>43070.140729166669</v>
      </c>
    </row>
    <row r="2089" spans="1:3">
      <c r="A2089">
        <v>272292</v>
      </c>
      <c r="B2089">
        <v>3100759</v>
      </c>
      <c r="C2089" s="32">
        <v>43070.493495370371</v>
      </c>
    </row>
    <row r="2090" spans="1:3">
      <c r="A2090">
        <v>928295</v>
      </c>
      <c r="B2090">
        <v>1367932</v>
      </c>
      <c r="C2090" s="32">
        <v>43072.261435185188</v>
      </c>
    </row>
    <row r="2091" spans="1:3">
      <c r="A2091">
        <v>289360</v>
      </c>
      <c r="B2091">
        <v>4672807</v>
      </c>
      <c r="C2091" s="32">
        <v>43071.279942129629</v>
      </c>
    </row>
    <row r="2092" spans="1:3">
      <c r="A2092">
        <v>534987</v>
      </c>
      <c r="B2092">
        <v>982926</v>
      </c>
      <c r="C2092" s="32">
        <v>43071.986932870372</v>
      </c>
    </row>
    <row r="2093" spans="1:3">
      <c r="A2093">
        <v>511846</v>
      </c>
      <c r="B2093">
        <v>4801426</v>
      </c>
      <c r="C2093" s="32">
        <v>43070.522615740738</v>
      </c>
    </row>
    <row r="2094" spans="1:3">
      <c r="A2094">
        <v>4609</v>
      </c>
      <c r="B2094">
        <v>1320293</v>
      </c>
      <c r="C2094" s="32">
        <v>43071.584733796299</v>
      </c>
    </row>
    <row r="2095" spans="1:3">
      <c r="A2095">
        <v>465587</v>
      </c>
      <c r="B2095">
        <v>2735466</v>
      </c>
      <c r="C2095" s="32">
        <v>43071.698460648149</v>
      </c>
    </row>
    <row r="2096" spans="1:3">
      <c r="A2096">
        <v>436822</v>
      </c>
      <c r="B2096">
        <v>4145813</v>
      </c>
      <c r="C2096" s="32">
        <v>43071.384317129632</v>
      </c>
    </row>
    <row r="2097" spans="1:3">
      <c r="A2097">
        <v>751113</v>
      </c>
      <c r="B2097">
        <v>4789432</v>
      </c>
      <c r="C2097" s="32">
        <v>43072.378344907411</v>
      </c>
    </row>
    <row r="2098" spans="1:3">
      <c r="A2098">
        <v>911929</v>
      </c>
      <c r="B2098">
        <v>1008362</v>
      </c>
      <c r="C2098" s="32">
        <v>43072.249039351853</v>
      </c>
    </row>
    <row r="2099" spans="1:3">
      <c r="A2099">
        <v>1175</v>
      </c>
      <c r="B2099">
        <v>4355436</v>
      </c>
      <c r="C2099" s="32">
        <v>43071.367349537039</v>
      </c>
    </row>
    <row r="2100" spans="1:3">
      <c r="A2100">
        <v>50484</v>
      </c>
      <c r="B2100">
        <v>1943877</v>
      </c>
      <c r="C2100" s="32">
        <v>43072.213113425925</v>
      </c>
    </row>
    <row r="2101" spans="1:3">
      <c r="A2101">
        <v>344213</v>
      </c>
      <c r="B2101">
        <v>3836451</v>
      </c>
      <c r="C2101" s="32">
        <v>43070.968900462962</v>
      </c>
    </row>
    <row r="2102" spans="1:3">
      <c r="A2102">
        <v>5548</v>
      </c>
      <c r="B2102">
        <v>669762</v>
      </c>
      <c r="C2102" s="32">
        <v>43070.852337962962</v>
      </c>
    </row>
    <row r="2103" spans="1:3">
      <c r="A2103">
        <v>720379</v>
      </c>
      <c r="B2103">
        <v>4993094</v>
      </c>
      <c r="C2103" s="32">
        <v>43071.709675925929</v>
      </c>
    </row>
    <row r="2104" spans="1:3">
      <c r="A2104">
        <v>594974</v>
      </c>
      <c r="B2104">
        <v>2629787</v>
      </c>
      <c r="C2104" s="32">
        <v>43070.869386574072</v>
      </c>
    </row>
    <row r="2105" spans="1:3">
      <c r="A2105">
        <v>701418</v>
      </c>
      <c r="B2105">
        <v>174239</v>
      </c>
      <c r="C2105" s="32">
        <v>43071.546759259261</v>
      </c>
    </row>
    <row r="2106" spans="1:3">
      <c r="A2106">
        <v>382839</v>
      </c>
      <c r="B2106">
        <v>4756105</v>
      </c>
      <c r="C2106" s="32">
        <v>43072.55804398148</v>
      </c>
    </row>
    <row r="2107" spans="1:3">
      <c r="A2107">
        <v>208019</v>
      </c>
      <c r="B2107">
        <v>4357323</v>
      </c>
      <c r="C2107" s="32">
        <v>43072.366956018515</v>
      </c>
    </row>
    <row r="2108" spans="1:3">
      <c r="A2108">
        <v>513475</v>
      </c>
      <c r="B2108">
        <v>2465336</v>
      </c>
      <c r="C2108" s="32">
        <v>43071.522951388892</v>
      </c>
    </row>
    <row r="2109" spans="1:3">
      <c r="A2109">
        <v>676718</v>
      </c>
      <c r="B2109">
        <v>366112</v>
      </c>
      <c r="C2109" s="32">
        <v>43071.681886574072</v>
      </c>
    </row>
    <row r="2110" spans="1:3">
      <c r="A2110">
        <v>746903</v>
      </c>
      <c r="B2110">
        <v>4758477</v>
      </c>
      <c r="C2110" s="32">
        <v>43070.352013888885</v>
      </c>
    </row>
    <row r="2111" spans="1:3">
      <c r="A2111">
        <v>810467</v>
      </c>
      <c r="B2111">
        <v>1928278</v>
      </c>
      <c r="C2111" s="32">
        <v>43072.159745370373</v>
      </c>
    </row>
    <row r="2112" spans="1:3">
      <c r="A2112">
        <v>786876</v>
      </c>
      <c r="B2112">
        <v>1464116</v>
      </c>
      <c r="C2112" s="32">
        <v>43071.602789351855</v>
      </c>
    </row>
    <row r="2113" spans="1:3">
      <c r="A2113">
        <v>377518</v>
      </c>
      <c r="B2113">
        <v>3904106</v>
      </c>
      <c r="C2113" s="32">
        <v>43070.638958333337</v>
      </c>
    </row>
    <row r="2114" spans="1:3">
      <c r="A2114">
        <v>92615</v>
      </c>
      <c r="B2114">
        <v>5071267</v>
      </c>
      <c r="C2114" s="32">
        <v>43071.627222222225</v>
      </c>
    </row>
    <row r="2115" spans="1:3">
      <c r="A2115">
        <v>539854</v>
      </c>
      <c r="B2115">
        <v>4242742</v>
      </c>
      <c r="C2115" s="32">
        <v>43071.243773148148</v>
      </c>
    </row>
    <row r="2116" spans="1:3">
      <c r="A2116">
        <v>283717</v>
      </c>
      <c r="B2116">
        <v>4756105</v>
      </c>
      <c r="C2116" s="32">
        <v>43071.418078703704</v>
      </c>
    </row>
    <row r="2117" spans="1:3">
      <c r="A2117">
        <v>567882</v>
      </c>
      <c r="B2117">
        <v>4135836</v>
      </c>
      <c r="C2117" s="32">
        <v>43070.700590277775</v>
      </c>
    </row>
    <row r="2118" spans="1:3">
      <c r="A2118">
        <v>966076</v>
      </c>
      <c r="B2118">
        <v>2520377</v>
      </c>
      <c r="C2118" s="32">
        <v>43070.28800925926</v>
      </c>
    </row>
    <row r="2119" spans="1:3">
      <c r="A2119">
        <v>414386</v>
      </c>
      <c r="B2119">
        <v>982926</v>
      </c>
      <c r="C2119" s="32">
        <v>43070.214629629627</v>
      </c>
    </row>
    <row r="2120" spans="1:3">
      <c r="A2120">
        <v>303026</v>
      </c>
      <c r="B2120">
        <v>2131531</v>
      </c>
      <c r="C2120" s="32">
        <v>43070.609293981484</v>
      </c>
    </row>
    <row r="2121" spans="1:3">
      <c r="A2121">
        <v>386874</v>
      </c>
      <c r="B2121">
        <v>2241047</v>
      </c>
      <c r="C2121" s="32">
        <v>43071.217951388891</v>
      </c>
    </row>
    <row r="2122" spans="1:3">
      <c r="A2122">
        <v>359861</v>
      </c>
      <c r="B2122">
        <v>4756105</v>
      </c>
      <c r="C2122" s="32">
        <v>43072.637962962966</v>
      </c>
    </row>
    <row r="2123" spans="1:3">
      <c r="A2123">
        <v>493760</v>
      </c>
      <c r="B2123">
        <v>4145813</v>
      </c>
      <c r="C2123" s="32">
        <v>43072.465740740743</v>
      </c>
    </row>
    <row r="2124" spans="1:3">
      <c r="A2124">
        <v>16111</v>
      </c>
      <c r="B2124">
        <v>1582197</v>
      </c>
      <c r="C2124" s="32">
        <v>43070.073564814818</v>
      </c>
    </row>
    <row r="2125" spans="1:3">
      <c r="A2125">
        <v>176775</v>
      </c>
      <c r="B2125">
        <v>4801426</v>
      </c>
      <c r="C2125" s="32">
        <v>43071.601099537038</v>
      </c>
    </row>
    <row r="2126" spans="1:3">
      <c r="A2126">
        <v>622900</v>
      </c>
      <c r="B2126">
        <v>3002561</v>
      </c>
      <c r="C2126" s="32">
        <v>43070.137650462966</v>
      </c>
    </row>
    <row r="2127" spans="1:3">
      <c r="A2127">
        <v>701116</v>
      </c>
      <c r="B2127">
        <v>2885642</v>
      </c>
      <c r="C2127" s="32">
        <v>43072.445300925923</v>
      </c>
    </row>
    <row r="2128" spans="1:3">
      <c r="A2128">
        <v>494332</v>
      </c>
      <c r="B2128">
        <v>3880080</v>
      </c>
      <c r="C2128" s="32">
        <v>43071.45480324074</v>
      </c>
    </row>
    <row r="2129" spans="1:3">
      <c r="A2129">
        <v>964432</v>
      </c>
      <c r="B2129">
        <v>2640118</v>
      </c>
      <c r="C2129" s="32">
        <v>43072.584479166668</v>
      </c>
    </row>
    <row r="2130" spans="1:3">
      <c r="A2130">
        <v>455806</v>
      </c>
      <c r="B2130">
        <v>2311290</v>
      </c>
      <c r="C2130" s="32">
        <v>43072.542442129627</v>
      </c>
    </row>
    <row r="2131" spans="1:3">
      <c r="A2131">
        <v>570328</v>
      </c>
      <c r="B2131">
        <v>1879194</v>
      </c>
      <c r="C2131" s="32">
        <v>43071.133171296293</v>
      </c>
    </row>
    <row r="2132" spans="1:3">
      <c r="A2132">
        <v>40916</v>
      </c>
      <c r="B2132">
        <v>4918438</v>
      </c>
      <c r="C2132" s="32">
        <v>43069.961099537039</v>
      </c>
    </row>
    <row r="2133" spans="1:3">
      <c r="A2133">
        <v>708179</v>
      </c>
      <c r="B2133">
        <v>1216617</v>
      </c>
      <c r="C2133" s="32">
        <v>43070.106493055559</v>
      </c>
    </row>
    <row r="2134" spans="1:3">
      <c r="A2134">
        <v>825819</v>
      </c>
      <c r="B2134">
        <v>4756105</v>
      </c>
      <c r="C2134" s="32">
        <v>43070.517743055556</v>
      </c>
    </row>
    <row r="2135" spans="1:3">
      <c r="A2135">
        <v>289614</v>
      </c>
      <c r="B2135">
        <v>1963052</v>
      </c>
      <c r="C2135" s="32">
        <v>43070.674224537041</v>
      </c>
    </row>
    <row r="2136" spans="1:3">
      <c r="A2136">
        <v>32522</v>
      </c>
      <c r="B2136">
        <v>5053508</v>
      </c>
      <c r="C2136" s="32">
        <v>43072.653298611112</v>
      </c>
    </row>
    <row r="2137" spans="1:3">
      <c r="A2137">
        <v>685140</v>
      </c>
      <c r="B2137">
        <v>2939262</v>
      </c>
      <c r="C2137" s="32">
        <v>43071.187314814815</v>
      </c>
    </row>
    <row r="2138" spans="1:3">
      <c r="A2138">
        <v>19110</v>
      </c>
      <c r="B2138">
        <v>72526</v>
      </c>
      <c r="C2138" s="32">
        <v>43072.058576388888</v>
      </c>
    </row>
    <row r="2139" spans="1:3">
      <c r="A2139">
        <v>240219</v>
      </c>
      <c r="B2139">
        <v>5071267</v>
      </c>
      <c r="C2139" s="32">
        <v>43071.521805555552</v>
      </c>
    </row>
    <row r="2140" spans="1:3">
      <c r="A2140">
        <v>759189</v>
      </c>
      <c r="B2140">
        <v>1288487</v>
      </c>
      <c r="C2140" s="32">
        <v>43071.055162037039</v>
      </c>
    </row>
    <row r="2141" spans="1:3">
      <c r="A2141">
        <v>988412</v>
      </c>
      <c r="B2141">
        <v>1467750</v>
      </c>
      <c r="C2141" s="32">
        <v>43071.637835648151</v>
      </c>
    </row>
    <row r="2142" spans="1:3">
      <c r="A2142">
        <v>294898</v>
      </c>
      <c r="B2142">
        <v>3738615</v>
      </c>
      <c r="C2142" s="32">
        <v>43070.777962962966</v>
      </c>
    </row>
    <row r="2143" spans="1:3">
      <c r="A2143">
        <v>298809</v>
      </c>
      <c r="B2143">
        <v>1299190</v>
      </c>
      <c r="C2143" s="32">
        <v>43070.618668981479</v>
      </c>
    </row>
    <row r="2144" spans="1:3">
      <c r="A2144">
        <v>600836</v>
      </c>
      <c r="B2144">
        <v>4170419</v>
      </c>
      <c r="C2144" s="32">
        <v>43070.526087962964</v>
      </c>
    </row>
    <row r="2145" spans="1:3">
      <c r="A2145">
        <v>487068</v>
      </c>
      <c r="B2145">
        <v>1879194</v>
      </c>
      <c r="C2145" s="32">
        <v>43071.503101851849</v>
      </c>
    </row>
    <row r="2146" spans="1:3">
      <c r="A2146">
        <v>160506</v>
      </c>
      <c r="B2146">
        <v>149192</v>
      </c>
      <c r="C2146" s="32">
        <v>43072.657175925924</v>
      </c>
    </row>
    <row r="2147" spans="1:3">
      <c r="A2147">
        <v>936898</v>
      </c>
      <c r="B2147">
        <v>1320293</v>
      </c>
      <c r="C2147" s="32">
        <v>43071.154178240744</v>
      </c>
    </row>
    <row r="2148" spans="1:3">
      <c r="A2148">
        <v>45181</v>
      </c>
      <c r="B2148">
        <v>4919077</v>
      </c>
      <c r="C2148" s="32">
        <v>43070.0466087963</v>
      </c>
    </row>
    <row r="2149" spans="1:3">
      <c r="A2149">
        <v>233686</v>
      </c>
      <c r="B2149">
        <v>2520377</v>
      </c>
      <c r="C2149" s="32">
        <v>43070.58222222222</v>
      </c>
    </row>
    <row r="2150" spans="1:3">
      <c r="A2150">
        <v>97685</v>
      </c>
      <c r="B2150">
        <v>2313309</v>
      </c>
      <c r="C2150" s="32">
        <v>43070.251608796294</v>
      </c>
    </row>
    <row r="2151" spans="1:3">
      <c r="A2151">
        <v>180552</v>
      </c>
      <c r="B2151">
        <v>5002819</v>
      </c>
      <c r="C2151" s="32">
        <v>43072.342627314814</v>
      </c>
    </row>
    <row r="2152" spans="1:3">
      <c r="A2152">
        <v>317379</v>
      </c>
      <c r="B2152">
        <v>1575622</v>
      </c>
      <c r="C2152" s="32">
        <v>43071.694745370369</v>
      </c>
    </row>
    <row r="2153" spans="1:3">
      <c r="A2153">
        <v>607001</v>
      </c>
      <c r="B2153">
        <v>3738615</v>
      </c>
      <c r="C2153" s="32">
        <v>43071.216157407405</v>
      </c>
    </row>
    <row r="2154" spans="1:3">
      <c r="A2154">
        <v>729883</v>
      </c>
      <c r="B2154">
        <v>2425725</v>
      </c>
      <c r="C2154" s="32">
        <v>43069.954328703701</v>
      </c>
    </row>
    <row r="2155" spans="1:3">
      <c r="A2155">
        <v>59083</v>
      </c>
      <c r="B2155">
        <v>1350517</v>
      </c>
      <c r="C2155" s="32">
        <v>43071.530509259261</v>
      </c>
    </row>
    <row r="2156" spans="1:3">
      <c r="A2156">
        <v>6109</v>
      </c>
      <c r="B2156">
        <v>2735466</v>
      </c>
      <c r="C2156" s="32">
        <v>43070.195810185185</v>
      </c>
    </row>
    <row r="2157" spans="1:3">
      <c r="A2157">
        <v>31750</v>
      </c>
      <c r="B2157">
        <v>3937192</v>
      </c>
      <c r="C2157" s="32">
        <v>43071.691620370373</v>
      </c>
    </row>
    <row r="2158" spans="1:3">
      <c r="A2158">
        <v>379568</v>
      </c>
      <c r="B2158">
        <v>2885642</v>
      </c>
      <c r="C2158" s="32">
        <v>43071.527569444443</v>
      </c>
    </row>
    <row r="2159" spans="1:3">
      <c r="A2159">
        <v>788120</v>
      </c>
      <c r="B2159">
        <v>2507053</v>
      </c>
      <c r="C2159" s="32">
        <v>43071.145370370374</v>
      </c>
    </row>
    <row r="2160" spans="1:3">
      <c r="A2160">
        <v>690037</v>
      </c>
      <c r="B2160">
        <v>4350978</v>
      </c>
      <c r="C2160" s="32">
        <v>43070.663784722223</v>
      </c>
    </row>
    <row r="2161" spans="1:3">
      <c r="A2161">
        <v>942397</v>
      </c>
      <c r="B2161">
        <v>2939262</v>
      </c>
      <c r="C2161" s="32">
        <v>43071.382731481484</v>
      </c>
    </row>
    <row r="2162" spans="1:3">
      <c r="A2162">
        <v>517262</v>
      </c>
      <c r="B2162">
        <v>1051370</v>
      </c>
      <c r="C2162" s="32">
        <v>43071.33871527778</v>
      </c>
    </row>
    <row r="2163" spans="1:3">
      <c r="A2163">
        <v>326171</v>
      </c>
      <c r="B2163">
        <v>1397912</v>
      </c>
      <c r="C2163" s="32">
        <v>43072.625925925924</v>
      </c>
    </row>
    <row r="2164" spans="1:3">
      <c r="A2164">
        <v>766688</v>
      </c>
      <c r="B2164">
        <v>3702593</v>
      </c>
      <c r="C2164" s="32">
        <v>43072.094652777778</v>
      </c>
    </row>
    <row r="2165" spans="1:3">
      <c r="A2165">
        <v>904716</v>
      </c>
      <c r="B2165">
        <v>235534</v>
      </c>
      <c r="C2165" s="32">
        <v>43069.850451388891</v>
      </c>
    </row>
    <row r="2166" spans="1:3">
      <c r="A2166">
        <v>338717</v>
      </c>
      <c r="B2166">
        <v>903809</v>
      </c>
      <c r="C2166" s="32">
        <v>43072.321875000001</v>
      </c>
    </row>
    <row r="2167" spans="1:3">
      <c r="A2167">
        <v>762843</v>
      </c>
      <c r="B2167">
        <v>235534</v>
      </c>
      <c r="C2167" s="32">
        <v>43071.333668981482</v>
      </c>
    </row>
    <row r="2168" spans="1:3">
      <c r="A2168">
        <v>450659</v>
      </c>
      <c r="B2168">
        <v>4801426</v>
      </c>
      <c r="C2168" s="32">
        <v>43072.132569444446</v>
      </c>
    </row>
    <row r="2169" spans="1:3">
      <c r="A2169">
        <v>35258</v>
      </c>
      <c r="B2169">
        <v>1567637</v>
      </c>
      <c r="C2169" s="32">
        <v>43072.568599537037</v>
      </c>
    </row>
    <row r="2170" spans="1:3">
      <c r="A2170">
        <v>595161</v>
      </c>
      <c r="B2170">
        <v>2885642</v>
      </c>
      <c r="C2170" s="32">
        <v>43071.934525462966</v>
      </c>
    </row>
    <row r="2171" spans="1:3">
      <c r="A2171">
        <v>108236</v>
      </c>
      <c r="B2171">
        <v>4756105</v>
      </c>
      <c r="C2171" s="32">
        <v>43071.497708333336</v>
      </c>
    </row>
    <row r="2172" spans="1:3">
      <c r="A2172">
        <v>511321</v>
      </c>
      <c r="B2172">
        <v>3248072</v>
      </c>
      <c r="C2172" s="32">
        <v>43071.519467592596</v>
      </c>
    </row>
    <row r="2173" spans="1:3">
      <c r="A2173">
        <v>706207</v>
      </c>
      <c r="B2173">
        <v>3351726</v>
      </c>
      <c r="C2173" s="32">
        <v>43070.020439814813</v>
      </c>
    </row>
    <row r="2174" spans="1:3">
      <c r="A2174">
        <v>850056</v>
      </c>
      <c r="B2174">
        <v>285583</v>
      </c>
      <c r="C2174" s="32">
        <v>43070.844606481478</v>
      </c>
    </row>
    <row r="2175" spans="1:3">
      <c r="A2175">
        <v>37538</v>
      </c>
      <c r="B2175">
        <v>2721770</v>
      </c>
      <c r="C2175" s="32">
        <v>43071.164143518516</v>
      </c>
    </row>
    <row r="2176" spans="1:3">
      <c r="A2176">
        <v>587188</v>
      </c>
      <c r="B2176">
        <v>1320293</v>
      </c>
      <c r="C2176" s="32">
        <v>43071.602881944447</v>
      </c>
    </row>
    <row r="2177" spans="1:3">
      <c r="A2177">
        <v>152140</v>
      </c>
      <c r="B2177">
        <v>2640118</v>
      </c>
      <c r="C2177" s="32">
        <v>43070.335833333331</v>
      </c>
    </row>
    <row r="2178" spans="1:3">
      <c r="A2178">
        <v>539900</v>
      </c>
      <c r="B2178">
        <v>1973012</v>
      </c>
      <c r="C2178" s="32">
        <v>43071.56422453704</v>
      </c>
    </row>
    <row r="2179" spans="1:3">
      <c r="A2179">
        <v>698913</v>
      </c>
      <c r="B2179">
        <v>1792277</v>
      </c>
      <c r="C2179" s="32">
        <v>43072.45988425926</v>
      </c>
    </row>
    <row r="2180" spans="1:3">
      <c r="A2180">
        <v>947455</v>
      </c>
      <c r="B2180">
        <v>4756105</v>
      </c>
      <c r="C2180" s="32">
        <v>43071.292280092595</v>
      </c>
    </row>
    <row r="2181" spans="1:3">
      <c r="A2181">
        <v>562252</v>
      </c>
      <c r="B2181">
        <v>1575622</v>
      </c>
      <c r="C2181" s="32">
        <v>43071.582627314812</v>
      </c>
    </row>
    <row r="2182" spans="1:3">
      <c r="A2182">
        <v>538209</v>
      </c>
      <c r="B2182">
        <v>3607361</v>
      </c>
      <c r="C2182" s="32">
        <v>43070.293298611112</v>
      </c>
    </row>
    <row r="2183" spans="1:3">
      <c r="A2183">
        <v>209329</v>
      </c>
      <c r="B2183">
        <v>2640118</v>
      </c>
      <c r="C2183" s="32">
        <v>43070.298425925925</v>
      </c>
    </row>
    <row r="2184" spans="1:3">
      <c r="A2184">
        <v>378183</v>
      </c>
      <c r="B2184">
        <v>1421739</v>
      </c>
      <c r="C2184" s="32">
        <v>43072.541956018518</v>
      </c>
    </row>
    <row r="2185" spans="1:3">
      <c r="A2185">
        <v>530544</v>
      </c>
      <c r="B2185">
        <v>4801426</v>
      </c>
      <c r="C2185" s="32">
        <v>43071.533726851849</v>
      </c>
    </row>
    <row r="2186" spans="1:3">
      <c r="A2186">
        <v>566162</v>
      </c>
      <c r="B2186">
        <v>285583</v>
      </c>
      <c r="C2186" s="32">
        <v>43070.643483796295</v>
      </c>
    </row>
    <row r="2187" spans="1:3">
      <c r="A2187">
        <v>957437</v>
      </c>
      <c r="B2187">
        <v>4936889</v>
      </c>
      <c r="C2187" s="32">
        <v>43072.604259259257</v>
      </c>
    </row>
    <row r="2188" spans="1:3">
      <c r="A2188">
        <v>766429</v>
      </c>
      <c r="B2188">
        <v>1320293</v>
      </c>
      <c r="C2188" s="32">
        <v>43071.270115740743</v>
      </c>
    </row>
    <row r="2189" spans="1:3">
      <c r="A2189">
        <v>868424</v>
      </c>
      <c r="B2189">
        <v>1320293</v>
      </c>
      <c r="C2189" s="32">
        <v>43070.709490740737</v>
      </c>
    </row>
    <row r="2190" spans="1:3">
      <c r="A2190">
        <v>938897</v>
      </c>
      <c r="B2190">
        <v>2096639</v>
      </c>
      <c r="C2190" s="32">
        <v>43070.100555555553</v>
      </c>
    </row>
    <row r="2191" spans="1:3">
      <c r="A2191">
        <v>750700</v>
      </c>
      <c r="B2191">
        <v>4756105</v>
      </c>
      <c r="C2191" s="32">
        <v>43071.14166666667</v>
      </c>
    </row>
    <row r="2192" spans="1:3">
      <c r="A2192">
        <v>614398</v>
      </c>
      <c r="B2192">
        <v>4976066</v>
      </c>
      <c r="C2192" s="32">
        <v>43072.641203703701</v>
      </c>
    </row>
    <row r="2193" spans="1:3">
      <c r="A2193">
        <v>801965</v>
      </c>
      <c r="B2193">
        <v>149192</v>
      </c>
      <c r="C2193" s="32">
        <v>43071.648078703707</v>
      </c>
    </row>
    <row r="2194" spans="1:3">
      <c r="A2194">
        <v>678139</v>
      </c>
      <c r="B2194">
        <v>2169876</v>
      </c>
      <c r="C2194" s="32">
        <v>43070.332256944443</v>
      </c>
    </row>
    <row r="2195" spans="1:3">
      <c r="A2195">
        <v>151983</v>
      </c>
      <c r="B2195">
        <v>119741</v>
      </c>
      <c r="C2195" s="32">
        <v>43070.576724537037</v>
      </c>
    </row>
    <row r="2196" spans="1:3">
      <c r="A2196">
        <v>179500</v>
      </c>
      <c r="B2196">
        <v>4756105</v>
      </c>
      <c r="C2196" s="32">
        <v>43072.433194444442</v>
      </c>
    </row>
    <row r="2197" spans="1:3">
      <c r="A2197">
        <v>288768</v>
      </c>
      <c r="B2197">
        <v>4145813</v>
      </c>
      <c r="C2197" s="32">
        <v>43071.90121527778</v>
      </c>
    </row>
    <row r="2198" spans="1:3">
      <c r="A2198">
        <v>670169</v>
      </c>
      <c r="B2198">
        <v>1349634</v>
      </c>
      <c r="C2198" s="32">
        <v>43071.524895833332</v>
      </c>
    </row>
    <row r="2199" spans="1:3">
      <c r="A2199">
        <v>508665</v>
      </c>
      <c r="B2199">
        <v>1881956</v>
      </c>
      <c r="C2199" s="32">
        <v>43072.330810185187</v>
      </c>
    </row>
    <row r="2200" spans="1:3">
      <c r="A2200">
        <v>949971</v>
      </c>
      <c r="B2200">
        <v>3004853</v>
      </c>
      <c r="C2200" s="32">
        <v>43072.627650462964</v>
      </c>
    </row>
    <row r="2201" spans="1:3">
      <c r="A2201">
        <v>262714</v>
      </c>
      <c r="B2201">
        <v>863375</v>
      </c>
      <c r="C2201" s="32">
        <v>43070.686759259261</v>
      </c>
    </row>
    <row r="2202" spans="1:3">
      <c r="A2202">
        <v>908834</v>
      </c>
      <c r="B2202">
        <v>874415</v>
      </c>
      <c r="C2202" s="32">
        <v>43071.357986111114</v>
      </c>
    </row>
    <row r="2203" spans="1:3">
      <c r="A2203">
        <v>256544</v>
      </c>
      <c r="B2203">
        <v>4145813</v>
      </c>
      <c r="C2203" s="32">
        <v>43071.585393518515</v>
      </c>
    </row>
    <row r="2204" spans="1:3">
      <c r="A2204">
        <v>76862</v>
      </c>
      <c r="B2204">
        <v>3112817</v>
      </c>
      <c r="C2204" s="32">
        <v>43072.493356481478</v>
      </c>
    </row>
    <row r="2205" spans="1:3">
      <c r="A2205">
        <v>922853</v>
      </c>
      <c r="B2205">
        <v>72526</v>
      </c>
      <c r="C2205" s="32">
        <v>43072.316990740743</v>
      </c>
    </row>
    <row r="2206" spans="1:3">
      <c r="A2206">
        <v>720848</v>
      </c>
      <c r="B2206">
        <v>4756105</v>
      </c>
      <c r="C2206" s="32">
        <v>43071.281469907408</v>
      </c>
    </row>
    <row r="2207" spans="1:3">
      <c r="A2207">
        <v>664910</v>
      </c>
      <c r="B2207">
        <v>3738615</v>
      </c>
      <c r="C2207" s="32">
        <v>43070.639398148145</v>
      </c>
    </row>
    <row r="2208" spans="1:3">
      <c r="A2208">
        <v>957811</v>
      </c>
      <c r="B2208">
        <v>2195789</v>
      </c>
      <c r="C2208" s="32">
        <v>43069.971574074072</v>
      </c>
    </row>
    <row r="2209" spans="1:3">
      <c r="A2209">
        <v>519084</v>
      </c>
      <c r="B2209">
        <v>3000315</v>
      </c>
      <c r="C2209" s="32">
        <v>43071.601956018516</v>
      </c>
    </row>
    <row r="2210" spans="1:3">
      <c r="A2210">
        <v>45768</v>
      </c>
      <c r="B2210">
        <v>4145813</v>
      </c>
      <c r="C2210" s="32">
        <v>43072.519756944443</v>
      </c>
    </row>
    <row r="2211" spans="1:3">
      <c r="A2211">
        <v>139217</v>
      </c>
      <c r="B2211">
        <v>2558204</v>
      </c>
      <c r="C2211" s="32">
        <v>43072.570162037038</v>
      </c>
    </row>
    <row r="2212" spans="1:3">
      <c r="A2212">
        <v>149469</v>
      </c>
      <c r="B2212">
        <v>30676</v>
      </c>
      <c r="C2212" s="32">
        <v>43072.586435185185</v>
      </c>
    </row>
    <row r="2213" spans="1:3">
      <c r="A2213">
        <v>1011712</v>
      </c>
      <c r="B2213">
        <v>344833</v>
      </c>
      <c r="C2213" s="32">
        <v>43070.034571759257</v>
      </c>
    </row>
    <row r="2214" spans="1:3">
      <c r="A2214">
        <v>140730</v>
      </c>
      <c r="B2214">
        <v>2858794</v>
      </c>
      <c r="C2214" s="32">
        <v>43072.27815972222</v>
      </c>
    </row>
    <row r="2215" spans="1:3">
      <c r="A2215">
        <v>300943</v>
      </c>
      <c r="B2215">
        <v>982926</v>
      </c>
      <c r="C2215" s="32">
        <v>43072.44568287037</v>
      </c>
    </row>
    <row r="2216" spans="1:3">
      <c r="A2216">
        <v>218959</v>
      </c>
      <c r="B2216">
        <v>4145813</v>
      </c>
      <c r="C2216" s="32">
        <v>43071.372534722221</v>
      </c>
    </row>
    <row r="2217" spans="1:3">
      <c r="A2217">
        <v>857548</v>
      </c>
      <c r="B2217">
        <v>4643350</v>
      </c>
      <c r="C2217" s="32">
        <v>43069.934502314813</v>
      </c>
    </row>
    <row r="2218" spans="1:3">
      <c r="A2218">
        <v>779870</v>
      </c>
      <c r="B2218">
        <v>2228184</v>
      </c>
      <c r="C2218" s="32">
        <v>43071.558067129627</v>
      </c>
    </row>
    <row r="2219" spans="1:3">
      <c r="A2219">
        <v>719803</v>
      </c>
      <c r="B2219">
        <v>1859277</v>
      </c>
      <c r="C2219" s="32">
        <v>43072.520057870373</v>
      </c>
    </row>
    <row r="2220" spans="1:3">
      <c r="A2220">
        <v>361198</v>
      </c>
      <c r="B2220">
        <v>1787510</v>
      </c>
      <c r="C2220" s="32">
        <v>43071.570104166669</v>
      </c>
    </row>
    <row r="2221" spans="1:3">
      <c r="A2221">
        <v>156979</v>
      </c>
      <c r="B2221">
        <v>339305</v>
      </c>
      <c r="C2221" s="32">
        <v>43071.625127314815</v>
      </c>
    </row>
    <row r="2222" spans="1:3">
      <c r="A2222">
        <v>221662</v>
      </c>
      <c r="B2222">
        <v>339580</v>
      </c>
      <c r="C2222" s="32">
        <v>43072.546215277776</v>
      </c>
    </row>
    <row r="2223" spans="1:3">
      <c r="A2223">
        <v>355160</v>
      </c>
      <c r="B2223">
        <v>2355072</v>
      </c>
      <c r="C2223" s="32">
        <v>43071.536238425928</v>
      </c>
    </row>
    <row r="2224" spans="1:3">
      <c r="A2224">
        <v>524398</v>
      </c>
      <c r="B2224">
        <v>2735466</v>
      </c>
      <c r="C2224" s="32">
        <v>43071.821840277778</v>
      </c>
    </row>
    <row r="2225" spans="1:3">
      <c r="A2225">
        <v>814682</v>
      </c>
      <c r="B2225">
        <v>1879194</v>
      </c>
      <c r="C2225" s="32">
        <v>43070.567164351851</v>
      </c>
    </row>
    <row r="2226" spans="1:3">
      <c r="A2226">
        <v>686701</v>
      </c>
      <c r="B2226">
        <v>2465336</v>
      </c>
      <c r="C2226" s="32">
        <v>43071.041377314818</v>
      </c>
    </row>
    <row r="2227" spans="1:3">
      <c r="A2227">
        <v>727517</v>
      </c>
      <c r="B2227">
        <v>1286537</v>
      </c>
      <c r="C2227" s="32">
        <v>43071.582233796296</v>
      </c>
    </row>
    <row r="2228" spans="1:3">
      <c r="A2228">
        <v>99824</v>
      </c>
      <c r="B2228">
        <v>3795317</v>
      </c>
      <c r="C2228" s="32">
        <v>43069.680694444447</v>
      </c>
    </row>
    <row r="2229" spans="1:3">
      <c r="A2229">
        <v>988317</v>
      </c>
      <c r="B2229">
        <v>4145813</v>
      </c>
      <c r="C2229" s="32">
        <v>43071.462870370371</v>
      </c>
    </row>
    <row r="2230" spans="1:3">
      <c r="A2230">
        <v>391171</v>
      </c>
      <c r="B2230">
        <v>3189935</v>
      </c>
      <c r="C2230" s="32">
        <v>43072.422777777778</v>
      </c>
    </row>
    <row r="2231" spans="1:3">
      <c r="A2231">
        <v>539615</v>
      </c>
      <c r="B2231">
        <v>4918438</v>
      </c>
      <c r="C2231" s="32">
        <v>43071.220439814817</v>
      </c>
    </row>
    <row r="2232" spans="1:3">
      <c r="A2232">
        <v>564383</v>
      </c>
      <c r="B2232">
        <v>2520771</v>
      </c>
      <c r="C2232" s="32">
        <v>43070.16746527778</v>
      </c>
    </row>
    <row r="2233" spans="1:3">
      <c r="A2233">
        <v>854591</v>
      </c>
      <c r="B2233">
        <v>3102419</v>
      </c>
      <c r="C2233" s="32">
        <v>43072.555</v>
      </c>
    </row>
    <row r="2234" spans="1:3">
      <c r="A2234">
        <v>673731</v>
      </c>
      <c r="B2234">
        <v>1464116</v>
      </c>
      <c r="C2234" s="32">
        <v>43072.11577546296</v>
      </c>
    </row>
    <row r="2235" spans="1:3">
      <c r="A2235">
        <v>742157</v>
      </c>
      <c r="B2235">
        <v>2748804</v>
      </c>
      <c r="C2235" s="32">
        <v>43070.946296296293</v>
      </c>
    </row>
    <row r="2236" spans="1:3">
      <c r="A2236">
        <v>990312</v>
      </c>
      <c r="B2236">
        <v>1194737</v>
      </c>
      <c r="C2236" s="32">
        <v>43071.57440972222</v>
      </c>
    </row>
    <row r="2237" spans="1:3">
      <c r="A2237">
        <v>58364</v>
      </c>
      <c r="B2237">
        <v>982926</v>
      </c>
      <c r="C2237" s="32">
        <v>43072.550208333334</v>
      </c>
    </row>
    <row r="2238" spans="1:3">
      <c r="A2238">
        <v>164739</v>
      </c>
      <c r="B2238">
        <v>171529</v>
      </c>
      <c r="C2238" s="32">
        <v>43071.527928240743</v>
      </c>
    </row>
    <row r="2239" spans="1:3">
      <c r="A2239">
        <v>322288</v>
      </c>
      <c r="B2239">
        <v>5008221</v>
      </c>
      <c r="C2239" s="32">
        <v>43072.357719907406</v>
      </c>
    </row>
    <row r="2240" spans="1:3">
      <c r="A2240">
        <v>88886</v>
      </c>
      <c r="B2240">
        <v>2629787</v>
      </c>
      <c r="C2240" s="32">
        <v>43070.543530092589</v>
      </c>
    </row>
    <row r="2241" spans="1:3">
      <c r="A2241">
        <v>875741</v>
      </c>
      <c r="B2241">
        <v>2801229</v>
      </c>
      <c r="C2241" s="32">
        <v>43069.671435185184</v>
      </c>
    </row>
    <row r="2242" spans="1:3">
      <c r="A2242">
        <v>309857</v>
      </c>
      <c r="B2242">
        <v>4958794</v>
      </c>
      <c r="C2242" s="32">
        <v>43070.952627314815</v>
      </c>
    </row>
    <row r="2243" spans="1:3">
      <c r="A2243">
        <v>131737</v>
      </c>
      <c r="B2243">
        <v>4756105</v>
      </c>
      <c r="C2243" s="32">
        <v>43072.344664351855</v>
      </c>
    </row>
    <row r="2244" spans="1:3">
      <c r="A2244">
        <v>953583</v>
      </c>
      <c r="B2244">
        <v>1379146</v>
      </c>
      <c r="C2244" s="32">
        <v>43071.338553240741</v>
      </c>
    </row>
    <row r="2245" spans="1:3">
      <c r="A2245">
        <v>749966</v>
      </c>
      <c r="B2245">
        <v>721664</v>
      </c>
      <c r="C2245" s="32">
        <v>43070.557488425926</v>
      </c>
    </row>
    <row r="2246" spans="1:3">
      <c r="A2246">
        <v>732081</v>
      </c>
      <c r="B2246">
        <v>4756105</v>
      </c>
      <c r="C2246" s="32">
        <v>43071.453333333331</v>
      </c>
    </row>
    <row r="2247" spans="1:3">
      <c r="A2247">
        <v>140543</v>
      </c>
      <c r="B2247">
        <v>4756105</v>
      </c>
      <c r="C2247" s="32">
        <v>43070.645277777781</v>
      </c>
    </row>
    <row r="2248" spans="1:3">
      <c r="A2248">
        <v>95590</v>
      </c>
      <c r="B2248">
        <v>1575622</v>
      </c>
      <c r="C2248" s="32">
        <v>43070.338761574072</v>
      </c>
    </row>
    <row r="2249" spans="1:3">
      <c r="A2249">
        <v>683115</v>
      </c>
      <c r="B2249">
        <v>3371868</v>
      </c>
      <c r="C2249" s="32">
        <v>43072.229791666665</v>
      </c>
    </row>
    <row r="2250" spans="1:3">
      <c r="A2250">
        <v>406004</v>
      </c>
      <c r="B2250">
        <v>2419959</v>
      </c>
      <c r="C2250" s="32">
        <v>43071.479421296295</v>
      </c>
    </row>
    <row r="2251" spans="1:3">
      <c r="A2251">
        <v>498165</v>
      </c>
      <c r="B2251">
        <v>2181935</v>
      </c>
      <c r="C2251" s="32">
        <v>43071.386307870373</v>
      </c>
    </row>
    <row r="2252" spans="1:3">
      <c r="A2252">
        <v>846562</v>
      </c>
      <c r="B2252">
        <v>4801426</v>
      </c>
      <c r="C2252" s="32">
        <v>43070.118761574071</v>
      </c>
    </row>
    <row r="2253" spans="1:3">
      <c r="A2253">
        <v>948976</v>
      </c>
      <c r="B2253">
        <v>1575622</v>
      </c>
      <c r="C2253" s="32">
        <v>43070.552395833336</v>
      </c>
    </row>
    <row r="2254" spans="1:3">
      <c r="A2254">
        <v>510879</v>
      </c>
      <c r="B2254">
        <v>2885642</v>
      </c>
      <c r="C2254" s="32">
        <v>43071.725034722222</v>
      </c>
    </row>
    <row r="2255" spans="1:3">
      <c r="A2255">
        <v>169616</v>
      </c>
      <c r="B2255">
        <v>245312</v>
      </c>
      <c r="C2255" s="32">
        <v>43071.642650462964</v>
      </c>
    </row>
    <row r="2256" spans="1:3">
      <c r="A2256">
        <v>131040</v>
      </c>
      <c r="B2256">
        <v>405755</v>
      </c>
      <c r="C2256" s="32">
        <v>43072.426377314812</v>
      </c>
    </row>
    <row r="2257" spans="1:3">
      <c r="A2257">
        <v>132155</v>
      </c>
      <c r="B2257">
        <v>4756105</v>
      </c>
      <c r="C2257" s="32">
        <v>43071.576689814814</v>
      </c>
    </row>
    <row r="2258" spans="1:3">
      <c r="A2258">
        <v>537645</v>
      </c>
      <c r="B2258">
        <v>3880463</v>
      </c>
      <c r="C2258" s="32">
        <v>43070.586145833331</v>
      </c>
    </row>
    <row r="2259" spans="1:3">
      <c r="A2259">
        <v>314037</v>
      </c>
      <c r="B2259">
        <v>3598912</v>
      </c>
      <c r="C2259" s="32">
        <v>43071.572152777779</v>
      </c>
    </row>
    <row r="2260" spans="1:3">
      <c r="A2260">
        <v>746928</v>
      </c>
      <c r="B2260">
        <v>1929875</v>
      </c>
      <c r="C2260" s="32">
        <v>43072.468506944446</v>
      </c>
    </row>
    <row r="2261" spans="1:3">
      <c r="A2261">
        <v>165381</v>
      </c>
      <c r="B2261">
        <v>2735466</v>
      </c>
      <c r="C2261" s="32">
        <v>43072.148657407408</v>
      </c>
    </row>
    <row r="2262" spans="1:3">
      <c r="A2262">
        <v>980510</v>
      </c>
      <c r="B2262">
        <v>3738615</v>
      </c>
      <c r="C2262" s="32">
        <v>43072.587407407409</v>
      </c>
    </row>
    <row r="2263" spans="1:3">
      <c r="A2263">
        <v>239933</v>
      </c>
      <c r="B2263">
        <v>3002561</v>
      </c>
      <c r="C2263" s="32">
        <v>43071.205370370371</v>
      </c>
    </row>
    <row r="2264" spans="1:3">
      <c r="A2264">
        <v>973115</v>
      </c>
      <c r="B2264">
        <v>3975787</v>
      </c>
      <c r="C2264" s="32">
        <v>43071.548657407409</v>
      </c>
    </row>
    <row r="2265" spans="1:3">
      <c r="A2265">
        <v>454409</v>
      </c>
      <c r="B2265">
        <v>2520377</v>
      </c>
      <c r="C2265" s="32">
        <v>43072.591990740744</v>
      </c>
    </row>
    <row r="2266" spans="1:3">
      <c r="A2266">
        <v>66562</v>
      </c>
      <c r="B2266">
        <v>2520377</v>
      </c>
      <c r="C2266" s="32">
        <v>43070.355138888888</v>
      </c>
    </row>
    <row r="2267" spans="1:3">
      <c r="A2267">
        <v>604303</v>
      </c>
      <c r="B2267">
        <v>1320293</v>
      </c>
      <c r="C2267" s="32">
        <v>43071.083958333336</v>
      </c>
    </row>
    <row r="2268" spans="1:3">
      <c r="A2268">
        <v>14095</v>
      </c>
      <c r="B2268">
        <v>3002561</v>
      </c>
      <c r="C2268" s="32">
        <v>43070.528622685182</v>
      </c>
    </row>
    <row r="2269" spans="1:3">
      <c r="A2269">
        <v>70638</v>
      </c>
      <c r="B2269">
        <v>2939262</v>
      </c>
      <c r="C2269" s="32">
        <v>43071.546678240738</v>
      </c>
    </row>
    <row r="2270" spans="1:3">
      <c r="A2270">
        <v>61422</v>
      </c>
      <c r="B2270">
        <v>982926</v>
      </c>
      <c r="C2270" s="32">
        <v>43070.795937499999</v>
      </c>
    </row>
    <row r="2271" spans="1:3">
      <c r="A2271">
        <v>382702</v>
      </c>
      <c r="B2271">
        <v>982926</v>
      </c>
      <c r="C2271" s="32">
        <v>43070.208460648151</v>
      </c>
    </row>
    <row r="2272" spans="1:3">
      <c r="A2272">
        <v>12213</v>
      </c>
      <c r="B2272">
        <v>4756105</v>
      </c>
      <c r="C2272" s="32">
        <v>43071.29378472222</v>
      </c>
    </row>
    <row r="2273" spans="1:3">
      <c r="A2273">
        <v>139745</v>
      </c>
      <c r="B2273">
        <v>3371868</v>
      </c>
      <c r="C2273" s="32">
        <v>43071.629305555558</v>
      </c>
    </row>
    <row r="2274" spans="1:3">
      <c r="A2274">
        <v>289689</v>
      </c>
      <c r="B2274">
        <v>4339722</v>
      </c>
      <c r="C2274" s="32">
        <v>43071.65047453704</v>
      </c>
    </row>
    <row r="2275" spans="1:3">
      <c r="A2275">
        <v>312988</v>
      </c>
      <c r="B2275">
        <v>4801426</v>
      </c>
      <c r="C2275" s="32">
        <v>43072.480798611112</v>
      </c>
    </row>
    <row r="2276" spans="1:3">
      <c r="A2276">
        <v>476117</v>
      </c>
      <c r="B2276">
        <v>1379146</v>
      </c>
      <c r="C2276" s="32">
        <v>43072.019456018519</v>
      </c>
    </row>
    <row r="2277" spans="1:3">
      <c r="A2277">
        <v>787258</v>
      </c>
      <c r="B2277">
        <v>1859277</v>
      </c>
      <c r="C2277" s="32">
        <v>43072.212453703702</v>
      </c>
    </row>
    <row r="2278" spans="1:3">
      <c r="A2278">
        <v>887202</v>
      </c>
      <c r="B2278">
        <v>965809</v>
      </c>
      <c r="C2278" s="32">
        <v>43071.615219907406</v>
      </c>
    </row>
    <row r="2279" spans="1:3">
      <c r="A2279">
        <v>662320</v>
      </c>
      <c r="B2279">
        <v>1568197</v>
      </c>
      <c r="C2279" s="32">
        <v>43072.549502314818</v>
      </c>
    </row>
    <row r="2280" spans="1:3">
      <c r="A2280">
        <v>714209</v>
      </c>
      <c r="B2280">
        <v>2520377</v>
      </c>
      <c r="C2280" s="32">
        <v>43071.122407407405</v>
      </c>
    </row>
    <row r="2281" spans="1:3">
      <c r="A2281">
        <v>749324</v>
      </c>
      <c r="B2281">
        <v>620409</v>
      </c>
      <c r="C2281" s="32">
        <v>43071.607037037036</v>
      </c>
    </row>
    <row r="2282" spans="1:3">
      <c r="A2282">
        <v>1007834</v>
      </c>
      <c r="B2282">
        <v>2581941</v>
      </c>
      <c r="C2282" s="32">
        <v>43072.327199074076</v>
      </c>
    </row>
    <row r="2283" spans="1:3">
      <c r="A2283">
        <v>602935</v>
      </c>
      <c r="B2283">
        <v>2355072</v>
      </c>
      <c r="C2283" s="32">
        <v>43071.769236111111</v>
      </c>
    </row>
    <row r="2284" spans="1:3">
      <c r="A2284">
        <v>684154</v>
      </c>
      <c r="B2284">
        <v>2735466</v>
      </c>
      <c r="C2284" s="32">
        <v>43071.59542824074</v>
      </c>
    </row>
    <row r="2285" spans="1:3">
      <c r="A2285">
        <v>251083</v>
      </c>
      <c r="B2285">
        <v>1363301</v>
      </c>
      <c r="C2285" s="32">
        <v>43070.516712962963</v>
      </c>
    </row>
    <row r="2286" spans="1:3">
      <c r="A2286">
        <v>436850</v>
      </c>
      <c r="B2286">
        <v>3158249</v>
      </c>
      <c r="C2286" s="32">
        <v>43072.642569444448</v>
      </c>
    </row>
    <row r="2287" spans="1:3">
      <c r="A2287">
        <v>505173</v>
      </c>
      <c r="B2287">
        <v>982926</v>
      </c>
      <c r="C2287" s="32">
        <v>43071.352476851855</v>
      </c>
    </row>
    <row r="2288" spans="1:3">
      <c r="A2288">
        <v>756985</v>
      </c>
      <c r="B2288">
        <v>3867633</v>
      </c>
      <c r="C2288" s="32">
        <v>43070.957986111112</v>
      </c>
    </row>
    <row r="2289" spans="1:3">
      <c r="A2289">
        <v>362494</v>
      </c>
      <c r="B2289">
        <v>5063620</v>
      </c>
      <c r="C2289" s="32">
        <v>43072.662986111114</v>
      </c>
    </row>
    <row r="2290" spans="1:3">
      <c r="A2290">
        <v>468033</v>
      </c>
      <c r="B2290">
        <v>2828436</v>
      </c>
      <c r="C2290" s="32">
        <v>43071.593564814815</v>
      </c>
    </row>
    <row r="2291" spans="1:3">
      <c r="A2291">
        <v>562860</v>
      </c>
      <c r="B2291">
        <v>4284875</v>
      </c>
      <c r="C2291" s="32">
        <v>43070.019305555557</v>
      </c>
    </row>
    <row r="2292" spans="1:3">
      <c r="A2292">
        <v>624620</v>
      </c>
      <c r="B2292">
        <v>4640311</v>
      </c>
      <c r="C2292" s="32">
        <v>43071.613611111112</v>
      </c>
    </row>
    <row r="2293" spans="1:3">
      <c r="A2293">
        <v>672220</v>
      </c>
      <c r="B2293">
        <v>154040</v>
      </c>
      <c r="C2293" s="32">
        <v>43071.587858796294</v>
      </c>
    </row>
    <row r="2294" spans="1:3">
      <c r="A2294">
        <v>294461</v>
      </c>
      <c r="B2294">
        <v>4801426</v>
      </c>
      <c r="C2294" s="32">
        <v>43072.636701388888</v>
      </c>
    </row>
    <row r="2295" spans="1:3">
      <c r="A2295">
        <v>344030</v>
      </c>
      <c r="B2295">
        <v>4633953</v>
      </c>
      <c r="C2295" s="32">
        <v>43072.460162037038</v>
      </c>
    </row>
    <row r="2296" spans="1:3">
      <c r="A2296">
        <v>88187</v>
      </c>
      <c r="B2296">
        <v>5053508</v>
      </c>
      <c r="C2296" s="32">
        <v>43072.233483796299</v>
      </c>
    </row>
    <row r="2297" spans="1:3">
      <c r="A2297">
        <v>233043</v>
      </c>
      <c r="B2297">
        <v>1575622</v>
      </c>
      <c r="C2297" s="32">
        <v>43070.099305555559</v>
      </c>
    </row>
    <row r="2298" spans="1:3">
      <c r="A2298">
        <v>28672</v>
      </c>
      <c r="B2298">
        <v>2082734</v>
      </c>
      <c r="C2298" s="32">
        <v>43070.007037037038</v>
      </c>
    </row>
    <row r="2299" spans="1:3">
      <c r="A2299">
        <v>101909</v>
      </c>
      <c r="B2299">
        <v>2465336</v>
      </c>
      <c r="C2299" s="32">
        <v>43071.260243055556</v>
      </c>
    </row>
    <row r="2300" spans="1:3">
      <c r="A2300">
        <v>218386</v>
      </c>
      <c r="B2300">
        <v>3645362</v>
      </c>
      <c r="C2300" s="32">
        <v>43070.549641203703</v>
      </c>
    </row>
    <row r="2301" spans="1:3">
      <c r="A2301">
        <v>504228</v>
      </c>
      <c r="B2301">
        <v>982926</v>
      </c>
      <c r="C2301" s="32">
        <v>43070.568854166668</v>
      </c>
    </row>
    <row r="2302" spans="1:3">
      <c r="A2302">
        <v>822390</v>
      </c>
      <c r="B2302">
        <v>4181361</v>
      </c>
      <c r="C2302" s="32">
        <v>43071.391585648147</v>
      </c>
    </row>
    <row r="2303" spans="1:3">
      <c r="A2303">
        <v>373478</v>
      </c>
      <c r="B2303">
        <v>866301</v>
      </c>
      <c r="C2303" s="32">
        <v>43071.393796296295</v>
      </c>
    </row>
    <row r="2304" spans="1:3">
      <c r="A2304">
        <v>440593</v>
      </c>
      <c r="B2304">
        <v>4391936</v>
      </c>
      <c r="C2304" s="32">
        <v>43072.403483796297</v>
      </c>
    </row>
    <row r="2305" spans="1:3">
      <c r="A2305">
        <v>251370</v>
      </c>
      <c r="B2305">
        <v>2735466</v>
      </c>
      <c r="C2305" s="32">
        <v>43070.365069444444</v>
      </c>
    </row>
    <row r="2306" spans="1:3">
      <c r="A2306">
        <v>862198</v>
      </c>
      <c r="B2306">
        <v>1297992</v>
      </c>
      <c r="C2306" s="32">
        <v>43072.532037037039</v>
      </c>
    </row>
    <row r="2307" spans="1:3">
      <c r="A2307">
        <v>825110</v>
      </c>
      <c r="B2307">
        <v>903809</v>
      </c>
      <c r="C2307" s="32">
        <v>43071.52915509259</v>
      </c>
    </row>
    <row r="2308" spans="1:3">
      <c r="A2308">
        <v>309565</v>
      </c>
      <c r="B2308">
        <v>2355072</v>
      </c>
      <c r="C2308" s="32">
        <v>43072.655717592592</v>
      </c>
    </row>
    <row r="2309" spans="1:3">
      <c r="A2309">
        <v>471332</v>
      </c>
      <c r="B2309">
        <v>3796207</v>
      </c>
      <c r="C2309" s="32">
        <v>43071.500706018516</v>
      </c>
    </row>
    <row r="2310" spans="1:3">
      <c r="A2310">
        <v>293983</v>
      </c>
      <c r="B2310">
        <v>4565874</v>
      </c>
      <c r="C2310" s="32">
        <v>43072.229513888888</v>
      </c>
    </row>
    <row r="2311" spans="1:3">
      <c r="A2311">
        <v>138143</v>
      </c>
      <c r="B2311">
        <v>2465336</v>
      </c>
      <c r="C2311" s="32">
        <v>43070.046643518515</v>
      </c>
    </row>
    <row r="2312" spans="1:3">
      <c r="A2312">
        <v>591270</v>
      </c>
      <c r="B2312">
        <v>2596428</v>
      </c>
      <c r="C2312" s="32">
        <v>43071.320405092592</v>
      </c>
    </row>
    <row r="2313" spans="1:3">
      <c r="A2313">
        <v>701881</v>
      </c>
      <c r="B2313">
        <v>553365</v>
      </c>
      <c r="C2313" s="32">
        <v>43071.638113425928</v>
      </c>
    </row>
    <row r="2314" spans="1:3">
      <c r="A2314">
        <v>99272</v>
      </c>
      <c r="B2314">
        <v>2520771</v>
      </c>
      <c r="C2314" s="32">
        <v>43072.551215277781</v>
      </c>
    </row>
    <row r="2315" spans="1:3">
      <c r="A2315">
        <v>126701</v>
      </c>
      <c r="B2315">
        <v>2578647</v>
      </c>
      <c r="C2315" s="32">
        <v>43071.381249999999</v>
      </c>
    </row>
    <row r="2316" spans="1:3">
      <c r="A2316">
        <v>561456</v>
      </c>
      <c r="B2316">
        <v>1080785</v>
      </c>
      <c r="C2316" s="32">
        <v>43072.620266203703</v>
      </c>
    </row>
    <row r="2317" spans="1:3">
      <c r="A2317">
        <v>875145</v>
      </c>
      <c r="B2317">
        <v>149192</v>
      </c>
      <c r="C2317" s="32">
        <v>43072.383090277777</v>
      </c>
    </row>
    <row r="2318" spans="1:3">
      <c r="A2318">
        <v>721817</v>
      </c>
      <c r="B2318">
        <v>1474371</v>
      </c>
      <c r="C2318" s="32">
        <v>43072.261087962965</v>
      </c>
    </row>
    <row r="2319" spans="1:3">
      <c r="A2319">
        <v>393223</v>
      </c>
      <c r="B2319">
        <v>4756105</v>
      </c>
      <c r="C2319" s="32">
        <v>43072.605636574073</v>
      </c>
    </row>
    <row r="2320" spans="1:3">
      <c r="A2320">
        <v>917283</v>
      </c>
      <c r="B2320">
        <v>3232473</v>
      </c>
      <c r="C2320" s="32">
        <v>43070.492523148147</v>
      </c>
    </row>
    <row r="2321" spans="1:3">
      <c r="A2321">
        <v>398856</v>
      </c>
      <c r="B2321">
        <v>4583884</v>
      </c>
      <c r="C2321" s="32">
        <v>43072.48474537037</v>
      </c>
    </row>
    <row r="2322" spans="1:3">
      <c r="A2322">
        <v>623566</v>
      </c>
      <c r="B2322">
        <v>2982027</v>
      </c>
      <c r="C2322" s="32">
        <v>43072.573888888888</v>
      </c>
    </row>
    <row r="2323" spans="1:3">
      <c r="A2323">
        <v>170514</v>
      </c>
      <c r="B2323">
        <v>982926</v>
      </c>
      <c r="C2323" s="32">
        <v>43070.720254629632</v>
      </c>
    </row>
    <row r="2324" spans="1:3">
      <c r="A2324">
        <v>77176</v>
      </c>
      <c r="B2324">
        <v>2533863</v>
      </c>
      <c r="C2324" s="32">
        <v>43071.785393518519</v>
      </c>
    </row>
    <row r="2325" spans="1:3">
      <c r="A2325">
        <v>318859</v>
      </c>
      <c r="B2325">
        <v>3002561</v>
      </c>
      <c r="C2325" s="32">
        <v>43072.589872685188</v>
      </c>
    </row>
    <row r="2326" spans="1:3">
      <c r="A2326">
        <v>639666</v>
      </c>
      <c r="B2326">
        <v>2495340</v>
      </c>
      <c r="C2326" s="32">
        <v>43072.541145833333</v>
      </c>
    </row>
    <row r="2327" spans="1:3">
      <c r="A2327">
        <v>278337</v>
      </c>
      <c r="B2327">
        <v>3597057</v>
      </c>
      <c r="C2327" s="32">
        <v>43072.201944444445</v>
      </c>
    </row>
    <row r="2328" spans="1:3">
      <c r="A2328">
        <v>958199</v>
      </c>
      <c r="B2328">
        <v>3935164</v>
      </c>
      <c r="C2328" s="32">
        <v>43071.509722222225</v>
      </c>
    </row>
    <row r="2329" spans="1:3">
      <c r="A2329">
        <v>457863</v>
      </c>
      <c r="B2329">
        <v>1320293</v>
      </c>
      <c r="C2329" s="32">
        <v>43070.218506944446</v>
      </c>
    </row>
    <row r="2330" spans="1:3">
      <c r="A2330">
        <v>642346</v>
      </c>
      <c r="B2330">
        <v>3381583</v>
      </c>
      <c r="C2330" s="32">
        <v>43072.369780092595</v>
      </c>
    </row>
    <row r="2331" spans="1:3">
      <c r="A2331">
        <v>337292</v>
      </c>
      <c r="B2331">
        <v>5071267</v>
      </c>
      <c r="C2331" s="32">
        <v>43070.385023148148</v>
      </c>
    </row>
    <row r="2332" spans="1:3">
      <c r="A2332">
        <v>87835</v>
      </c>
      <c r="B2332">
        <v>344221</v>
      </c>
      <c r="C2332" s="32">
        <v>43072.513159722221</v>
      </c>
    </row>
    <row r="2333" spans="1:3">
      <c r="A2333">
        <v>632827</v>
      </c>
      <c r="B2333">
        <v>2131531</v>
      </c>
      <c r="C2333" s="32">
        <v>43071.596770833334</v>
      </c>
    </row>
    <row r="2334" spans="1:3">
      <c r="A2334">
        <v>1016439</v>
      </c>
      <c r="B2334">
        <v>4801426</v>
      </c>
      <c r="C2334" s="32">
        <v>43071.954571759263</v>
      </c>
    </row>
    <row r="2335" spans="1:3">
      <c r="A2335">
        <v>285480</v>
      </c>
      <c r="B2335">
        <v>285583</v>
      </c>
      <c r="C2335" s="32">
        <v>43069.975092592591</v>
      </c>
    </row>
    <row r="2336" spans="1:3">
      <c r="A2336">
        <v>328956</v>
      </c>
      <c r="B2336">
        <v>149192</v>
      </c>
      <c r="C2336" s="32">
        <v>43070.99009259259</v>
      </c>
    </row>
    <row r="2337" spans="1:3">
      <c r="A2337">
        <v>576718</v>
      </c>
      <c r="B2337">
        <v>267209</v>
      </c>
      <c r="C2337" s="32">
        <v>43070.289710648147</v>
      </c>
    </row>
    <row r="2338" spans="1:3">
      <c r="A2338">
        <v>477284</v>
      </c>
      <c r="B2338">
        <v>2702525</v>
      </c>
      <c r="C2338" s="32">
        <v>43071.264189814814</v>
      </c>
    </row>
    <row r="2339" spans="1:3">
      <c r="A2339">
        <v>64218</v>
      </c>
      <c r="B2339">
        <v>2507053</v>
      </c>
      <c r="C2339" s="32">
        <v>43072.145972222221</v>
      </c>
    </row>
    <row r="2340" spans="1:3">
      <c r="A2340">
        <v>902922</v>
      </c>
      <c r="B2340">
        <v>2419959</v>
      </c>
      <c r="C2340" s="32">
        <v>43071.573796296296</v>
      </c>
    </row>
    <row r="2341" spans="1:3">
      <c r="A2341">
        <v>935748</v>
      </c>
      <c r="B2341">
        <v>982926</v>
      </c>
      <c r="C2341" s="32">
        <v>43071.292615740742</v>
      </c>
    </row>
    <row r="2342" spans="1:3">
      <c r="A2342">
        <v>809062</v>
      </c>
      <c r="B2342">
        <v>2304296</v>
      </c>
      <c r="C2342" s="32">
        <v>43072.13753472222</v>
      </c>
    </row>
    <row r="2343" spans="1:3">
      <c r="A2343">
        <v>132300</v>
      </c>
      <c r="B2343">
        <v>4145813</v>
      </c>
      <c r="C2343" s="32">
        <v>43071.062638888892</v>
      </c>
    </row>
    <row r="2344" spans="1:3">
      <c r="A2344">
        <v>180228</v>
      </c>
      <c r="B2344">
        <v>4339722</v>
      </c>
      <c r="C2344" s="32">
        <v>43070.105543981481</v>
      </c>
    </row>
    <row r="2345" spans="1:3">
      <c r="A2345">
        <v>530799</v>
      </c>
      <c r="B2345">
        <v>4145813</v>
      </c>
      <c r="C2345" s="32">
        <v>43070.672395833331</v>
      </c>
    </row>
    <row r="2346" spans="1:3">
      <c r="A2346">
        <v>197662</v>
      </c>
      <c r="B2346">
        <v>5053508</v>
      </c>
      <c r="C2346" s="32">
        <v>43072.215312499997</v>
      </c>
    </row>
    <row r="2347" spans="1:3">
      <c r="A2347">
        <v>441440</v>
      </c>
      <c r="B2347">
        <v>4936889</v>
      </c>
      <c r="C2347" s="32">
        <v>43072.093495370369</v>
      </c>
    </row>
    <row r="2348" spans="1:3">
      <c r="A2348">
        <v>629121</v>
      </c>
      <c r="B2348">
        <v>2465336</v>
      </c>
      <c r="C2348" s="32">
        <v>43071.487766203703</v>
      </c>
    </row>
    <row r="2349" spans="1:3">
      <c r="A2349">
        <v>164840</v>
      </c>
      <c r="B2349">
        <v>2056438</v>
      </c>
      <c r="C2349" s="32">
        <v>43071.550509259258</v>
      </c>
    </row>
    <row r="2350" spans="1:3">
      <c r="A2350">
        <v>272306</v>
      </c>
      <c r="B2350">
        <v>2272488</v>
      </c>
      <c r="C2350" s="32">
        <v>43072.311226851853</v>
      </c>
    </row>
    <row r="2351" spans="1:3">
      <c r="A2351">
        <v>955726</v>
      </c>
      <c r="B2351">
        <v>2465336</v>
      </c>
      <c r="C2351" s="32">
        <v>43072.295208333337</v>
      </c>
    </row>
    <row r="2352" spans="1:3">
      <c r="A2352">
        <v>288495</v>
      </c>
      <c r="B2352">
        <v>3607361</v>
      </c>
      <c r="C2352" s="32">
        <v>43072.516863425924</v>
      </c>
    </row>
    <row r="2353" spans="1:3">
      <c r="A2353">
        <v>473064</v>
      </c>
      <c r="B2353">
        <v>339305</v>
      </c>
      <c r="C2353" s="32">
        <v>43069.699780092589</v>
      </c>
    </row>
    <row r="2354" spans="1:3">
      <c r="A2354">
        <v>178860</v>
      </c>
      <c r="B2354">
        <v>4756105</v>
      </c>
      <c r="C2354" s="32">
        <v>43071.997442129628</v>
      </c>
    </row>
    <row r="2355" spans="1:3">
      <c r="A2355">
        <v>187252</v>
      </c>
      <c r="B2355">
        <v>4756105</v>
      </c>
      <c r="C2355" s="32">
        <v>43071.00209490741</v>
      </c>
    </row>
    <row r="2356" spans="1:3">
      <c r="A2356">
        <v>107278</v>
      </c>
      <c r="B2356">
        <v>1320293</v>
      </c>
      <c r="C2356" s="32">
        <v>43070.520613425928</v>
      </c>
    </row>
    <row r="2357" spans="1:3">
      <c r="A2357">
        <v>15392</v>
      </c>
      <c r="B2357">
        <v>982926</v>
      </c>
      <c r="C2357" s="32">
        <v>43070.328263888892</v>
      </c>
    </row>
    <row r="2358" spans="1:3">
      <c r="A2358">
        <v>877334</v>
      </c>
      <c r="B2358">
        <v>2591545</v>
      </c>
      <c r="C2358" s="32">
        <v>43071.545694444445</v>
      </c>
    </row>
    <row r="2359" spans="1:3">
      <c r="A2359">
        <v>294286</v>
      </c>
      <c r="B2359">
        <v>4690421</v>
      </c>
      <c r="C2359" s="32">
        <v>43072.612430555557</v>
      </c>
    </row>
    <row r="2360" spans="1:3">
      <c r="A2360">
        <v>253675</v>
      </c>
      <c r="B2360">
        <v>4756105</v>
      </c>
      <c r="C2360" s="32">
        <v>43071.03665509259</v>
      </c>
    </row>
    <row r="2361" spans="1:3">
      <c r="A2361">
        <v>367062</v>
      </c>
      <c r="B2361">
        <v>4163659</v>
      </c>
      <c r="C2361" s="32">
        <v>43071.566331018519</v>
      </c>
    </row>
    <row r="2362" spans="1:3">
      <c r="A2362">
        <v>822728</v>
      </c>
      <c r="B2362">
        <v>2629787</v>
      </c>
      <c r="C2362" s="32">
        <v>43070.318483796298</v>
      </c>
    </row>
    <row r="2363" spans="1:3">
      <c r="A2363">
        <v>607259</v>
      </c>
      <c r="B2363">
        <v>1013319</v>
      </c>
      <c r="C2363" s="32">
        <v>43070.709965277776</v>
      </c>
    </row>
    <row r="2364" spans="1:3">
      <c r="A2364">
        <v>814305</v>
      </c>
      <c r="B2364">
        <v>4301450</v>
      </c>
      <c r="C2364" s="32">
        <v>43070.45652777778</v>
      </c>
    </row>
    <row r="2365" spans="1:3">
      <c r="A2365">
        <v>170476</v>
      </c>
      <c r="B2365">
        <v>154040</v>
      </c>
      <c r="C2365" s="32">
        <v>43072.611840277779</v>
      </c>
    </row>
    <row r="2366" spans="1:3">
      <c r="A2366">
        <v>928814</v>
      </c>
      <c r="B2366">
        <v>1722855</v>
      </c>
      <c r="C2366" s="32">
        <v>43072.034837962965</v>
      </c>
    </row>
    <row r="2367" spans="1:3">
      <c r="A2367">
        <v>1125</v>
      </c>
      <c r="B2367">
        <v>1789614</v>
      </c>
      <c r="C2367" s="32">
        <v>43072.346296296295</v>
      </c>
    </row>
    <row r="2368" spans="1:3">
      <c r="A2368">
        <v>934281</v>
      </c>
      <c r="B2368">
        <v>4498047</v>
      </c>
      <c r="C2368" s="32">
        <v>43071.449502314812</v>
      </c>
    </row>
    <row r="2369" spans="1:3">
      <c r="A2369">
        <v>248030</v>
      </c>
      <c r="B2369">
        <v>4048584</v>
      </c>
      <c r="C2369" s="32">
        <v>43070.584305555552</v>
      </c>
    </row>
    <row r="2370" spans="1:3">
      <c r="A2370">
        <v>507311</v>
      </c>
      <c r="B2370">
        <v>4638601</v>
      </c>
      <c r="C2370" s="32">
        <v>43070.667280092595</v>
      </c>
    </row>
    <row r="2371" spans="1:3">
      <c r="A2371">
        <v>397971</v>
      </c>
      <c r="B2371">
        <v>1568197</v>
      </c>
      <c r="C2371" s="32">
        <v>43071.365995370368</v>
      </c>
    </row>
    <row r="2372" spans="1:3">
      <c r="A2372">
        <v>7783</v>
      </c>
      <c r="B2372">
        <v>2723232</v>
      </c>
      <c r="C2372" s="32">
        <v>43070.55741898148</v>
      </c>
    </row>
    <row r="2373" spans="1:3">
      <c r="A2373">
        <v>514036</v>
      </c>
      <c r="B2373">
        <v>3607361</v>
      </c>
      <c r="C2373" s="32">
        <v>43072.318564814814</v>
      </c>
    </row>
    <row r="2374" spans="1:3">
      <c r="A2374">
        <v>422927</v>
      </c>
      <c r="B2374">
        <v>3776866</v>
      </c>
      <c r="C2374" s="32">
        <v>43070.104560185187</v>
      </c>
    </row>
    <row r="2375" spans="1:3">
      <c r="A2375">
        <v>780683</v>
      </c>
      <c r="B2375">
        <v>1080785</v>
      </c>
      <c r="C2375" s="32">
        <v>43071.355995370373</v>
      </c>
    </row>
    <row r="2376" spans="1:3">
      <c r="A2376">
        <v>405364</v>
      </c>
      <c r="B2376">
        <v>411153</v>
      </c>
      <c r="C2376" s="32">
        <v>43070.635601851849</v>
      </c>
    </row>
    <row r="2377" spans="1:3">
      <c r="A2377">
        <v>148688</v>
      </c>
      <c r="B2377">
        <v>2218582</v>
      </c>
      <c r="C2377" s="32">
        <v>43071.327118055553</v>
      </c>
    </row>
    <row r="2378" spans="1:3">
      <c r="A2378">
        <v>603443</v>
      </c>
      <c r="B2378">
        <v>322805</v>
      </c>
      <c r="C2378" s="32">
        <v>43071.715486111112</v>
      </c>
    </row>
    <row r="2379" spans="1:3">
      <c r="A2379">
        <v>31448</v>
      </c>
      <c r="B2379">
        <v>3362577</v>
      </c>
      <c r="C2379" s="32">
        <v>43072.220590277779</v>
      </c>
    </row>
    <row r="2380" spans="1:3">
      <c r="A2380">
        <v>447367</v>
      </c>
      <c r="B2380">
        <v>3702593</v>
      </c>
      <c r="C2380" s="32">
        <v>43071.57984953704</v>
      </c>
    </row>
    <row r="2381" spans="1:3">
      <c r="A2381">
        <v>725567</v>
      </c>
      <c r="B2381">
        <v>4145813</v>
      </c>
      <c r="C2381" s="32">
        <v>43070.611331018517</v>
      </c>
    </row>
    <row r="2382" spans="1:3">
      <c r="A2382">
        <v>587727</v>
      </c>
      <c r="B2382">
        <v>2355072</v>
      </c>
      <c r="C2382" s="32">
        <v>43069.701539351852</v>
      </c>
    </row>
    <row r="2383" spans="1:3">
      <c r="A2383">
        <v>760126</v>
      </c>
      <c r="B2383">
        <v>3407883</v>
      </c>
      <c r="C2383" s="32">
        <v>43071.904039351852</v>
      </c>
    </row>
    <row r="2384" spans="1:3">
      <c r="A2384">
        <v>302578</v>
      </c>
      <c r="B2384">
        <v>3102560</v>
      </c>
      <c r="C2384" s="32">
        <v>43070.427870370368</v>
      </c>
    </row>
    <row r="2385" spans="1:3">
      <c r="A2385">
        <v>182895</v>
      </c>
      <c r="B2385">
        <v>1299190</v>
      </c>
      <c r="C2385" s="32">
        <v>43071.452708333331</v>
      </c>
    </row>
    <row r="2386" spans="1:3">
      <c r="A2386">
        <v>428990</v>
      </c>
      <c r="B2386">
        <v>119741</v>
      </c>
      <c r="C2386" s="32">
        <v>43070.639548611114</v>
      </c>
    </row>
    <row r="2387" spans="1:3">
      <c r="A2387">
        <v>509943</v>
      </c>
      <c r="B2387">
        <v>4756105</v>
      </c>
      <c r="C2387" s="32">
        <v>43072.285266203704</v>
      </c>
    </row>
    <row r="2388" spans="1:3">
      <c r="A2388">
        <v>989439</v>
      </c>
      <c r="B2388">
        <v>450901</v>
      </c>
      <c r="C2388" s="32">
        <v>43069.674363425926</v>
      </c>
    </row>
    <row r="2389" spans="1:3">
      <c r="A2389">
        <v>670709</v>
      </c>
      <c r="B2389">
        <v>2735466</v>
      </c>
      <c r="C2389" s="32">
        <v>43071.240451388891</v>
      </c>
    </row>
    <row r="2390" spans="1:3">
      <c r="A2390">
        <v>801554</v>
      </c>
      <c r="B2390">
        <v>2355072</v>
      </c>
      <c r="C2390" s="32">
        <v>43070.042175925926</v>
      </c>
    </row>
    <row r="2391" spans="1:3">
      <c r="A2391">
        <v>332384</v>
      </c>
      <c r="B2391">
        <v>1349561</v>
      </c>
      <c r="C2391" s="32">
        <v>43072.547986111109</v>
      </c>
    </row>
    <row r="2392" spans="1:3">
      <c r="A2392">
        <v>542283</v>
      </c>
      <c r="B2392">
        <v>1249761</v>
      </c>
      <c r="C2392" s="32">
        <v>43071.232361111113</v>
      </c>
    </row>
    <row r="2393" spans="1:3">
      <c r="A2393">
        <v>647252</v>
      </c>
      <c r="B2393">
        <v>383749</v>
      </c>
      <c r="C2393" s="32">
        <v>43071.551238425927</v>
      </c>
    </row>
    <row r="2394" spans="1:3">
      <c r="A2394">
        <v>888965</v>
      </c>
      <c r="B2394">
        <v>238434</v>
      </c>
      <c r="C2394" s="32">
        <v>43070.637060185189</v>
      </c>
    </row>
    <row r="2395" spans="1:3">
      <c r="A2395">
        <v>71717</v>
      </c>
      <c r="B2395">
        <v>1051370</v>
      </c>
      <c r="C2395" s="32">
        <v>43071.123472222222</v>
      </c>
    </row>
    <row r="2396" spans="1:3">
      <c r="A2396">
        <v>636983</v>
      </c>
      <c r="B2396">
        <v>1009182</v>
      </c>
      <c r="C2396" s="32">
        <v>43072.10633101852</v>
      </c>
    </row>
    <row r="2397" spans="1:3">
      <c r="A2397">
        <v>27829</v>
      </c>
      <c r="B2397">
        <v>2355072</v>
      </c>
      <c r="C2397" s="32">
        <v>43071.564328703702</v>
      </c>
    </row>
    <row r="2398" spans="1:3">
      <c r="A2398">
        <v>417030</v>
      </c>
      <c r="B2398">
        <v>69607</v>
      </c>
      <c r="C2398" s="32">
        <v>43071.609618055554</v>
      </c>
    </row>
    <row r="2399" spans="1:3">
      <c r="A2399">
        <v>36586</v>
      </c>
      <c r="B2399">
        <v>2939262</v>
      </c>
      <c r="C2399" s="32">
        <v>43071.54283564815</v>
      </c>
    </row>
    <row r="2400" spans="1:3">
      <c r="A2400">
        <v>351314</v>
      </c>
      <c r="B2400">
        <v>1104592</v>
      </c>
      <c r="C2400" s="32">
        <v>43071.266481481478</v>
      </c>
    </row>
    <row r="2401" spans="1:3">
      <c r="A2401">
        <v>629066</v>
      </c>
      <c r="B2401">
        <v>2885642</v>
      </c>
      <c r="C2401" s="32">
        <v>43071.727500000001</v>
      </c>
    </row>
    <row r="2402" spans="1:3">
      <c r="A2402">
        <v>943100</v>
      </c>
      <c r="B2402">
        <v>4804883</v>
      </c>
      <c r="C2402" s="32">
        <v>43071.231226851851</v>
      </c>
    </row>
    <row r="2403" spans="1:3">
      <c r="A2403">
        <v>550947</v>
      </c>
      <c r="B2403">
        <v>3607361</v>
      </c>
      <c r="C2403" s="32">
        <v>43071.311944444446</v>
      </c>
    </row>
    <row r="2404" spans="1:3">
      <c r="A2404">
        <v>454238</v>
      </c>
      <c r="B2404">
        <v>570735</v>
      </c>
      <c r="C2404" s="32">
        <v>43071.193090277775</v>
      </c>
    </row>
    <row r="2405" spans="1:3">
      <c r="A2405">
        <v>635793</v>
      </c>
      <c r="B2405">
        <v>4558987</v>
      </c>
      <c r="C2405" s="32">
        <v>43072.088113425925</v>
      </c>
    </row>
    <row r="2406" spans="1:3">
      <c r="A2406">
        <v>791857</v>
      </c>
      <c r="B2406">
        <v>1029459</v>
      </c>
      <c r="C2406" s="32">
        <v>43071.279363425929</v>
      </c>
    </row>
    <row r="2407" spans="1:3">
      <c r="A2407">
        <v>242806</v>
      </c>
      <c r="B2407">
        <v>1293225</v>
      </c>
      <c r="C2407" s="32">
        <v>43072.436851851853</v>
      </c>
    </row>
    <row r="2408" spans="1:3">
      <c r="A2408">
        <v>946168</v>
      </c>
      <c r="B2408">
        <v>4789432</v>
      </c>
      <c r="C2408" s="32">
        <v>43072.380983796298</v>
      </c>
    </row>
    <row r="2409" spans="1:3">
      <c r="A2409">
        <v>743013</v>
      </c>
      <c r="B2409">
        <v>2640118</v>
      </c>
      <c r="C2409" s="32">
        <v>43069.925486111111</v>
      </c>
    </row>
    <row r="2410" spans="1:3">
      <c r="A2410">
        <v>412887</v>
      </c>
      <c r="B2410">
        <v>200278</v>
      </c>
      <c r="C2410" s="32">
        <v>43072.621921296297</v>
      </c>
    </row>
    <row r="2411" spans="1:3">
      <c r="A2411">
        <v>623229</v>
      </c>
      <c r="B2411">
        <v>1014564</v>
      </c>
      <c r="C2411" s="32">
        <v>43071.544641203705</v>
      </c>
    </row>
    <row r="2412" spans="1:3">
      <c r="A2412">
        <v>75131</v>
      </c>
      <c r="B2412">
        <v>1859277</v>
      </c>
      <c r="C2412" s="32">
        <v>43072.596724537034</v>
      </c>
    </row>
    <row r="2413" spans="1:3">
      <c r="A2413">
        <v>24049</v>
      </c>
      <c r="B2413">
        <v>2815065</v>
      </c>
      <c r="C2413" s="32">
        <v>43070.208634259259</v>
      </c>
    </row>
    <row r="2414" spans="1:3">
      <c r="A2414">
        <v>942759</v>
      </c>
      <c r="B2414">
        <v>1080785</v>
      </c>
      <c r="C2414" s="32">
        <v>43072.630069444444</v>
      </c>
    </row>
    <row r="2415" spans="1:3">
      <c r="A2415">
        <v>98959</v>
      </c>
      <c r="B2415">
        <v>4301074</v>
      </c>
      <c r="C2415" s="32">
        <v>43070.927627314813</v>
      </c>
    </row>
    <row r="2416" spans="1:3">
      <c r="A2416">
        <v>797281</v>
      </c>
      <c r="B2416">
        <v>4244487</v>
      </c>
      <c r="C2416" s="32">
        <v>43071.62604166667</v>
      </c>
    </row>
    <row r="2417" spans="1:3">
      <c r="A2417">
        <v>670783</v>
      </c>
      <c r="B2417">
        <v>560936</v>
      </c>
      <c r="C2417" s="32">
        <v>43071.378344907411</v>
      </c>
    </row>
    <row r="2418" spans="1:3">
      <c r="A2418">
        <v>44899</v>
      </c>
      <c r="B2418">
        <v>1080785</v>
      </c>
      <c r="C2418" s="32">
        <v>43069.709548611114</v>
      </c>
    </row>
    <row r="2419" spans="1:3">
      <c r="A2419">
        <v>259951</v>
      </c>
      <c r="B2419">
        <v>4169506</v>
      </c>
      <c r="C2419" s="32">
        <v>43071.308622685188</v>
      </c>
    </row>
    <row r="2420" spans="1:3">
      <c r="A2420">
        <v>554822</v>
      </c>
      <c r="B2420">
        <v>3855599</v>
      </c>
      <c r="C2420" s="32">
        <v>43071.632337962961</v>
      </c>
    </row>
    <row r="2421" spans="1:3">
      <c r="A2421">
        <v>733267</v>
      </c>
      <c r="B2421">
        <v>200278</v>
      </c>
      <c r="C2421" s="32">
        <v>43072.28392361111</v>
      </c>
    </row>
    <row r="2422" spans="1:3">
      <c r="A2422">
        <v>175801</v>
      </c>
      <c r="B2422">
        <v>3002561</v>
      </c>
      <c r="C2422" s="32">
        <v>43072.635567129626</v>
      </c>
    </row>
    <row r="2423" spans="1:3">
      <c r="A2423">
        <v>581877</v>
      </c>
      <c r="B2423">
        <v>4308141</v>
      </c>
      <c r="C2423" s="32">
        <v>43071.515567129631</v>
      </c>
    </row>
    <row r="2424" spans="1:3">
      <c r="A2424">
        <v>417821</v>
      </c>
      <c r="B2424">
        <v>1320293</v>
      </c>
      <c r="C2424" s="32">
        <v>43071.492314814815</v>
      </c>
    </row>
    <row r="2425" spans="1:3">
      <c r="A2425">
        <v>592047</v>
      </c>
      <c r="B2425">
        <v>2158079</v>
      </c>
      <c r="C2425" s="32">
        <v>43072.137291666666</v>
      </c>
    </row>
    <row r="2426" spans="1:3">
      <c r="A2426">
        <v>453404</v>
      </c>
      <c r="B2426">
        <v>3607361</v>
      </c>
      <c r="C2426" s="32">
        <v>43070.585277777776</v>
      </c>
    </row>
    <row r="2427" spans="1:3">
      <c r="A2427">
        <v>48921</v>
      </c>
      <c r="B2427">
        <v>3002561</v>
      </c>
      <c r="C2427" s="32">
        <v>43071.7265625</v>
      </c>
    </row>
    <row r="2428" spans="1:3">
      <c r="A2428">
        <v>601141</v>
      </c>
      <c r="B2428">
        <v>2131531</v>
      </c>
      <c r="C2428" s="32">
        <v>43070.580381944441</v>
      </c>
    </row>
    <row r="2429" spans="1:3">
      <c r="A2429">
        <v>321124</v>
      </c>
      <c r="B2429">
        <v>2520377</v>
      </c>
      <c r="C2429" s="32">
        <v>43072.666435185187</v>
      </c>
    </row>
    <row r="2430" spans="1:3">
      <c r="A2430">
        <v>488825</v>
      </c>
      <c r="B2430">
        <v>3002561</v>
      </c>
      <c r="C2430" s="32">
        <v>43071.703935185185</v>
      </c>
    </row>
    <row r="2431" spans="1:3">
      <c r="A2431">
        <v>750866</v>
      </c>
      <c r="B2431">
        <v>2750247</v>
      </c>
      <c r="C2431" s="32">
        <v>43070.377581018518</v>
      </c>
    </row>
    <row r="2432" spans="1:3">
      <c r="A2432">
        <v>897474</v>
      </c>
      <c r="B2432">
        <v>1506018</v>
      </c>
      <c r="C2432" s="32">
        <v>43071.586018518516</v>
      </c>
    </row>
    <row r="2433" spans="1:3">
      <c r="A2433">
        <v>214960</v>
      </c>
      <c r="B2433">
        <v>4145813</v>
      </c>
      <c r="C2433" s="32">
        <v>43070.415995370371</v>
      </c>
    </row>
    <row r="2434" spans="1:3">
      <c r="A2434">
        <v>360008</v>
      </c>
      <c r="B2434">
        <v>3645362</v>
      </c>
      <c r="C2434" s="32">
        <v>43071.521273148152</v>
      </c>
    </row>
    <row r="2435" spans="1:3">
      <c r="A2435">
        <v>159087</v>
      </c>
      <c r="B2435">
        <v>1029459</v>
      </c>
      <c r="C2435" s="32">
        <v>43071.286296296297</v>
      </c>
    </row>
    <row r="2436" spans="1:3">
      <c r="A2436">
        <v>466424</v>
      </c>
      <c r="B2436">
        <v>578983</v>
      </c>
      <c r="C2436" s="32">
        <v>43072.605729166666</v>
      </c>
    </row>
    <row r="2437" spans="1:3">
      <c r="A2437">
        <v>902851</v>
      </c>
      <c r="B2437">
        <v>1320293</v>
      </c>
      <c r="C2437" s="32">
        <v>43070.512384259258</v>
      </c>
    </row>
    <row r="2438" spans="1:3">
      <c r="A2438">
        <v>21109</v>
      </c>
      <c r="B2438">
        <v>2355072</v>
      </c>
      <c r="C2438" s="32">
        <v>43071.570671296293</v>
      </c>
    </row>
    <row r="2439" spans="1:3">
      <c r="A2439">
        <v>1017904</v>
      </c>
      <c r="B2439">
        <v>1320293</v>
      </c>
      <c r="C2439" s="32">
        <v>43070.503738425927</v>
      </c>
    </row>
    <row r="2440" spans="1:3">
      <c r="A2440">
        <v>374620</v>
      </c>
      <c r="B2440">
        <v>2355072</v>
      </c>
      <c r="C2440" s="32">
        <v>43071.555717592593</v>
      </c>
    </row>
    <row r="2441" spans="1:3">
      <c r="A2441">
        <v>951853</v>
      </c>
      <c r="B2441">
        <v>4756105</v>
      </c>
      <c r="C2441" s="32">
        <v>43072.31858796296</v>
      </c>
    </row>
    <row r="2442" spans="1:3">
      <c r="A2442">
        <v>96237</v>
      </c>
      <c r="B2442">
        <v>3829421</v>
      </c>
      <c r="C2442" s="32">
        <v>43070.600266203706</v>
      </c>
    </row>
    <row r="2443" spans="1:3">
      <c r="A2443">
        <v>353827</v>
      </c>
      <c r="B2443">
        <v>3855599</v>
      </c>
      <c r="C2443" s="32">
        <v>43071.531099537038</v>
      </c>
    </row>
    <row r="2444" spans="1:3">
      <c r="A2444">
        <v>577159</v>
      </c>
      <c r="B2444">
        <v>4756105</v>
      </c>
      <c r="C2444" s="32">
        <v>43070.870034722226</v>
      </c>
    </row>
    <row r="2445" spans="1:3">
      <c r="A2445">
        <v>840086</v>
      </c>
      <c r="B2445">
        <v>1320293</v>
      </c>
      <c r="C2445" s="32">
        <v>43072.640034722222</v>
      </c>
    </row>
    <row r="2446" spans="1:3">
      <c r="A2446">
        <v>751481</v>
      </c>
      <c r="B2446">
        <v>982926</v>
      </c>
      <c r="C2446" s="32">
        <v>43070.624293981484</v>
      </c>
    </row>
    <row r="2447" spans="1:3">
      <c r="A2447">
        <v>546148</v>
      </c>
      <c r="B2447">
        <v>4449178</v>
      </c>
      <c r="C2447" s="32">
        <v>43070.428495370368</v>
      </c>
    </row>
    <row r="2448" spans="1:3">
      <c r="A2448">
        <v>336169</v>
      </c>
      <c r="B2448">
        <v>2982027</v>
      </c>
      <c r="C2448" s="32">
        <v>43071.641435185185</v>
      </c>
    </row>
    <row r="2449" spans="1:3">
      <c r="A2449">
        <v>447325</v>
      </c>
      <c r="B2449">
        <v>1851156</v>
      </c>
      <c r="C2449" s="32">
        <v>43071.25508101852</v>
      </c>
    </row>
    <row r="2450" spans="1:3">
      <c r="A2450">
        <v>590507</v>
      </c>
      <c r="B2450">
        <v>982926</v>
      </c>
      <c r="C2450" s="32">
        <v>43071.550416666665</v>
      </c>
    </row>
    <row r="2451" spans="1:3">
      <c r="A2451">
        <v>177335</v>
      </c>
      <c r="B2451">
        <v>1567637</v>
      </c>
      <c r="C2451" s="32">
        <v>43069.681423611109</v>
      </c>
    </row>
    <row r="2452" spans="1:3">
      <c r="A2452">
        <v>567766</v>
      </c>
      <c r="B2452">
        <v>1349561</v>
      </c>
      <c r="C2452" s="32">
        <v>43071.277986111112</v>
      </c>
    </row>
    <row r="2453" spans="1:3">
      <c r="A2453">
        <v>549338</v>
      </c>
      <c r="B2453">
        <v>3844144</v>
      </c>
      <c r="C2453" s="32">
        <v>43071.805960648147</v>
      </c>
    </row>
    <row r="2454" spans="1:3">
      <c r="A2454">
        <v>923940</v>
      </c>
      <c r="B2454">
        <v>4217906</v>
      </c>
      <c r="C2454" s="32">
        <v>43070.613553240742</v>
      </c>
    </row>
    <row r="2455" spans="1:3">
      <c r="A2455">
        <v>43031</v>
      </c>
      <c r="B2455">
        <v>4145813</v>
      </c>
      <c r="C2455" s="32">
        <v>43072.173576388886</v>
      </c>
    </row>
    <row r="2456" spans="1:3">
      <c r="A2456">
        <v>297324</v>
      </c>
      <c r="B2456">
        <v>2520377</v>
      </c>
      <c r="C2456" s="32">
        <v>43072.657384259262</v>
      </c>
    </row>
    <row r="2457" spans="1:3">
      <c r="A2457">
        <v>372604</v>
      </c>
      <c r="B2457">
        <v>2735466</v>
      </c>
      <c r="C2457" s="32">
        <v>43070.244606481479</v>
      </c>
    </row>
    <row r="2458" spans="1:3">
      <c r="A2458">
        <v>121219</v>
      </c>
      <c r="B2458">
        <v>3002561</v>
      </c>
      <c r="C2458" s="32">
        <v>43070.623460648145</v>
      </c>
    </row>
    <row r="2459" spans="1:3">
      <c r="A2459">
        <v>535402</v>
      </c>
      <c r="B2459">
        <v>3738615</v>
      </c>
      <c r="C2459" s="32">
        <v>43072.293020833335</v>
      </c>
    </row>
    <row r="2460" spans="1:3">
      <c r="A2460">
        <v>385943</v>
      </c>
      <c r="B2460">
        <v>3002561</v>
      </c>
      <c r="C2460" s="32">
        <v>43071.599386574075</v>
      </c>
    </row>
    <row r="2461" spans="1:3">
      <c r="A2461">
        <v>646115</v>
      </c>
      <c r="B2461">
        <v>4756105</v>
      </c>
      <c r="C2461" s="32">
        <v>43071.275324074071</v>
      </c>
    </row>
    <row r="2462" spans="1:3">
      <c r="A2462">
        <v>782770</v>
      </c>
      <c r="B2462">
        <v>2355072</v>
      </c>
      <c r="C2462" s="32">
        <v>43072.376875000002</v>
      </c>
    </row>
    <row r="2463" spans="1:3">
      <c r="A2463">
        <v>955229</v>
      </c>
      <c r="B2463">
        <v>965809</v>
      </c>
      <c r="C2463" s="32">
        <v>43071.276365740741</v>
      </c>
    </row>
    <row r="2464" spans="1:3">
      <c r="A2464">
        <v>372148</v>
      </c>
      <c r="B2464">
        <v>4170419</v>
      </c>
      <c r="C2464" s="32">
        <v>43071.488402777781</v>
      </c>
    </row>
    <row r="2465" spans="1:3">
      <c r="A2465">
        <v>541961</v>
      </c>
      <c r="B2465">
        <v>2479420</v>
      </c>
      <c r="C2465" s="32">
        <v>43072.560960648145</v>
      </c>
    </row>
    <row r="2466" spans="1:3">
      <c r="A2466">
        <v>76431</v>
      </c>
      <c r="B2466">
        <v>4576874</v>
      </c>
      <c r="C2466" s="32">
        <v>43070.026145833333</v>
      </c>
    </row>
    <row r="2467" spans="1:3">
      <c r="A2467">
        <v>670260</v>
      </c>
      <c r="B2467">
        <v>1464116</v>
      </c>
      <c r="C2467" s="32">
        <v>43072.101655092592</v>
      </c>
    </row>
    <row r="2468" spans="1:3">
      <c r="A2468">
        <v>257082</v>
      </c>
      <c r="B2468">
        <v>171128</v>
      </c>
      <c r="C2468" s="32">
        <v>43070.397673611114</v>
      </c>
    </row>
    <row r="2469" spans="1:3">
      <c r="A2469">
        <v>56217</v>
      </c>
      <c r="B2469">
        <v>1286537</v>
      </c>
      <c r="C2469" s="32">
        <v>43071.717048611114</v>
      </c>
    </row>
    <row r="2470" spans="1:3">
      <c r="A2470">
        <v>39082</v>
      </c>
      <c r="B2470">
        <v>4217906</v>
      </c>
      <c r="C2470" s="32">
        <v>43071.556990740741</v>
      </c>
    </row>
    <row r="2471" spans="1:3">
      <c r="A2471">
        <v>146901</v>
      </c>
      <c r="B2471">
        <v>2465336</v>
      </c>
      <c r="C2471" s="32">
        <v>43071.328402777777</v>
      </c>
    </row>
    <row r="2472" spans="1:3">
      <c r="A2472">
        <v>714425</v>
      </c>
      <c r="B2472">
        <v>4217906</v>
      </c>
      <c r="C2472" s="32">
        <v>43071.220011574071</v>
      </c>
    </row>
    <row r="2473" spans="1:3">
      <c r="A2473">
        <v>998866</v>
      </c>
      <c r="B2473">
        <v>2082734</v>
      </c>
      <c r="C2473" s="32">
        <v>43071.570324074077</v>
      </c>
    </row>
    <row r="2474" spans="1:3">
      <c r="A2474">
        <v>657062</v>
      </c>
      <c r="B2474">
        <v>2796506</v>
      </c>
      <c r="C2474" s="32">
        <v>43071.578969907408</v>
      </c>
    </row>
    <row r="2475" spans="1:3">
      <c r="A2475">
        <v>968039</v>
      </c>
      <c r="B2475">
        <v>2578647</v>
      </c>
      <c r="C2475" s="32">
        <v>43072.473819444444</v>
      </c>
    </row>
    <row r="2476" spans="1:3">
      <c r="A2476">
        <v>366987</v>
      </c>
      <c r="B2476">
        <v>2926020</v>
      </c>
      <c r="C2476" s="32">
        <v>43071.991064814814</v>
      </c>
    </row>
    <row r="2477" spans="1:3">
      <c r="A2477">
        <v>859765</v>
      </c>
      <c r="B2477">
        <v>562852</v>
      </c>
      <c r="C2477" s="32">
        <v>43071.568414351852</v>
      </c>
    </row>
    <row r="2478" spans="1:3">
      <c r="A2478">
        <v>955142</v>
      </c>
      <c r="B2478">
        <v>2066955</v>
      </c>
      <c r="C2478" s="32">
        <v>43072.553946759261</v>
      </c>
    </row>
    <row r="2479" spans="1:3">
      <c r="A2479">
        <v>442265</v>
      </c>
      <c r="B2479">
        <v>1879194</v>
      </c>
      <c r="C2479" s="32">
        <v>43071.599386574075</v>
      </c>
    </row>
    <row r="2480" spans="1:3">
      <c r="A2480">
        <v>280373</v>
      </c>
      <c r="B2480">
        <v>846990</v>
      </c>
      <c r="C2480" s="32">
        <v>43071.023923611108</v>
      </c>
    </row>
    <row r="2481" spans="1:3">
      <c r="A2481">
        <v>954614</v>
      </c>
      <c r="B2481">
        <v>4801426</v>
      </c>
      <c r="C2481" s="32">
        <v>43071.591215277775</v>
      </c>
    </row>
    <row r="2482" spans="1:3">
      <c r="A2482">
        <v>575782</v>
      </c>
      <c r="B2482">
        <v>2465336</v>
      </c>
      <c r="C2482" s="32">
        <v>43070.634629629632</v>
      </c>
    </row>
    <row r="2483" spans="1:3">
      <c r="A2483">
        <v>506065</v>
      </c>
      <c r="B2483">
        <v>4145813</v>
      </c>
      <c r="C2483" s="32">
        <v>43071.103807870371</v>
      </c>
    </row>
    <row r="2484" spans="1:3">
      <c r="A2484">
        <v>482287</v>
      </c>
      <c r="B2484">
        <v>2465336</v>
      </c>
      <c r="C2484" s="32">
        <v>43070.112939814811</v>
      </c>
    </row>
    <row r="2485" spans="1:3">
      <c r="A2485">
        <v>81892</v>
      </c>
      <c r="B2485">
        <v>2778281</v>
      </c>
      <c r="C2485" s="32">
        <v>43072.473136574074</v>
      </c>
    </row>
    <row r="2486" spans="1:3">
      <c r="A2486">
        <v>744242</v>
      </c>
      <c r="B2486">
        <v>4756105</v>
      </c>
      <c r="C2486" s="32">
        <v>43071.213750000003</v>
      </c>
    </row>
    <row r="2487" spans="1:3">
      <c r="A2487">
        <v>690849</v>
      </c>
      <c r="B2487">
        <v>1051370</v>
      </c>
      <c r="C2487" s="32">
        <v>43070.97761574074</v>
      </c>
    </row>
    <row r="2488" spans="1:3">
      <c r="A2488">
        <v>888044</v>
      </c>
      <c r="B2488">
        <v>3776866</v>
      </c>
      <c r="C2488" s="32">
        <v>43072.397314814814</v>
      </c>
    </row>
    <row r="2489" spans="1:3">
      <c r="A2489">
        <v>590571</v>
      </c>
      <c r="B2489">
        <v>1879194</v>
      </c>
      <c r="C2489" s="32">
        <v>43072.450300925928</v>
      </c>
    </row>
    <row r="2490" spans="1:3">
      <c r="A2490">
        <v>328218</v>
      </c>
      <c r="B2490">
        <v>4284875</v>
      </c>
      <c r="C2490" s="32">
        <v>43071.603101851855</v>
      </c>
    </row>
    <row r="2491" spans="1:3">
      <c r="A2491">
        <v>541299</v>
      </c>
      <c r="B2491">
        <v>2241047</v>
      </c>
      <c r="C2491" s="32">
        <v>43072.247812499998</v>
      </c>
    </row>
    <row r="2492" spans="1:3">
      <c r="A2492">
        <v>593899</v>
      </c>
      <c r="B2492">
        <v>3598912</v>
      </c>
      <c r="C2492" s="32">
        <v>43070.72378472222</v>
      </c>
    </row>
    <row r="2493" spans="1:3">
      <c r="A2493">
        <v>482553</v>
      </c>
      <c r="B2493">
        <v>2465336</v>
      </c>
      <c r="C2493" s="32">
        <v>43072.666296296295</v>
      </c>
    </row>
    <row r="2494" spans="1:3">
      <c r="A2494">
        <v>346522</v>
      </c>
      <c r="B2494">
        <v>4181361</v>
      </c>
      <c r="C2494" s="32">
        <v>43072.441250000003</v>
      </c>
    </row>
    <row r="2495" spans="1:3">
      <c r="A2495">
        <v>173081</v>
      </c>
      <c r="B2495">
        <v>4284875</v>
      </c>
      <c r="C2495" s="32">
        <v>43072.443067129629</v>
      </c>
    </row>
    <row r="2496" spans="1:3">
      <c r="A2496">
        <v>656886</v>
      </c>
      <c r="B2496">
        <v>2939262</v>
      </c>
      <c r="C2496" s="32">
        <v>43072.394016203703</v>
      </c>
    </row>
    <row r="2497" spans="1:3">
      <c r="A2497">
        <v>872608</v>
      </c>
      <c r="B2497">
        <v>982926</v>
      </c>
      <c r="C2497" s="32">
        <v>43070.567546296297</v>
      </c>
    </row>
    <row r="2498" spans="1:3">
      <c r="A2498">
        <v>118362</v>
      </c>
      <c r="B2498">
        <v>4282670</v>
      </c>
      <c r="C2498" s="32">
        <v>43071.511701388888</v>
      </c>
    </row>
    <row r="2499" spans="1:3">
      <c r="A2499">
        <v>920683</v>
      </c>
      <c r="B2499">
        <v>570735</v>
      </c>
      <c r="C2499" s="32">
        <v>43072.642118055555</v>
      </c>
    </row>
    <row r="2500" spans="1:3">
      <c r="A2500">
        <v>7189</v>
      </c>
      <c r="B2500">
        <v>4756105</v>
      </c>
      <c r="C2500" s="32">
        <v>43072.245949074073</v>
      </c>
    </row>
    <row r="2501" spans="1:3">
      <c r="A2501">
        <v>226303</v>
      </c>
      <c r="B2501">
        <v>1320293</v>
      </c>
      <c r="C2501" s="32">
        <v>43070.626481481479</v>
      </c>
    </row>
    <row r="2502" spans="1:3">
      <c r="A2502">
        <v>467627</v>
      </c>
      <c r="B2502">
        <v>3607361</v>
      </c>
      <c r="C2502" s="32">
        <v>43072.114421296297</v>
      </c>
    </row>
    <row r="2503" spans="1:3">
      <c r="A2503">
        <v>885919</v>
      </c>
      <c r="B2503">
        <v>102272</v>
      </c>
      <c r="C2503" s="32">
        <v>43070.252152777779</v>
      </c>
    </row>
    <row r="2504" spans="1:3">
      <c r="A2504">
        <v>919060</v>
      </c>
      <c r="B2504">
        <v>16219</v>
      </c>
      <c r="C2504" s="32">
        <v>43070.632824074077</v>
      </c>
    </row>
    <row r="2505" spans="1:3">
      <c r="A2505">
        <v>898625</v>
      </c>
      <c r="B2505">
        <v>1575622</v>
      </c>
      <c r="C2505" s="32">
        <v>43072.056226851855</v>
      </c>
    </row>
    <row r="2506" spans="1:3">
      <c r="A2506">
        <v>611681</v>
      </c>
      <c r="B2506">
        <v>149192</v>
      </c>
      <c r="C2506" s="32">
        <v>43072.654872685183</v>
      </c>
    </row>
    <row r="2507" spans="1:3">
      <c r="A2507">
        <v>74132</v>
      </c>
      <c r="B2507">
        <v>2465336</v>
      </c>
      <c r="C2507" s="32">
        <v>43072.380613425928</v>
      </c>
    </row>
    <row r="2508" spans="1:3">
      <c r="A2508">
        <v>568095</v>
      </c>
      <c r="B2508">
        <v>2640118</v>
      </c>
      <c r="C2508" s="32">
        <v>43071.510347222225</v>
      </c>
    </row>
    <row r="2509" spans="1:3">
      <c r="A2509">
        <v>681411</v>
      </c>
      <c r="B2509">
        <v>4006013</v>
      </c>
      <c r="C2509" s="32">
        <v>43072.255601851852</v>
      </c>
    </row>
    <row r="2510" spans="1:3">
      <c r="A2510">
        <v>554177</v>
      </c>
      <c r="B2510">
        <v>3231625</v>
      </c>
      <c r="C2510" s="32">
        <v>43071.093113425923</v>
      </c>
    </row>
    <row r="2511" spans="1:3">
      <c r="A2511">
        <v>363346</v>
      </c>
      <c r="B2511">
        <v>1467750</v>
      </c>
      <c r="C2511" s="32">
        <v>43070.627291666664</v>
      </c>
    </row>
    <row r="2512" spans="1:3">
      <c r="A2512">
        <v>10560</v>
      </c>
      <c r="B2512">
        <v>4173315</v>
      </c>
      <c r="C2512" s="32">
        <v>43072.001712962963</v>
      </c>
    </row>
    <row r="2513" spans="1:3">
      <c r="A2513">
        <v>593186</v>
      </c>
      <c r="B2513">
        <v>1080785</v>
      </c>
      <c r="C2513" s="32">
        <v>43071.519409722219</v>
      </c>
    </row>
    <row r="2514" spans="1:3">
      <c r="A2514">
        <v>777550</v>
      </c>
      <c r="B2514">
        <v>3736936</v>
      </c>
      <c r="C2514" s="32">
        <v>43069.749675925923</v>
      </c>
    </row>
    <row r="2515" spans="1:3">
      <c r="A2515">
        <v>499233</v>
      </c>
      <c r="B2515">
        <v>1807416</v>
      </c>
      <c r="C2515" s="32">
        <v>43071.430636574078</v>
      </c>
    </row>
    <row r="2516" spans="1:3">
      <c r="A2516">
        <v>428564</v>
      </c>
      <c r="B2516">
        <v>4801426</v>
      </c>
      <c r="C2516" s="32">
        <v>43071.106423611112</v>
      </c>
    </row>
    <row r="2517" spans="1:3">
      <c r="A2517">
        <v>792566</v>
      </c>
      <c r="B2517">
        <v>2303546</v>
      </c>
      <c r="C2517" s="32">
        <v>43070.595381944448</v>
      </c>
    </row>
    <row r="2518" spans="1:3">
      <c r="A2518">
        <v>734857</v>
      </c>
      <c r="B2518">
        <v>4640311</v>
      </c>
      <c r="C2518" s="32">
        <v>43071.238287037035</v>
      </c>
    </row>
    <row r="2519" spans="1:3">
      <c r="A2519">
        <v>807512</v>
      </c>
      <c r="B2519">
        <v>4121221</v>
      </c>
      <c r="C2519" s="32">
        <v>43072.558483796296</v>
      </c>
    </row>
    <row r="2520" spans="1:3">
      <c r="A2520">
        <v>719157</v>
      </c>
      <c r="B2520">
        <v>2891408</v>
      </c>
      <c r="C2520" s="32">
        <v>43071.503125000003</v>
      </c>
    </row>
    <row r="2521" spans="1:3">
      <c r="A2521">
        <v>480489</v>
      </c>
      <c r="B2521">
        <v>4145813</v>
      </c>
      <c r="C2521" s="32">
        <v>43070.63784722222</v>
      </c>
    </row>
    <row r="2522" spans="1:3">
      <c r="A2522">
        <v>299075</v>
      </c>
      <c r="B2522">
        <v>4756105</v>
      </c>
      <c r="C2522" s="32">
        <v>43071.656828703701</v>
      </c>
    </row>
    <row r="2523" spans="1:3">
      <c r="A2523">
        <v>183044</v>
      </c>
      <c r="B2523">
        <v>4882154</v>
      </c>
      <c r="C2523" s="32">
        <v>43072.342314814814</v>
      </c>
    </row>
    <row r="2524" spans="1:3">
      <c r="A2524">
        <v>238325</v>
      </c>
      <c r="B2524">
        <v>1829804</v>
      </c>
      <c r="C2524" s="32">
        <v>43071.436516203707</v>
      </c>
    </row>
    <row r="2525" spans="1:3">
      <c r="A2525">
        <v>322186</v>
      </c>
      <c r="B2525">
        <v>1312158</v>
      </c>
      <c r="C2525" s="32">
        <v>43071.578125</v>
      </c>
    </row>
    <row r="2526" spans="1:3">
      <c r="A2526">
        <v>612581</v>
      </c>
      <c r="B2526">
        <v>4339722</v>
      </c>
      <c r="C2526" s="32">
        <v>43070.769166666665</v>
      </c>
    </row>
    <row r="2527" spans="1:3">
      <c r="A2527">
        <v>667524</v>
      </c>
      <c r="B2527">
        <v>4462359</v>
      </c>
      <c r="C2527" s="32">
        <v>43072.337002314816</v>
      </c>
    </row>
    <row r="2528" spans="1:3">
      <c r="A2528">
        <v>118168</v>
      </c>
      <c r="B2528">
        <v>4145813</v>
      </c>
      <c r="C2528" s="32">
        <v>43070.597175925926</v>
      </c>
    </row>
    <row r="2529" spans="1:3">
      <c r="A2529">
        <v>431410</v>
      </c>
      <c r="B2529">
        <v>3745824</v>
      </c>
      <c r="C2529" s="32">
        <v>43070.454722222225</v>
      </c>
    </row>
    <row r="2530" spans="1:3">
      <c r="A2530">
        <v>561458</v>
      </c>
      <c r="B2530">
        <v>1879194</v>
      </c>
      <c r="C2530" s="32">
        <v>43071.004120370373</v>
      </c>
    </row>
    <row r="2531" spans="1:3">
      <c r="A2531">
        <v>41327</v>
      </c>
      <c r="B2531">
        <v>4690421</v>
      </c>
      <c r="C2531" s="32">
        <v>43071.62300925926</v>
      </c>
    </row>
    <row r="2532" spans="1:3">
      <c r="A2532">
        <v>643271</v>
      </c>
      <c r="B2532">
        <v>2885642</v>
      </c>
      <c r="C2532" s="32">
        <v>43072.218229166669</v>
      </c>
    </row>
    <row r="2533" spans="1:3">
      <c r="A2533">
        <v>934287</v>
      </c>
      <c r="B2533">
        <v>1556856</v>
      </c>
      <c r="C2533" s="32">
        <v>43071.533993055556</v>
      </c>
    </row>
    <row r="2534" spans="1:3">
      <c r="A2534">
        <v>30596</v>
      </c>
      <c r="B2534">
        <v>4756105</v>
      </c>
      <c r="C2534" s="32">
        <v>43072.100231481483</v>
      </c>
    </row>
    <row r="2535" spans="1:3">
      <c r="A2535">
        <v>147000</v>
      </c>
      <c r="B2535">
        <v>3208959</v>
      </c>
      <c r="C2535" s="32">
        <v>43071.212407407409</v>
      </c>
    </row>
    <row r="2536" spans="1:3">
      <c r="A2536">
        <v>855802</v>
      </c>
      <c r="B2536">
        <v>2735466</v>
      </c>
      <c r="C2536" s="32">
        <v>43071.432662037034</v>
      </c>
    </row>
    <row r="2537" spans="1:3">
      <c r="A2537">
        <v>468433</v>
      </c>
      <c r="B2537">
        <v>1859277</v>
      </c>
      <c r="C2537" s="32">
        <v>43072.569965277777</v>
      </c>
    </row>
    <row r="2538" spans="1:3">
      <c r="A2538">
        <v>650629</v>
      </c>
      <c r="B2538">
        <v>2872443</v>
      </c>
      <c r="C2538" s="32">
        <v>43071.160358796296</v>
      </c>
    </row>
    <row r="2539" spans="1:3">
      <c r="A2539">
        <v>626173</v>
      </c>
      <c r="B2539">
        <v>384755</v>
      </c>
      <c r="C2539" s="32">
        <v>43071.732847222222</v>
      </c>
    </row>
    <row r="2540" spans="1:3">
      <c r="A2540">
        <v>665909</v>
      </c>
      <c r="B2540">
        <v>2939262</v>
      </c>
      <c r="C2540" s="32">
        <v>43071.023935185185</v>
      </c>
    </row>
    <row r="2541" spans="1:3">
      <c r="A2541">
        <v>256724</v>
      </c>
      <c r="B2541">
        <v>1865209</v>
      </c>
      <c r="C2541" s="32">
        <v>43071.513923611114</v>
      </c>
    </row>
    <row r="2542" spans="1:3">
      <c r="A2542">
        <v>278829</v>
      </c>
      <c r="B2542">
        <v>982926</v>
      </c>
      <c r="C2542" s="32">
        <v>43070.404108796298</v>
      </c>
    </row>
    <row r="2543" spans="1:3">
      <c r="A2543">
        <v>466014</v>
      </c>
      <c r="B2543">
        <v>4801426</v>
      </c>
      <c r="C2543" s="32">
        <v>43072.462569444448</v>
      </c>
    </row>
    <row r="2544" spans="1:3">
      <c r="A2544">
        <v>417195</v>
      </c>
      <c r="B2544">
        <v>4756105</v>
      </c>
      <c r="C2544" s="32">
        <v>43071.444803240738</v>
      </c>
    </row>
    <row r="2545" spans="1:3">
      <c r="A2545">
        <v>44121</v>
      </c>
      <c r="B2545">
        <v>982926</v>
      </c>
      <c r="C2545" s="32">
        <v>43072.323067129626</v>
      </c>
    </row>
    <row r="2546" spans="1:3">
      <c r="A2546">
        <v>132280</v>
      </c>
      <c r="B2546">
        <v>3430419</v>
      </c>
      <c r="C2546" s="32">
        <v>43071.656747685185</v>
      </c>
    </row>
    <row r="2547" spans="1:3">
      <c r="A2547">
        <v>838848</v>
      </c>
      <c r="B2547">
        <v>4217906</v>
      </c>
      <c r="C2547" s="32">
        <v>43071.370740740742</v>
      </c>
    </row>
    <row r="2548" spans="1:3">
      <c r="A2548">
        <v>317743</v>
      </c>
      <c r="B2548">
        <v>2465336</v>
      </c>
      <c r="C2548" s="32">
        <v>43071.647557870368</v>
      </c>
    </row>
    <row r="2549" spans="1:3">
      <c r="A2549">
        <v>394064</v>
      </c>
      <c r="B2549">
        <v>2578647</v>
      </c>
      <c r="C2549" s="32">
        <v>43069.928124999999</v>
      </c>
    </row>
    <row r="2550" spans="1:3">
      <c r="A2550">
        <v>997461</v>
      </c>
      <c r="B2550">
        <v>2885642</v>
      </c>
      <c r="C2550" s="32">
        <v>43071.674722222226</v>
      </c>
    </row>
    <row r="2551" spans="1:3">
      <c r="A2551">
        <v>484376</v>
      </c>
      <c r="B2551">
        <v>2877672</v>
      </c>
      <c r="C2551" s="32">
        <v>43071.623738425929</v>
      </c>
    </row>
    <row r="2552" spans="1:3">
      <c r="A2552">
        <v>143925</v>
      </c>
      <c r="B2552">
        <v>1089685</v>
      </c>
      <c r="C2552" s="32">
        <v>43072.180208333331</v>
      </c>
    </row>
    <row r="2553" spans="1:3">
      <c r="A2553">
        <v>556879</v>
      </c>
      <c r="B2553">
        <v>3464786</v>
      </c>
      <c r="C2553" s="32">
        <v>43072.203796296293</v>
      </c>
    </row>
    <row r="2554" spans="1:3">
      <c r="A2554">
        <v>332524</v>
      </c>
      <c r="B2554">
        <v>1464116</v>
      </c>
      <c r="C2554" s="32">
        <v>43069.720810185187</v>
      </c>
    </row>
    <row r="2555" spans="1:3">
      <c r="A2555">
        <v>125399</v>
      </c>
      <c r="B2555">
        <v>4756105</v>
      </c>
      <c r="C2555" s="32">
        <v>43070.430856481478</v>
      </c>
    </row>
    <row r="2556" spans="1:3">
      <c r="A2556">
        <v>846562</v>
      </c>
      <c r="B2556">
        <v>1331853</v>
      </c>
      <c r="C2556" s="32">
        <v>43072.075578703705</v>
      </c>
    </row>
    <row r="2557" spans="1:3">
      <c r="A2557">
        <v>886312</v>
      </c>
      <c r="B2557">
        <v>2355072</v>
      </c>
      <c r="C2557" s="32">
        <v>43072.232847222222</v>
      </c>
    </row>
    <row r="2558" spans="1:3">
      <c r="A2558">
        <v>771911</v>
      </c>
      <c r="B2558">
        <v>3323023</v>
      </c>
      <c r="C2558" s="32">
        <v>43072.271736111114</v>
      </c>
    </row>
    <row r="2559" spans="1:3">
      <c r="A2559">
        <v>231199</v>
      </c>
      <c r="B2559">
        <v>801221</v>
      </c>
      <c r="C2559" s="32">
        <v>43069.744953703703</v>
      </c>
    </row>
    <row r="2560" spans="1:3">
      <c r="A2560">
        <v>206758</v>
      </c>
      <c r="B2560">
        <v>1080785</v>
      </c>
      <c r="C2560" s="32">
        <v>43072.043182870373</v>
      </c>
    </row>
    <row r="2561" spans="1:3">
      <c r="A2561">
        <v>660594</v>
      </c>
      <c r="B2561">
        <v>1879194</v>
      </c>
      <c r="C2561" s="32">
        <v>43072.244166666664</v>
      </c>
    </row>
    <row r="2562" spans="1:3">
      <c r="A2562">
        <v>894588</v>
      </c>
      <c r="B2562">
        <v>3607361</v>
      </c>
      <c r="C2562" s="32">
        <v>43071.535486111112</v>
      </c>
    </row>
    <row r="2563" spans="1:3">
      <c r="A2563">
        <v>675398</v>
      </c>
      <c r="B2563">
        <v>2558244</v>
      </c>
      <c r="C2563" s="32">
        <v>43070.950613425928</v>
      </c>
    </row>
    <row r="2564" spans="1:3">
      <c r="A2564">
        <v>724130</v>
      </c>
      <c r="B2564">
        <v>3371868</v>
      </c>
      <c r="C2564" s="32">
        <v>43070.299375000002</v>
      </c>
    </row>
    <row r="2565" spans="1:3">
      <c r="A2565">
        <v>68707</v>
      </c>
      <c r="B2565">
        <v>4756105</v>
      </c>
      <c r="C2565" s="32">
        <v>43071.160914351851</v>
      </c>
    </row>
    <row r="2566" spans="1:3">
      <c r="A2566">
        <v>687808</v>
      </c>
      <c r="B2566">
        <v>5071267</v>
      </c>
      <c r="C2566" s="32">
        <v>43071.674699074072</v>
      </c>
    </row>
    <row r="2567" spans="1:3">
      <c r="A2567">
        <v>195909</v>
      </c>
      <c r="B2567">
        <v>4145813</v>
      </c>
      <c r="C2567" s="32">
        <v>43069.769884259258</v>
      </c>
    </row>
    <row r="2568" spans="1:3">
      <c r="A2568">
        <v>924478</v>
      </c>
      <c r="B2568">
        <v>3138705</v>
      </c>
      <c r="C2568" s="32">
        <v>43071.519571759258</v>
      </c>
    </row>
    <row r="2569" spans="1:3">
      <c r="A2569">
        <v>231471</v>
      </c>
      <c r="B2569">
        <v>4462359</v>
      </c>
      <c r="C2569" s="32">
        <v>43070.927407407406</v>
      </c>
    </row>
    <row r="2570" spans="1:3">
      <c r="A2570">
        <v>674369</v>
      </c>
      <c r="B2570">
        <v>3398567</v>
      </c>
      <c r="C2570" s="32">
        <v>43070.577430555553</v>
      </c>
    </row>
    <row r="2571" spans="1:3">
      <c r="A2571">
        <v>970693</v>
      </c>
      <c r="B2571">
        <v>3738615</v>
      </c>
      <c r="C2571" s="32">
        <v>43071.595416666663</v>
      </c>
    </row>
    <row r="2572" spans="1:3">
      <c r="A2572">
        <v>179320</v>
      </c>
      <c r="B2572">
        <v>4244487</v>
      </c>
      <c r="C2572" s="32">
        <v>43070.58153935185</v>
      </c>
    </row>
    <row r="2573" spans="1:3">
      <c r="A2573">
        <v>222313</v>
      </c>
      <c r="B2573">
        <v>4756105</v>
      </c>
      <c r="C2573" s="32">
        <v>43072.068368055552</v>
      </c>
    </row>
    <row r="2574" spans="1:3">
      <c r="A2574">
        <v>693333</v>
      </c>
      <c r="B2574">
        <v>3844144</v>
      </c>
      <c r="C2574" s="32">
        <v>43072.003263888888</v>
      </c>
    </row>
    <row r="2575" spans="1:3">
      <c r="A2575">
        <v>287749</v>
      </c>
      <c r="B2575">
        <v>2885642</v>
      </c>
      <c r="C2575" s="32">
        <v>43071.539629629631</v>
      </c>
    </row>
    <row r="2576" spans="1:3">
      <c r="A2576">
        <v>282200</v>
      </c>
      <c r="B2576">
        <v>883960</v>
      </c>
      <c r="C2576" s="32">
        <v>43071.153449074074</v>
      </c>
    </row>
    <row r="2577" spans="1:3">
      <c r="A2577">
        <v>166295</v>
      </c>
      <c r="B2577">
        <v>3596683</v>
      </c>
      <c r="C2577" s="32">
        <v>43071.779513888891</v>
      </c>
    </row>
    <row r="2578" spans="1:3">
      <c r="A2578">
        <v>570687</v>
      </c>
      <c r="B2578">
        <v>1464116</v>
      </c>
      <c r="C2578" s="32">
        <v>43072.573437500003</v>
      </c>
    </row>
    <row r="2579" spans="1:3">
      <c r="A2579">
        <v>895129</v>
      </c>
      <c r="B2579">
        <v>2355072</v>
      </c>
      <c r="C2579" s="32">
        <v>43071.498888888891</v>
      </c>
    </row>
    <row r="2580" spans="1:3">
      <c r="A2580">
        <v>186784</v>
      </c>
      <c r="B2580">
        <v>982926</v>
      </c>
      <c r="C2580" s="32">
        <v>43072.109363425923</v>
      </c>
    </row>
    <row r="2581" spans="1:3">
      <c r="A2581">
        <v>14141</v>
      </c>
      <c r="B2581">
        <v>4756105</v>
      </c>
      <c r="C2581" s="32">
        <v>43070.562511574077</v>
      </c>
    </row>
    <row r="2582" spans="1:3">
      <c r="A2582">
        <v>918550</v>
      </c>
      <c r="B2582">
        <v>2355072</v>
      </c>
      <c r="C2582" s="32">
        <v>43070.140648148146</v>
      </c>
    </row>
    <row r="2583" spans="1:3">
      <c r="A2583">
        <v>740605</v>
      </c>
      <c r="B2583">
        <v>4391936</v>
      </c>
      <c r="C2583" s="32">
        <v>43071.172534722224</v>
      </c>
    </row>
    <row r="2584" spans="1:3">
      <c r="A2584">
        <v>745353</v>
      </c>
      <c r="B2584">
        <v>753984</v>
      </c>
      <c r="C2584" s="32">
        <v>43070.104814814818</v>
      </c>
    </row>
    <row r="2585" spans="1:3">
      <c r="A2585">
        <v>384702</v>
      </c>
      <c r="B2585">
        <v>3004853</v>
      </c>
      <c r="C2585" s="32">
        <v>43070.433194444442</v>
      </c>
    </row>
    <row r="2586" spans="1:3">
      <c r="A2586">
        <v>659771</v>
      </c>
      <c r="B2586">
        <v>1102540</v>
      </c>
      <c r="C2586" s="32">
        <v>43071.998749999999</v>
      </c>
    </row>
    <row r="2587" spans="1:3">
      <c r="A2587">
        <v>462484</v>
      </c>
      <c r="B2587">
        <v>3879308</v>
      </c>
      <c r="C2587" s="32">
        <v>43071.38212962963</v>
      </c>
    </row>
    <row r="2588" spans="1:3">
      <c r="A2588">
        <v>477960</v>
      </c>
      <c r="B2588">
        <v>383749</v>
      </c>
      <c r="C2588" s="32">
        <v>43071.3359837963</v>
      </c>
    </row>
    <row r="2589" spans="1:3">
      <c r="A2589">
        <v>762300</v>
      </c>
      <c r="B2589">
        <v>4357323</v>
      </c>
      <c r="C2589" s="32">
        <v>43071.695393518516</v>
      </c>
    </row>
    <row r="2590" spans="1:3">
      <c r="A2590">
        <v>20165</v>
      </c>
      <c r="B2590">
        <v>2355072</v>
      </c>
      <c r="C2590" s="32">
        <v>43072.171643518515</v>
      </c>
    </row>
    <row r="2591" spans="1:3">
      <c r="A2591">
        <v>615649</v>
      </c>
      <c r="B2591">
        <v>4731191</v>
      </c>
      <c r="C2591" s="32">
        <v>43069.9143287037</v>
      </c>
    </row>
    <row r="2592" spans="1:3">
      <c r="A2592">
        <v>478839</v>
      </c>
      <c r="B2592">
        <v>4217906</v>
      </c>
      <c r="C2592" s="32">
        <v>43071.568622685183</v>
      </c>
    </row>
    <row r="2593" spans="1:3">
      <c r="A2593">
        <v>242502</v>
      </c>
      <c r="B2593">
        <v>4069500</v>
      </c>
      <c r="C2593" s="32">
        <v>43071.459490740737</v>
      </c>
    </row>
    <row r="2594" spans="1:3">
      <c r="A2594">
        <v>709523</v>
      </c>
      <c r="B2594">
        <v>1879194</v>
      </c>
      <c r="C2594" s="32">
        <v>43072.113368055558</v>
      </c>
    </row>
    <row r="2595" spans="1:3">
      <c r="A2595">
        <v>993696</v>
      </c>
      <c r="B2595">
        <v>2735466</v>
      </c>
      <c r="C2595" s="32">
        <v>43070.615486111114</v>
      </c>
    </row>
    <row r="2596" spans="1:3">
      <c r="A2596">
        <v>900355</v>
      </c>
      <c r="B2596">
        <v>4756105</v>
      </c>
      <c r="C2596" s="32">
        <v>43071.426018518519</v>
      </c>
    </row>
    <row r="2597" spans="1:3">
      <c r="A2597">
        <v>1011101</v>
      </c>
      <c r="B2597">
        <v>2735466</v>
      </c>
      <c r="C2597" s="32">
        <v>43072.441712962966</v>
      </c>
    </row>
    <row r="2598" spans="1:3">
      <c r="A2598">
        <v>340207</v>
      </c>
      <c r="B2598">
        <v>2885642</v>
      </c>
      <c r="C2598" s="32">
        <v>43071.680127314816</v>
      </c>
    </row>
    <row r="2599" spans="1:3">
      <c r="A2599">
        <v>99274</v>
      </c>
      <c r="B2599">
        <v>2578647</v>
      </c>
      <c r="C2599" s="32">
        <v>43072.602025462962</v>
      </c>
    </row>
    <row r="2600" spans="1:3">
      <c r="A2600">
        <v>492297</v>
      </c>
      <c r="B2600">
        <v>4801426</v>
      </c>
      <c r="C2600" s="32">
        <v>43070.410694444443</v>
      </c>
    </row>
    <row r="2601" spans="1:3">
      <c r="A2601">
        <v>900967</v>
      </c>
      <c r="B2601">
        <v>1859277</v>
      </c>
      <c r="C2601" s="32">
        <v>43070.598009259258</v>
      </c>
    </row>
    <row r="2602" spans="1:3">
      <c r="A2602">
        <v>28574</v>
      </c>
      <c r="B2602">
        <v>4756105</v>
      </c>
      <c r="C2602" s="32">
        <v>43072.594398148147</v>
      </c>
    </row>
    <row r="2603" spans="1:3">
      <c r="A2603">
        <v>78778</v>
      </c>
      <c r="B2603">
        <v>4756105</v>
      </c>
      <c r="C2603" s="32">
        <v>43072.027511574073</v>
      </c>
    </row>
    <row r="2604" spans="1:3">
      <c r="A2604">
        <v>519720</v>
      </c>
      <c r="B2604">
        <v>3860845</v>
      </c>
      <c r="C2604" s="32">
        <v>43069.932708333334</v>
      </c>
    </row>
    <row r="2605" spans="1:3">
      <c r="A2605">
        <v>663153</v>
      </c>
      <c r="B2605">
        <v>4756105</v>
      </c>
      <c r="C2605" s="32">
        <v>43071.538263888891</v>
      </c>
    </row>
    <row r="2606" spans="1:3">
      <c r="A2606">
        <v>921850</v>
      </c>
      <c r="B2606">
        <v>800581</v>
      </c>
      <c r="C2606" s="32">
        <v>43070.030543981484</v>
      </c>
    </row>
    <row r="2607" spans="1:3">
      <c r="A2607">
        <v>746711</v>
      </c>
      <c r="B2607">
        <v>1859277</v>
      </c>
      <c r="C2607" s="32">
        <v>43072.592881944445</v>
      </c>
    </row>
    <row r="2608" spans="1:3">
      <c r="A2608">
        <v>471133</v>
      </c>
      <c r="B2608">
        <v>174239</v>
      </c>
      <c r="C2608" s="32">
        <v>43071.026736111111</v>
      </c>
    </row>
    <row r="2609" spans="1:3">
      <c r="A2609">
        <v>579079</v>
      </c>
      <c r="B2609">
        <v>4082778</v>
      </c>
      <c r="C2609" s="32">
        <v>43070.295682870368</v>
      </c>
    </row>
    <row r="2610" spans="1:3">
      <c r="A2610">
        <v>1309</v>
      </c>
      <c r="B2610">
        <v>2195789</v>
      </c>
      <c r="C2610" s="32">
        <v>43071.523888888885</v>
      </c>
    </row>
    <row r="2611" spans="1:3">
      <c r="A2611">
        <v>489772</v>
      </c>
      <c r="B2611">
        <v>866301</v>
      </c>
      <c r="C2611" s="32">
        <v>43071.295925925922</v>
      </c>
    </row>
    <row r="2612" spans="1:3">
      <c r="A2612">
        <v>649606</v>
      </c>
      <c r="B2612">
        <v>1320293</v>
      </c>
      <c r="C2612" s="32">
        <v>43072.26457175926</v>
      </c>
    </row>
    <row r="2613" spans="1:3">
      <c r="A2613">
        <v>285746</v>
      </c>
      <c r="B2613">
        <v>149192</v>
      </c>
      <c r="C2613" s="32">
        <v>43070.591967592591</v>
      </c>
    </row>
    <row r="2614" spans="1:3">
      <c r="A2614">
        <v>311447</v>
      </c>
      <c r="B2614">
        <v>1029459</v>
      </c>
      <c r="C2614" s="32">
        <v>43072.645787037036</v>
      </c>
    </row>
    <row r="2615" spans="1:3">
      <c r="A2615">
        <v>807798</v>
      </c>
      <c r="B2615">
        <v>3524510</v>
      </c>
      <c r="C2615" s="32">
        <v>43071.624884259261</v>
      </c>
    </row>
    <row r="2616" spans="1:3">
      <c r="A2616">
        <v>900806</v>
      </c>
      <c r="B2616">
        <v>4801426</v>
      </c>
      <c r="C2616" s="32">
        <v>43070.274675925924</v>
      </c>
    </row>
    <row r="2617" spans="1:3">
      <c r="A2617">
        <v>590668</v>
      </c>
      <c r="B2617">
        <v>4217906</v>
      </c>
      <c r="C2617" s="32">
        <v>43071.550462962965</v>
      </c>
    </row>
    <row r="2618" spans="1:3">
      <c r="A2618">
        <v>836106</v>
      </c>
      <c r="B2618">
        <v>3800818</v>
      </c>
      <c r="C2618" s="32">
        <v>43071.493946759256</v>
      </c>
    </row>
    <row r="2619" spans="1:3">
      <c r="A2619">
        <v>864722</v>
      </c>
      <c r="B2619">
        <v>4602841</v>
      </c>
      <c r="C2619" s="32">
        <v>43072.295567129629</v>
      </c>
    </row>
    <row r="2620" spans="1:3">
      <c r="A2620">
        <v>171662</v>
      </c>
      <c r="B2620">
        <v>120033</v>
      </c>
      <c r="C2620" s="32">
        <v>43071.587453703702</v>
      </c>
    </row>
    <row r="2621" spans="1:3">
      <c r="A2621">
        <v>908209</v>
      </c>
      <c r="B2621">
        <v>2640118</v>
      </c>
      <c r="C2621" s="32">
        <v>43072.59615740741</v>
      </c>
    </row>
    <row r="2622" spans="1:3">
      <c r="A2622">
        <v>120852</v>
      </c>
      <c r="B2622">
        <v>1646753</v>
      </c>
      <c r="C2622" s="32">
        <v>43071.317557870374</v>
      </c>
    </row>
    <row r="2623" spans="1:3">
      <c r="A2623">
        <v>237309</v>
      </c>
      <c r="B2623">
        <v>3774512</v>
      </c>
      <c r="C2623" s="32">
        <v>43070.721203703702</v>
      </c>
    </row>
    <row r="2624" spans="1:3">
      <c r="A2624">
        <v>964908</v>
      </c>
      <c r="B2624">
        <v>3279507</v>
      </c>
      <c r="C2624" s="32">
        <v>43070.619687500002</v>
      </c>
    </row>
    <row r="2625" spans="1:3">
      <c r="A2625">
        <v>64539</v>
      </c>
      <c r="B2625">
        <v>4801426</v>
      </c>
      <c r="C2625" s="32">
        <v>43072.565266203703</v>
      </c>
    </row>
    <row r="2626" spans="1:3">
      <c r="A2626">
        <v>842284</v>
      </c>
      <c r="B2626">
        <v>3738615</v>
      </c>
      <c r="C2626" s="32">
        <v>43072.561840277776</v>
      </c>
    </row>
    <row r="2627" spans="1:3">
      <c r="A2627">
        <v>737556</v>
      </c>
      <c r="B2627">
        <v>2520377</v>
      </c>
      <c r="C2627" s="32">
        <v>43071.543240740742</v>
      </c>
    </row>
    <row r="2628" spans="1:3">
      <c r="A2628">
        <v>304504</v>
      </c>
      <c r="B2628">
        <v>154040</v>
      </c>
      <c r="C2628" s="32">
        <v>43071.619039351855</v>
      </c>
    </row>
    <row r="2629" spans="1:3">
      <c r="A2629">
        <v>683360</v>
      </c>
      <c r="B2629">
        <v>416183</v>
      </c>
      <c r="C2629" s="32">
        <v>43070.026886574073</v>
      </c>
    </row>
    <row r="2630" spans="1:3">
      <c r="A2630">
        <v>741226</v>
      </c>
      <c r="B2630">
        <v>1834026</v>
      </c>
      <c r="C2630" s="32">
        <v>43071.379490740743</v>
      </c>
    </row>
    <row r="2631" spans="1:3">
      <c r="A2631">
        <v>705741</v>
      </c>
      <c r="B2631">
        <v>4298656</v>
      </c>
      <c r="C2631" s="32">
        <v>43072.149421296293</v>
      </c>
    </row>
    <row r="2632" spans="1:3">
      <c r="A2632">
        <v>407249</v>
      </c>
      <c r="B2632">
        <v>982926</v>
      </c>
      <c r="C2632" s="32">
        <v>43071.350694444445</v>
      </c>
    </row>
    <row r="2633" spans="1:3">
      <c r="A2633">
        <v>62461</v>
      </c>
      <c r="B2633">
        <v>3461823</v>
      </c>
      <c r="C2633" s="32">
        <v>43071.570833333331</v>
      </c>
    </row>
    <row r="2634" spans="1:3">
      <c r="A2634">
        <v>686680</v>
      </c>
      <c r="B2634">
        <v>4864953</v>
      </c>
      <c r="C2634" s="32">
        <v>43071.096261574072</v>
      </c>
    </row>
    <row r="2635" spans="1:3">
      <c r="A2635">
        <v>65023</v>
      </c>
      <c r="B2635">
        <v>810632</v>
      </c>
      <c r="C2635" s="32">
        <v>43070.087430555555</v>
      </c>
    </row>
    <row r="2636" spans="1:3">
      <c r="A2636">
        <v>175444</v>
      </c>
      <c r="B2636">
        <v>3829657</v>
      </c>
      <c r="C2636" s="32">
        <v>43071.538043981483</v>
      </c>
    </row>
    <row r="2637" spans="1:3">
      <c r="A2637">
        <v>120480</v>
      </c>
      <c r="B2637">
        <v>4217906</v>
      </c>
      <c r="C2637" s="32">
        <v>43072.255879629629</v>
      </c>
    </row>
    <row r="2638" spans="1:3">
      <c r="A2638">
        <v>387117</v>
      </c>
      <c r="B2638">
        <v>2651305</v>
      </c>
      <c r="C2638" s="32">
        <v>43072.133900462963</v>
      </c>
    </row>
    <row r="2639" spans="1:3">
      <c r="A2639">
        <v>358664</v>
      </c>
      <c r="B2639">
        <v>3645362</v>
      </c>
      <c r="C2639" s="32">
        <v>43071.596412037034</v>
      </c>
    </row>
    <row r="2640" spans="1:3">
      <c r="A2640">
        <v>23358</v>
      </c>
      <c r="B2640">
        <v>3738615</v>
      </c>
      <c r="C2640" s="32">
        <v>43072.623437499999</v>
      </c>
    </row>
    <row r="2641" spans="1:3">
      <c r="A2641">
        <v>190764</v>
      </c>
      <c r="B2641">
        <v>982926</v>
      </c>
      <c r="C2641" s="32">
        <v>43071.168796296297</v>
      </c>
    </row>
    <row r="2642" spans="1:3">
      <c r="A2642">
        <v>458396</v>
      </c>
      <c r="B2642">
        <v>982926</v>
      </c>
      <c r="C2642" s="32">
        <v>43071.333078703705</v>
      </c>
    </row>
    <row r="2643" spans="1:3">
      <c r="A2643">
        <v>131522</v>
      </c>
      <c r="B2643">
        <v>2361828</v>
      </c>
      <c r="C2643" s="32">
        <v>43071.624976851854</v>
      </c>
    </row>
    <row r="2644" spans="1:3">
      <c r="A2644">
        <v>320378</v>
      </c>
      <c r="B2644">
        <v>381850</v>
      </c>
      <c r="C2644" s="32">
        <v>43071.008067129631</v>
      </c>
    </row>
    <row r="2645" spans="1:3">
      <c r="A2645">
        <v>353025</v>
      </c>
      <c r="B2645">
        <v>3768664</v>
      </c>
      <c r="C2645" s="32">
        <v>43072.572939814818</v>
      </c>
    </row>
    <row r="2646" spans="1:3">
      <c r="A2646">
        <v>884607</v>
      </c>
      <c r="B2646">
        <v>982926</v>
      </c>
      <c r="C2646" s="32">
        <v>43072.351747685185</v>
      </c>
    </row>
    <row r="2647" spans="1:3">
      <c r="A2647">
        <v>1003017</v>
      </c>
      <c r="B2647">
        <v>3147903</v>
      </c>
      <c r="C2647" s="32">
        <v>43071.49658564815</v>
      </c>
    </row>
    <row r="2648" spans="1:3">
      <c r="A2648">
        <v>17381</v>
      </c>
      <c r="B2648">
        <v>1080785</v>
      </c>
      <c r="C2648" s="32">
        <v>43070.66333333333</v>
      </c>
    </row>
    <row r="2649" spans="1:3">
      <c r="A2649">
        <v>127567</v>
      </c>
      <c r="B2649">
        <v>4758477</v>
      </c>
      <c r="C2649" s="32">
        <v>43070.656365740739</v>
      </c>
    </row>
    <row r="2650" spans="1:3">
      <c r="A2650">
        <v>373552</v>
      </c>
      <c r="B2650">
        <v>2096639</v>
      </c>
      <c r="C2650" s="32">
        <v>43070.656261574077</v>
      </c>
    </row>
    <row r="2651" spans="1:3">
      <c r="A2651">
        <v>313203</v>
      </c>
      <c r="B2651">
        <v>1879194</v>
      </c>
      <c r="C2651" s="32">
        <v>43071.650023148148</v>
      </c>
    </row>
    <row r="2652" spans="1:3">
      <c r="A2652">
        <v>382869</v>
      </c>
      <c r="B2652">
        <v>2640118</v>
      </c>
      <c r="C2652" s="32">
        <v>43070.550474537034</v>
      </c>
    </row>
    <row r="2653" spans="1:3">
      <c r="A2653">
        <v>752075</v>
      </c>
      <c r="B2653">
        <v>4169506</v>
      </c>
      <c r="C2653" s="32">
        <v>43071.684606481482</v>
      </c>
    </row>
    <row r="2654" spans="1:3">
      <c r="A2654">
        <v>909393</v>
      </c>
      <c r="B2654">
        <v>2131531</v>
      </c>
      <c r="C2654" s="32">
        <v>43071.356192129628</v>
      </c>
    </row>
    <row r="2655" spans="1:3">
      <c r="A2655">
        <v>845629</v>
      </c>
      <c r="B2655">
        <v>4801426</v>
      </c>
      <c r="C2655" s="32">
        <v>43071.166527777779</v>
      </c>
    </row>
    <row r="2656" spans="1:3">
      <c r="A2656">
        <v>747738</v>
      </c>
      <c r="B2656">
        <v>845650</v>
      </c>
      <c r="C2656" s="32">
        <v>43070.604907407411</v>
      </c>
    </row>
    <row r="2657" spans="1:3">
      <c r="A2657">
        <v>34995</v>
      </c>
      <c r="B2657">
        <v>4601757</v>
      </c>
      <c r="C2657" s="32">
        <v>43072.585034722222</v>
      </c>
    </row>
    <row r="2658" spans="1:3">
      <c r="A2658">
        <v>523381</v>
      </c>
      <c r="B2658">
        <v>4470576</v>
      </c>
      <c r="C2658" s="32">
        <v>43072.57503472222</v>
      </c>
    </row>
    <row r="2659" spans="1:3">
      <c r="A2659">
        <v>756047</v>
      </c>
      <c r="B2659">
        <v>154040</v>
      </c>
      <c r="C2659" s="32">
        <v>43071.384675925925</v>
      </c>
    </row>
    <row r="2660" spans="1:3">
      <c r="A2660">
        <v>937942</v>
      </c>
      <c r="B2660">
        <v>1102540</v>
      </c>
      <c r="C2660" s="32">
        <v>43071.13144675926</v>
      </c>
    </row>
    <row r="2661" spans="1:3">
      <c r="A2661">
        <v>168165</v>
      </c>
      <c r="B2661">
        <v>3381583</v>
      </c>
      <c r="C2661" s="32">
        <v>43071.348240740743</v>
      </c>
    </row>
    <row r="2662" spans="1:3">
      <c r="A2662">
        <v>320144</v>
      </c>
      <c r="B2662">
        <v>154040</v>
      </c>
      <c r="C2662" s="32">
        <v>43070.351597222223</v>
      </c>
    </row>
    <row r="2663" spans="1:3">
      <c r="A2663">
        <v>401163</v>
      </c>
      <c r="B2663">
        <v>119741</v>
      </c>
      <c r="C2663" s="32">
        <v>43071.550879629627</v>
      </c>
    </row>
    <row r="2664" spans="1:3">
      <c r="A2664">
        <v>265768</v>
      </c>
      <c r="B2664">
        <v>982926</v>
      </c>
      <c r="C2664" s="32">
        <v>43072.145636574074</v>
      </c>
    </row>
    <row r="2665" spans="1:3">
      <c r="A2665">
        <v>652300</v>
      </c>
      <c r="B2665">
        <v>3645362</v>
      </c>
      <c r="C2665" s="32">
        <v>43071.520844907405</v>
      </c>
    </row>
    <row r="2666" spans="1:3">
      <c r="A2666">
        <v>147363</v>
      </c>
      <c r="B2666">
        <v>84264</v>
      </c>
      <c r="C2666" s="32">
        <v>43070.443553240744</v>
      </c>
    </row>
    <row r="2667" spans="1:3">
      <c r="A2667">
        <v>599119</v>
      </c>
      <c r="B2667">
        <v>2885642</v>
      </c>
      <c r="C2667" s="32">
        <v>43072.268645833334</v>
      </c>
    </row>
    <row r="2668" spans="1:3">
      <c r="A2668">
        <v>224197</v>
      </c>
      <c r="B2668">
        <v>4517019</v>
      </c>
      <c r="C2668" s="32">
        <v>43070.21197916667</v>
      </c>
    </row>
    <row r="2669" spans="1:3">
      <c r="A2669">
        <v>886493</v>
      </c>
      <c r="B2669">
        <v>235534</v>
      </c>
      <c r="C2669" s="32">
        <v>43071.606249999997</v>
      </c>
    </row>
    <row r="2670" spans="1:3">
      <c r="A2670">
        <v>893266</v>
      </c>
      <c r="B2670">
        <v>1530704</v>
      </c>
      <c r="C2670" s="32">
        <v>43072.232928240737</v>
      </c>
    </row>
    <row r="2671" spans="1:3">
      <c r="A2671">
        <v>133725</v>
      </c>
      <c r="B2671">
        <v>2885642</v>
      </c>
      <c r="C2671" s="32">
        <v>43070.612384259257</v>
      </c>
    </row>
    <row r="2672" spans="1:3">
      <c r="A2672">
        <v>190282</v>
      </c>
      <c r="B2672">
        <v>4874384</v>
      </c>
      <c r="C2672" s="32">
        <v>43072.558865740742</v>
      </c>
    </row>
    <row r="2673" spans="1:3">
      <c r="A2673">
        <v>111548</v>
      </c>
      <c r="B2673">
        <v>3738615</v>
      </c>
      <c r="C2673" s="32">
        <v>43072.548784722225</v>
      </c>
    </row>
    <row r="2674" spans="1:3">
      <c r="A2674">
        <v>555913</v>
      </c>
      <c r="B2674">
        <v>2465336</v>
      </c>
      <c r="C2674" s="32">
        <v>43070.598599537036</v>
      </c>
    </row>
    <row r="2675" spans="1:3">
      <c r="A2675">
        <v>162055</v>
      </c>
      <c r="B2675">
        <v>4897718</v>
      </c>
      <c r="C2675" s="32">
        <v>43072.357407407406</v>
      </c>
    </row>
    <row r="2676" spans="1:3">
      <c r="A2676">
        <v>272107</v>
      </c>
      <c r="B2676">
        <v>1338377</v>
      </c>
      <c r="C2676" s="32">
        <v>43072.227627314816</v>
      </c>
    </row>
    <row r="2677" spans="1:3">
      <c r="A2677">
        <v>64515</v>
      </c>
      <c r="B2677">
        <v>1379146</v>
      </c>
      <c r="C2677" s="32">
        <v>43070.138761574075</v>
      </c>
    </row>
    <row r="2678" spans="1:3">
      <c r="A2678">
        <v>233745</v>
      </c>
      <c r="B2678">
        <v>411153</v>
      </c>
      <c r="C2678" s="32">
        <v>43070.652175925927</v>
      </c>
    </row>
    <row r="2679" spans="1:3">
      <c r="A2679">
        <v>193447</v>
      </c>
      <c r="B2679">
        <v>3464658</v>
      </c>
      <c r="C2679" s="32">
        <v>43072.229432870372</v>
      </c>
    </row>
    <row r="2680" spans="1:3">
      <c r="A2680">
        <v>36234</v>
      </c>
      <c r="B2680">
        <v>2355072</v>
      </c>
      <c r="C2680" s="32">
        <v>43071.062673611108</v>
      </c>
    </row>
    <row r="2681" spans="1:3">
      <c r="A2681">
        <v>224066</v>
      </c>
      <c r="B2681">
        <v>4338287</v>
      </c>
      <c r="C2681" s="32">
        <v>43069.728449074071</v>
      </c>
    </row>
    <row r="2682" spans="1:3">
      <c r="A2682">
        <v>88920</v>
      </c>
      <c r="B2682">
        <v>1320293</v>
      </c>
      <c r="C2682" s="32">
        <v>43071.386666666665</v>
      </c>
    </row>
    <row r="2683" spans="1:3">
      <c r="A2683">
        <v>643991</v>
      </c>
      <c r="B2683">
        <v>2355072</v>
      </c>
      <c r="C2683" s="32">
        <v>43071.064421296294</v>
      </c>
    </row>
    <row r="2684" spans="1:3">
      <c r="A2684">
        <v>270114</v>
      </c>
      <c r="B2684">
        <v>4098232</v>
      </c>
      <c r="C2684" s="32">
        <v>43070.641944444447</v>
      </c>
    </row>
    <row r="2685" spans="1:3">
      <c r="A2685">
        <v>649137</v>
      </c>
      <c r="B2685">
        <v>4789432</v>
      </c>
      <c r="C2685" s="32">
        <v>43070.434583333335</v>
      </c>
    </row>
    <row r="2686" spans="1:3">
      <c r="A2686">
        <v>970115</v>
      </c>
      <c r="B2686">
        <v>102272</v>
      </c>
      <c r="C2686" s="32">
        <v>43070.620578703703</v>
      </c>
    </row>
    <row r="2687" spans="1:3">
      <c r="A2687">
        <v>277931</v>
      </c>
      <c r="B2687">
        <v>883960</v>
      </c>
      <c r="C2687" s="32">
        <v>43070.069675925923</v>
      </c>
    </row>
    <row r="2688" spans="1:3">
      <c r="A2688">
        <v>990982</v>
      </c>
      <c r="B2688">
        <v>174239</v>
      </c>
      <c r="C2688" s="32">
        <v>43071.646817129629</v>
      </c>
    </row>
    <row r="2689" spans="1:3">
      <c r="A2689">
        <v>12698</v>
      </c>
      <c r="B2689">
        <v>3381583</v>
      </c>
      <c r="C2689" s="32">
        <v>43071.423680555556</v>
      </c>
    </row>
    <row r="2690" spans="1:3">
      <c r="A2690">
        <v>406577</v>
      </c>
      <c r="B2690">
        <v>982926</v>
      </c>
      <c r="C2690" s="32">
        <v>43072.493819444448</v>
      </c>
    </row>
    <row r="2691" spans="1:3">
      <c r="A2691">
        <v>322785</v>
      </c>
      <c r="B2691">
        <v>4242717</v>
      </c>
      <c r="C2691" s="32">
        <v>43072.518252314818</v>
      </c>
    </row>
    <row r="2692" spans="1:3">
      <c r="A2692">
        <v>708902</v>
      </c>
      <c r="B2692">
        <v>2515942</v>
      </c>
      <c r="C2692" s="32">
        <v>43070.081319444442</v>
      </c>
    </row>
    <row r="2693" spans="1:3">
      <c r="A2693">
        <v>485960</v>
      </c>
      <c r="B2693">
        <v>1461887</v>
      </c>
      <c r="C2693" s="32">
        <v>43072.610034722224</v>
      </c>
    </row>
    <row r="2694" spans="1:3">
      <c r="A2694">
        <v>267882</v>
      </c>
      <c r="B2694">
        <v>3299155</v>
      </c>
      <c r="C2694" s="32">
        <v>43071.302222222221</v>
      </c>
    </row>
    <row r="2695" spans="1:3">
      <c r="A2695">
        <v>91822</v>
      </c>
      <c r="B2695">
        <v>737184</v>
      </c>
      <c r="C2695" s="32">
        <v>43072.240925925929</v>
      </c>
    </row>
    <row r="2696" spans="1:3">
      <c r="A2696">
        <v>476648</v>
      </c>
      <c r="B2696">
        <v>982926</v>
      </c>
      <c r="C2696" s="32">
        <v>43071.658946759257</v>
      </c>
    </row>
    <row r="2697" spans="1:3">
      <c r="A2697">
        <v>84201</v>
      </c>
      <c r="B2697">
        <v>1920171</v>
      </c>
      <c r="C2697" s="32">
        <v>43070.591331018521</v>
      </c>
    </row>
    <row r="2698" spans="1:3">
      <c r="A2698">
        <v>420991</v>
      </c>
      <c r="B2698">
        <v>2693696</v>
      </c>
      <c r="C2698" s="32">
        <v>43071.565196759257</v>
      </c>
    </row>
    <row r="2699" spans="1:3">
      <c r="A2699">
        <v>576733</v>
      </c>
      <c r="B2699">
        <v>4723214</v>
      </c>
      <c r="C2699" s="32">
        <v>43069.962395833332</v>
      </c>
    </row>
    <row r="2700" spans="1:3">
      <c r="A2700">
        <v>560796</v>
      </c>
      <c r="B2700">
        <v>4601757</v>
      </c>
      <c r="C2700" s="32">
        <v>43071.623564814814</v>
      </c>
    </row>
    <row r="2701" spans="1:3">
      <c r="A2701">
        <v>550896</v>
      </c>
      <c r="B2701">
        <v>4801426</v>
      </c>
      <c r="C2701" s="32">
        <v>43071.223530092589</v>
      </c>
    </row>
    <row r="2702" spans="1:3">
      <c r="A2702">
        <v>907352</v>
      </c>
      <c r="B2702">
        <v>3299155</v>
      </c>
      <c r="C2702" s="32">
        <v>43071.706099537034</v>
      </c>
    </row>
    <row r="2703" spans="1:3">
      <c r="A2703">
        <v>208047</v>
      </c>
      <c r="B2703">
        <v>3607361</v>
      </c>
      <c r="C2703" s="32">
        <v>43072.539583333331</v>
      </c>
    </row>
    <row r="2704" spans="1:3">
      <c r="A2704">
        <v>855775</v>
      </c>
      <c r="B2704">
        <v>4697972</v>
      </c>
      <c r="C2704" s="32">
        <v>43072.069687499999</v>
      </c>
    </row>
    <row r="2705" spans="1:3">
      <c r="A2705">
        <v>964789</v>
      </c>
      <c r="B2705">
        <v>3626061</v>
      </c>
      <c r="C2705" s="32">
        <v>43071.561574074076</v>
      </c>
    </row>
    <row r="2706" spans="1:3">
      <c r="A2706">
        <v>318627</v>
      </c>
      <c r="B2706">
        <v>4145813</v>
      </c>
      <c r="C2706" s="32">
        <v>43072.18341435185</v>
      </c>
    </row>
    <row r="2707" spans="1:3">
      <c r="A2707">
        <v>323314</v>
      </c>
      <c r="B2707">
        <v>3410573</v>
      </c>
      <c r="C2707" s="32">
        <v>43072.079895833333</v>
      </c>
    </row>
    <row r="2708" spans="1:3">
      <c r="A2708">
        <v>570789</v>
      </c>
      <c r="B2708">
        <v>2926020</v>
      </c>
      <c r="C2708" s="32">
        <v>43071.042893518519</v>
      </c>
    </row>
    <row r="2709" spans="1:3">
      <c r="A2709">
        <v>690447</v>
      </c>
      <c r="B2709">
        <v>2459106</v>
      </c>
      <c r="C2709" s="32">
        <v>43072.416365740741</v>
      </c>
    </row>
    <row r="2710" spans="1:3">
      <c r="A2710">
        <v>114432</v>
      </c>
      <c r="B2710">
        <v>4238676</v>
      </c>
      <c r="C2710" s="32">
        <v>43071.244305555556</v>
      </c>
    </row>
    <row r="2711" spans="1:3">
      <c r="A2711">
        <v>522807</v>
      </c>
      <c r="B2711">
        <v>3248072</v>
      </c>
      <c r="C2711" s="32">
        <v>43070.647465277776</v>
      </c>
    </row>
    <row r="2712" spans="1:3">
      <c r="A2712">
        <v>343845</v>
      </c>
      <c r="B2712">
        <v>3108044</v>
      </c>
      <c r="C2712" s="32">
        <v>43070.289143518516</v>
      </c>
    </row>
    <row r="2713" spans="1:3">
      <c r="A2713">
        <v>36140</v>
      </c>
      <c r="B2713">
        <v>863375</v>
      </c>
      <c r="C2713" s="32">
        <v>43071.034421296295</v>
      </c>
    </row>
    <row r="2714" spans="1:3">
      <c r="A2714">
        <v>810052</v>
      </c>
      <c r="B2714">
        <v>1379146</v>
      </c>
      <c r="C2714" s="32">
        <v>43072.350613425922</v>
      </c>
    </row>
    <row r="2715" spans="1:3">
      <c r="A2715">
        <v>822658</v>
      </c>
      <c r="B2715">
        <v>4801426</v>
      </c>
      <c r="C2715" s="32">
        <v>43072.600682870368</v>
      </c>
    </row>
    <row r="2716" spans="1:3">
      <c r="A2716">
        <v>499158</v>
      </c>
      <c r="B2716">
        <v>982926</v>
      </c>
      <c r="C2716" s="32">
        <v>43070.422083333331</v>
      </c>
    </row>
    <row r="2717" spans="1:3">
      <c r="A2717">
        <v>989414</v>
      </c>
      <c r="B2717">
        <v>5064</v>
      </c>
      <c r="C2717" s="32">
        <v>43071.632534722223</v>
      </c>
    </row>
    <row r="2718" spans="1:3">
      <c r="A2718">
        <v>990012</v>
      </c>
      <c r="B2718">
        <v>1168596</v>
      </c>
      <c r="C2718" s="32">
        <v>43071.635150462964</v>
      </c>
    </row>
    <row r="2719" spans="1:3">
      <c r="A2719">
        <v>823921</v>
      </c>
      <c r="B2719">
        <v>982926</v>
      </c>
      <c r="C2719" s="32">
        <v>43071.120532407411</v>
      </c>
    </row>
    <row r="2720" spans="1:3">
      <c r="A2720">
        <v>149382</v>
      </c>
      <c r="B2720">
        <v>4801426</v>
      </c>
      <c r="C2720" s="32">
        <v>43071.089247685188</v>
      </c>
    </row>
    <row r="2721" spans="1:3">
      <c r="A2721">
        <v>133431</v>
      </c>
      <c r="B2721">
        <v>2939262</v>
      </c>
      <c r="C2721" s="32">
        <v>43070.222986111112</v>
      </c>
    </row>
    <row r="2722" spans="1:3">
      <c r="A2722">
        <v>998038</v>
      </c>
      <c r="B2722">
        <v>3002561</v>
      </c>
      <c r="C2722" s="32">
        <v>43070.183229166665</v>
      </c>
    </row>
    <row r="2723" spans="1:3">
      <c r="A2723">
        <v>470843</v>
      </c>
      <c r="B2723">
        <v>4722263</v>
      </c>
      <c r="C2723" s="32">
        <v>43072.579965277779</v>
      </c>
    </row>
    <row r="2724" spans="1:3">
      <c r="A2724">
        <v>795711</v>
      </c>
      <c r="B2724">
        <v>163196</v>
      </c>
      <c r="C2724" s="32">
        <v>43070.551377314812</v>
      </c>
    </row>
    <row r="2725" spans="1:3">
      <c r="A2725">
        <v>102412</v>
      </c>
      <c r="B2725">
        <v>3398567</v>
      </c>
      <c r="C2725" s="32">
        <v>43071.099259259259</v>
      </c>
    </row>
    <row r="2726" spans="1:3">
      <c r="A2726">
        <v>17934</v>
      </c>
      <c r="B2726">
        <v>3002561</v>
      </c>
      <c r="C2726" s="32">
        <v>43071.497627314813</v>
      </c>
    </row>
    <row r="2727" spans="1:3">
      <c r="A2727">
        <v>557063</v>
      </c>
      <c r="B2727">
        <v>4756105</v>
      </c>
      <c r="C2727" s="32">
        <v>43071.538958333331</v>
      </c>
    </row>
    <row r="2728" spans="1:3">
      <c r="A2728">
        <v>401367</v>
      </c>
      <c r="B2728">
        <v>50601</v>
      </c>
      <c r="C2728" s="32">
        <v>43071.576203703706</v>
      </c>
    </row>
    <row r="2729" spans="1:3">
      <c r="A2729">
        <v>823287</v>
      </c>
      <c r="B2729">
        <v>982926</v>
      </c>
      <c r="C2729" s="32">
        <v>43072.087291666663</v>
      </c>
    </row>
    <row r="2730" spans="1:3">
      <c r="A2730">
        <v>121496</v>
      </c>
      <c r="B2730">
        <v>405755</v>
      </c>
      <c r="C2730" s="32">
        <v>43070.687071759261</v>
      </c>
    </row>
    <row r="2731" spans="1:3">
      <c r="A2731">
        <v>972682</v>
      </c>
      <c r="B2731">
        <v>2877672</v>
      </c>
      <c r="C2731" s="32">
        <v>43070.516435185185</v>
      </c>
    </row>
    <row r="2732" spans="1:3">
      <c r="A2732">
        <v>914731</v>
      </c>
      <c r="B2732">
        <v>2885642</v>
      </c>
      <c r="C2732" s="32">
        <v>43070.455046296294</v>
      </c>
    </row>
    <row r="2733" spans="1:3">
      <c r="A2733">
        <v>978065</v>
      </c>
      <c r="B2733">
        <v>4357323</v>
      </c>
      <c r="C2733" s="32">
        <v>43070.607534722221</v>
      </c>
    </row>
    <row r="2734" spans="1:3">
      <c r="A2734">
        <v>88906</v>
      </c>
      <c r="B2734">
        <v>2558244</v>
      </c>
      <c r="C2734" s="32">
        <v>43070.402499999997</v>
      </c>
    </row>
    <row r="2735" spans="1:3">
      <c r="A2735">
        <v>448014</v>
      </c>
      <c r="B2735">
        <v>4801426</v>
      </c>
      <c r="C2735" s="32">
        <v>43070.478703703702</v>
      </c>
    </row>
    <row r="2736" spans="1:3">
      <c r="A2736">
        <v>481601</v>
      </c>
      <c r="B2736">
        <v>3112817</v>
      </c>
      <c r="C2736" s="32">
        <v>43072.224120370367</v>
      </c>
    </row>
    <row r="2737" spans="1:3">
      <c r="A2737">
        <v>182571</v>
      </c>
      <c r="B2737">
        <v>2721770</v>
      </c>
      <c r="C2737" s="32">
        <v>43072.257731481484</v>
      </c>
    </row>
    <row r="2738" spans="1:3">
      <c r="A2738">
        <v>349906</v>
      </c>
      <c r="B2738">
        <v>4145813</v>
      </c>
      <c r="C2738" s="32">
        <v>43072.37054398148</v>
      </c>
    </row>
    <row r="2739" spans="1:3">
      <c r="A2739">
        <v>245169</v>
      </c>
      <c r="B2739">
        <v>3669044</v>
      </c>
      <c r="C2739" s="32">
        <v>43072.137418981481</v>
      </c>
    </row>
    <row r="2740" spans="1:3">
      <c r="A2740">
        <v>732441</v>
      </c>
      <c r="B2740">
        <v>3372283</v>
      </c>
      <c r="C2740" s="32">
        <v>43071.303611111114</v>
      </c>
    </row>
    <row r="2741" spans="1:3">
      <c r="A2741">
        <v>91063</v>
      </c>
      <c r="B2741">
        <v>4069500</v>
      </c>
      <c r="C2741" s="32">
        <v>43070.432592592595</v>
      </c>
    </row>
    <row r="2742" spans="1:3">
      <c r="A2742">
        <v>645856</v>
      </c>
      <c r="B2742">
        <v>1297315</v>
      </c>
      <c r="C2742" s="32">
        <v>43070.928043981483</v>
      </c>
    </row>
    <row r="2743" spans="1:3">
      <c r="A2743">
        <v>24623</v>
      </c>
      <c r="B2743">
        <v>4244487</v>
      </c>
      <c r="C2743" s="32">
        <v>43072.501516203702</v>
      </c>
    </row>
    <row r="2744" spans="1:3">
      <c r="A2744">
        <v>4335</v>
      </c>
      <c r="B2744">
        <v>238434</v>
      </c>
      <c r="C2744" s="32">
        <v>43071.254224537035</v>
      </c>
    </row>
    <row r="2745" spans="1:3">
      <c r="A2745">
        <v>868139</v>
      </c>
      <c r="B2745">
        <v>3607361</v>
      </c>
      <c r="C2745" s="32">
        <v>43071.435752314814</v>
      </c>
    </row>
    <row r="2746" spans="1:3">
      <c r="A2746">
        <v>942726</v>
      </c>
      <c r="B2746">
        <v>3738615</v>
      </c>
      <c r="C2746" s="32">
        <v>43071.412962962961</v>
      </c>
    </row>
    <row r="2747" spans="1:3">
      <c r="A2747">
        <v>233593</v>
      </c>
      <c r="B2747">
        <v>411153</v>
      </c>
      <c r="C2747" s="32">
        <v>43071.63753472222</v>
      </c>
    </row>
    <row r="2748" spans="1:3">
      <c r="A2748">
        <v>348009</v>
      </c>
      <c r="B2748">
        <v>4756105</v>
      </c>
      <c r="C2748" s="32">
        <v>43072.361261574071</v>
      </c>
    </row>
    <row r="2749" spans="1:3">
      <c r="A2749">
        <v>739917</v>
      </c>
      <c r="B2749">
        <v>2860698</v>
      </c>
      <c r="C2749" s="32">
        <v>43071.29960648148</v>
      </c>
    </row>
    <row r="2750" spans="1:3">
      <c r="A2750">
        <v>112210</v>
      </c>
      <c r="B2750">
        <v>1879194</v>
      </c>
      <c r="C2750" s="32">
        <v>43072.369513888887</v>
      </c>
    </row>
    <row r="2751" spans="1:3">
      <c r="A2751">
        <v>403642</v>
      </c>
      <c r="B2751">
        <v>2520377</v>
      </c>
      <c r="C2751" s="32">
        <v>43070.606932870367</v>
      </c>
    </row>
    <row r="2752" spans="1:3">
      <c r="A2752">
        <v>644100</v>
      </c>
      <c r="B2752">
        <v>3002561</v>
      </c>
      <c r="C2752" s="32">
        <v>43071.212650462963</v>
      </c>
    </row>
    <row r="2753" spans="1:3">
      <c r="A2753">
        <v>661906</v>
      </c>
      <c r="B2753">
        <v>721664</v>
      </c>
      <c r="C2753" s="32">
        <v>43071.122974537036</v>
      </c>
    </row>
    <row r="2754" spans="1:3">
      <c r="A2754">
        <v>164533</v>
      </c>
      <c r="B2754">
        <v>982926</v>
      </c>
      <c r="C2754" s="32">
        <v>43072.385983796295</v>
      </c>
    </row>
    <row r="2755" spans="1:3">
      <c r="A2755">
        <v>913037</v>
      </c>
      <c r="B2755">
        <v>3702593</v>
      </c>
      <c r="C2755" s="32">
        <v>43071.343310185184</v>
      </c>
    </row>
    <row r="2756" spans="1:3">
      <c r="A2756">
        <v>895589</v>
      </c>
      <c r="B2756">
        <v>4118218</v>
      </c>
      <c r="C2756" s="32">
        <v>43070.502986111111</v>
      </c>
    </row>
    <row r="2757" spans="1:3">
      <c r="A2757">
        <v>341413</v>
      </c>
      <c r="B2757">
        <v>542908</v>
      </c>
      <c r="C2757" s="32">
        <v>43070.714074074072</v>
      </c>
    </row>
    <row r="2758" spans="1:3">
      <c r="A2758">
        <v>310444</v>
      </c>
      <c r="B2758">
        <v>3880463</v>
      </c>
      <c r="C2758" s="32">
        <v>43072.405798611115</v>
      </c>
    </row>
    <row r="2759" spans="1:3">
      <c r="A2759">
        <v>461477</v>
      </c>
      <c r="B2759">
        <v>4690421</v>
      </c>
      <c r="C2759" s="32">
        <v>43072.478784722225</v>
      </c>
    </row>
    <row r="2760" spans="1:3">
      <c r="A2760">
        <v>697744</v>
      </c>
      <c r="B2760">
        <v>1464116</v>
      </c>
      <c r="C2760" s="32">
        <v>43070.364386574074</v>
      </c>
    </row>
    <row r="2761" spans="1:3">
      <c r="A2761">
        <v>803907</v>
      </c>
      <c r="B2761">
        <v>2728585</v>
      </c>
      <c r="C2761" s="32">
        <v>43072.361111111109</v>
      </c>
    </row>
    <row r="2762" spans="1:3">
      <c r="A2762">
        <v>21846</v>
      </c>
      <c r="B2762">
        <v>570735</v>
      </c>
      <c r="C2762" s="32">
        <v>43070.658310185187</v>
      </c>
    </row>
    <row r="2763" spans="1:3">
      <c r="A2763">
        <v>67180</v>
      </c>
      <c r="B2763">
        <v>4756105</v>
      </c>
      <c r="C2763" s="32">
        <v>43072.060787037037</v>
      </c>
    </row>
    <row r="2764" spans="1:3">
      <c r="A2764">
        <v>71997</v>
      </c>
      <c r="B2764">
        <v>2925160</v>
      </c>
      <c r="C2764" s="32">
        <v>43072.224166666667</v>
      </c>
    </row>
    <row r="2765" spans="1:3">
      <c r="A2765">
        <v>521575</v>
      </c>
      <c r="B2765">
        <v>119741</v>
      </c>
      <c r="C2765" s="32">
        <v>43070.197094907409</v>
      </c>
    </row>
    <row r="2766" spans="1:3">
      <c r="A2766">
        <v>824617</v>
      </c>
      <c r="B2766">
        <v>2535661</v>
      </c>
      <c r="C2766" s="32">
        <v>43071.940300925926</v>
      </c>
    </row>
    <row r="2767" spans="1:3">
      <c r="A2767">
        <v>207818</v>
      </c>
      <c r="B2767">
        <v>541347</v>
      </c>
      <c r="C2767" s="32">
        <v>43071.475081018521</v>
      </c>
    </row>
    <row r="2768" spans="1:3">
      <c r="A2768">
        <v>460199</v>
      </c>
      <c r="B2768">
        <v>4756105</v>
      </c>
      <c r="C2768" s="32">
        <v>43072.656956018516</v>
      </c>
    </row>
    <row r="2769" spans="1:3">
      <c r="A2769">
        <v>65616</v>
      </c>
      <c r="B2769">
        <v>2355072</v>
      </c>
      <c r="C2769" s="32">
        <v>43070.628333333334</v>
      </c>
    </row>
    <row r="2770" spans="1:3">
      <c r="A2770">
        <v>122610</v>
      </c>
      <c r="B2770">
        <v>982926</v>
      </c>
      <c r="C2770" s="32">
        <v>43072.601655092592</v>
      </c>
    </row>
    <row r="2771" spans="1:3">
      <c r="A2771">
        <v>665734</v>
      </c>
      <c r="B2771">
        <v>166326</v>
      </c>
      <c r="C2771" s="32">
        <v>43070.523865740739</v>
      </c>
    </row>
    <row r="2772" spans="1:3">
      <c r="A2772">
        <v>880818</v>
      </c>
      <c r="B2772">
        <v>1879194</v>
      </c>
      <c r="C2772" s="32">
        <v>43070.476030092592</v>
      </c>
    </row>
    <row r="2773" spans="1:3">
      <c r="A2773">
        <v>589418</v>
      </c>
      <c r="B2773">
        <v>4576874</v>
      </c>
      <c r="C2773" s="32">
        <v>43070.632824074077</v>
      </c>
    </row>
    <row r="2774" spans="1:3">
      <c r="A2774">
        <v>716559</v>
      </c>
      <c r="B2774">
        <v>3917972</v>
      </c>
      <c r="C2774" s="32">
        <v>43070.560486111113</v>
      </c>
    </row>
    <row r="2775" spans="1:3">
      <c r="A2775">
        <v>47570</v>
      </c>
      <c r="B2775">
        <v>982926</v>
      </c>
      <c r="C2775" s="32">
        <v>43072.532789351855</v>
      </c>
    </row>
    <row r="2776" spans="1:3">
      <c r="A2776">
        <v>553344</v>
      </c>
      <c r="B2776">
        <v>4756105</v>
      </c>
      <c r="C2776" s="32">
        <v>43070.078275462962</v>
      </c>
    </row>
    <row r="2777" spans="1:3">
      <c r="A2777">
        <v>879159</v>
      </c>
      <c r="B2777">
        <v>5071267</v>
      </c>
      <c r="C2777" s="32">
        <v>43071.664641203701</v>
      </c>
    </row>
    <row r="2778" spans="1:3">
      <c r="A2778">
        <v>344445</v>
      </c>
      <c r="B2778">
        <v>3995452</v>
      </c>
      <c r="C2778" s="32">
        <v>43071.611504629633</v>
      </c>
    </row>
    <row r="2779" spans="1:3">
      <c r="A2779">
        <v>496630</v>
      </c>
      <c r="B2779">
        <v>3776866</v>
      </c>
      <c r="C2779" s="32">
        <v>43071.05269675926</v>
      </c>
    </row>
    <row r="2780" spans="1:3">
      <c r="A2780">
        <v>15218</v>
      </c>
      <c r="B2780">
        <v>3738615</v>
      </c>
      <c r="C2780" s="32">
        <v>43070.541122685187</v>
      </c>
    </row>
    <row r="2781" spans="1:3">
      <c r="A2781">
        <v>318931</v>
      </c>
      <c r="B2781">
        <v>2440115</v>
      </c>
      <c r="C2781" s="32">
        <v>43071.074814814812</v>
      </c>
    </row>
    <row r="2782" spans="1:3">
      <c r="A2782">
        <v>530295</v>
      </c>
      <c r="B2782">
        <v>2773917</v>
      </c>
      <c r="C2782" s="32">
        <v>43071.195925925924</v>
      </c>
    </row>
    <row r="2783" spans="1:3">
      <c r="A2783">
        <v>609082</v>
      </c>
      <c r="B2783">
        <v>149192</v>
      </c>
      <c r="C2783" s="32">
        <v>43071.64167824074</v>
      </c>
    </row>
    <row r="2784" spans="1:3">
      <c r="A2784">
        <v>975161</v>
      </c>
      <c r="B2784">
        <v>4145813</v>
      </c>
      <c r="C2784" s="32">
        <v>43070.662418981483</v>
      </c>
    </row>
    <row r="2785" spans="1:3">
      <c r="A2785">
        <v>988643</v>
      </c>
      <c r="B2785">
        <v>4357323</v>
      </c>
      <c r="C2785" s="32">
        <v>43071.306493055556</v>
      </c>
    </row>
    <row r="2786" spans="1:3">
      <c r="A2786">
        <v>69776</v>
      </c>
      <c r="B2786">
        <v>3607361</v>
      </c>
      <c r="C2786" s="32">
        <v>43072.256238425929</v>
      </c>
    </row>
    <row r="2787" spans="1:3">
      <c r="A2787">
        <v>764654</v>
      </c>
      <c r="B2787">
        <v>1216617</v>
      </c>
      <c r="C2787" s="32">
        <v>43071.464317129627</v>
      </c>
    </row>
    <row r="2788" spans="1:3">
      <c r="A2788">
        <v>43356</v>
      </c>
      <c r="B2788">
        <v>3264833</v>
      </c>
      <c r="C2788" s="32">
        <v>43071.382905092592</v>
      </c>
    </row>
    <row r="2789" spans="1:3">
      <c r="A2789">
        <v>496235</v>
      </c>
      <c r="B2789">
        <v>1916025</v>
      </c>
      <c r="C2789" s="32">
        <v>43071.664212962962</v>
      </c>
    </row>
    <row r="2790" spans="1:3">
      <c r="A2790">
        <v>16139</v>
      </c>
      <c r="B2790">
        <v>154040</v>
      </c>
      <c r="C2790" s="32">
        <v>43072.326574074075</v>
      </c>
    </row>
    <row r="2791" spans="1:3">
      <c r="A2791">
        <v>121328</v>
      </c>
      <c r="B2791">
        <v>1249761</v>
      </c>
      <c r="C2791" s="32">
        <v>43071.543495370373</v>
      </c>
    </row>
    <row r="2792" spans="1:3">
      <c r="A2792">
        <v>994197</v>
      </c>
      <c r="B2792">
        <v>3449559</v>
      </c>
      <c r="C2792" s="32">
        <v>43071.953530092593</v>
      </c>
    </row>
    <row r="2793" spans="1:3">
      <c r="A2793">
        <v>913703</v>
      </c>
      <c r="B2793">
        <v>1320293</v>
      </c>
      <c r="C2793" s="32">
        <v>43071.616018518522</v>
      </c>
    </row>
    <row r="2794" spans="1:3">
      <c r="A2794">
        <v>370687</v>
      </c>
      <c r="B2794">
        <v>3108044</v>
      </c>
      <c r="C2794" s="32">
        <v>43072.585856481484</v>
      </c>
    </row>
    <row r="2795" spans="1:3">
      <c r="A2795">
        <v>599843</v>
      </c>
      <c r="B2795">
        <v>3738615</v>
      </c>
      <c r="C2795" s="32">
        <v>43071.600185185183</v>
      </c>
    </row>
    <row r="2796" spans="1:3">
      <c r="A2796">
        <v>581668</v>
      </c>
      <c r="B2796">
        <v>2939262</v>
      </c>
      <c r="C2796" s="32">
        <v>43071.36891203704</v>
      </c>
    </row>
    <row r="2797" spans="1:3">
      <c r="A2797">
        <v>363720</v>
      </c>
      <c r="B2797">
        <v>1320293</v>
      </c>
      <c r="C2797" s="32">
        <v>43070.657395833332</v>
      </c>
    </row>
    <row r="2798" spans="1:3">
      <c r="A2798">
        <v>191651</v>
      </c>
      <c r="B2798">
        <v>2520377</v>
      </c>
      <c r="C2798" s="32">
        <v>43070.732743055552</v>
      </c>
    </row>
    <row r="2799" spans="1:3">
      <c r="A2799">
        <v>918557</v>
      </c>
      <c r="B2799">
        <v>2926020</v>
      </c>
      <c r="C2799" s="32">
        <v>43071.071875000001</v>
      </c>
    </row>
    <row r="2800" spans="1:3">
      <c r="A2800">
        <v>660121</v>
      </c>
      <c r="B2800">
        <v>1879194</v>
      </c>
      <c r="C2800" s="32">
        <v>43071.575289351851</v>
      </c>
    </row>
    <row r="2801" spans="1:3">
      <c r="A2801">
        <v>74392</v>
      </c>
      <c r="B2801">
        <v>1575622</v>
      </c>
      <c r="C2801" s="32">
        <v>43072.22483796296</v>
      </c>
    </row>
    <row r="2802" spans="1:3">
      <c r="A2802">
        <v>125745</v>
      </c>
      <c r="B2802">
        <v>2939262</v>
      </c>
      <c r="C2802" s="32">
        <v>43072.446388888886</v>
      </c>
    </row>
    <row r="2803" spans="1:3">
      <c r="A2803">
        <v>267477</v>
      </c>
      <c r="B2803">
        <v>1879194</v>
      </c>
      <c r="C2803" s="32">
        <v>43071.505925925929</v>
      </c>
    </row>
    <row r="2804" spans="1:3">
      <c r="A2804">
        <v>396970</v>
      </c>
      <c r="B2804">
        <v>1628657</v>
      </c>
      <c r="C2804" s="32">
        <v>43072.437673611108</v>
      </c>
    </row>
    <row r="2805" spans="1:3">
      <c r="A2805">
        <v>132457</v>
      </c>
      <c r="B2805">
        <v>2578647</v>
      </c>
      <c r="C2805" s="32">
        <v>43071.649594907409</v>
      </c>
    </row>
    <row r="2806" spans="1:3">
      <c r="A2806">
        <v>461532</v>
      </c>
      <c r="B2806">
        <v>4163659</v>
      </c>
      <c r="C2806" s="32">
        <v>43072.427569444444</v>
      </c>
    </row>
    <row r="2807" spans="1:3">
      <c r="A2807">
        <v>322333</v>
      </c>
      <c r="B2807">
        <v>3738615</v>
      </c>
      <c r="C2807" s="32">
        <v>43071.464618055557</v>
      </c>
    </row>
    <row r="2808" spans="1:3">
      <c r="A2808">
        <v>926571</v>
      </c>
      <c r="B2808">
        <v>4022701</v>
      </c>
      <c r="C2808" s="32">
        <v>43071.630069444444</v>
      </c>
    </row>
    <row r="2809" spans="1:3">
      <c r="A2809">
        <v>605780</v>
      </c>
      <c r="B2809">
        <v>886203</v>
      </c>
      <c r="C2809" s="32">
        <v>43071.410798611112</v>
      </c>
    </row>
    <row r="2810" spans="1:3">
      <c r="A2810">
        <v>742603</v>
      </c>
      <c r="B2810">
        <v>1994940</v>
      </c>
      <c r="C2810" s="32">
        <v>43070.401678240742</v>
      </c>
    </row>
    <row r="2811" spans="1:3">
      <c r="A2811">
        <v>335773</v>
      </c>
      <c r="B2811">
        <v>1061857</v>
      </c>
      <c r="C2811" s="32">
        <v>43069.848981481482</v>
      </c>
    </row>
    <row r="2812" spans="1:3">
      <c r="A2812">
        <v>805618</v>
      </c>
      <c r="B2812">
        <v>4145813</v>
      </c>
      <c r="C2812" s="32">
        <v>43070.652719907404</v>
      </c>
    </row>
    <row r="2813" spans="1:3">
      <c r="A2813">
        <v>765313</v>
      </c>
      <c r="B2813">
        <v>1320293</v>
      </c>
      <c r="C2813" s="32">
        <v>43070.05777777778</v>
      </c>
    </row>
    <row r="2814" spans="1:3">
      <c r="A2814">
        <v>946654</v>
      </c>
      <c r="B2814">
        <v>4396417</v>
      </c>
      <c r="C2814" s="32">
        <v>43072.488703703704</v>
      </c>
    </row>
    <row r="2815" spans="1:3">
      <c r="A2815">
        <v>954054</v>
      </c>
      <c r="B2815">
        <v>4048584</v>
      </c>
      <c r="C2815" s="32">
        <v>43070.41300925926</v>
      </c>
    </row>
    <row r="2816" spans="1:3">
      <c r="A2816">
        <v>966173</v>
      </c>
      <c r="B2816">
        <v>2355072</v>
      </c>
      <c r="C2816" s="32">
        <v>43072.06318287037</v>
      </c>
    </row>
    <row r="2817" spans="1:3">
      <c r="A2817">
        <v>220224</v>
      </c>
      <c r="B2817">
        <v>1879194</v>
      </c>
      <c r="C2817" s="32">
        <v>43071.495671296296</v>
      </c>
    </row>
    <row r="2818" spans="1:3">
      <c r="A2818">
        <v>667776</v>
      </c>
      <c r="B2818">
        <v>4211850</v>
      </c>
      <c r="C2818" s="32">
        <v>43071.505347222221</v>
      </c>
    </row>
    <row r="2819" spans="1:3">
      <c r="A2819">
        <v>647620</v>
      </c>
      <c r="B2819">
        <v>2465336</v>
      </c>
      <c r="C2819" s="32">
        <v>43072.640810185185</v>
      </c>
    </row>
    <row r="2820" spans="1:3">
      <c r="A2820">
        <v>53198</v>
      </c>
      <c r="B2820">
        <v>103181</v>
      </c>
      <c r="C2820" s="32">
        <v>43070.618738425925</v>
      </c>
    </row>
    <row r="2821" spans="1:3">
      <c r="A2821">
        <v>589889</v>
      </c>
      <c r="B2821">
        <v>4181361</v>
      </c>
      <c r="C2821" s="32">
        <v>43070.608969907407</v>
      </c>
    </row>
    <row r="2822" spans="1:3">
      <c r="A2822">
        <v>712465</v>
      </c>
      <c r="B2822">
        <v>4690421</v>
      </c>
      <c r="C2822" s="32">
        <v>43071.436157407406</v>
      </c>
    </row>
    <row r="2823" spans="1:3">
      <c r="A2823">
        <v>834246</v>
      </c>
      <c r="B2823">
        <v>2939262</v>
      </c>
      <c r="C2823" s="32">
        <v>43071.32912037037</v>
      </c>
    </row>
    <row r="2824" spans="1:3">
      <c r="A2824">
        <v>358101</v>
      </c>
      <c r="B2824">
        <v>4145813</v>
      </c>
      <c r="C2824" s="32">
        <v>43072.123217592591</v>
      </c>
    </row>
    <row r="2825" spans="1:3">
      <c r="A2825">
        <v>343698</v>
      </c>
      <c r="B2825">
        <v>274067</v>
      </c>
      <c r="C2825" s="32">
        <v>43071.220648148148</v>
      </c>
    </row>
    <row r="2826" spans="1:3">
      <c r="A2826">
        <v>557115</v>
      </c>
      <c r="B2826">
        <v>3497230</v>
      </c>
      <c r="C2826" s="32">
        <v>43070.666168981479</v>
      </c>
    </row>
    <row r="2827" spans="1:3">
      <c r="A2827">
        <v>539422</v>
      </c>
      <c r="B2827">
        <v>4979740</v>
      </c>
      <c r="C2827" s="32">
        <v>43071.538194444445</v>
      </c>
    </row>
    <row r="2828" spans="1:3">
      <c r="A2828">
        <v>69397</v>
      </c>
      <c r="B2828">
        <v>1488813</v>
      </c>
      <c r="C2828" s="32">
        <v>43072.496412037035</v>
      </c>
    </row>
    <row r="2829" spans="1:3">
      <c r="A2829">
        <v>439343</v>
      </c>
      <c r="B2829">
        <v>1464116</v>
      </c>
      <c r="C2829" s="32">
        <v>43072.581828703704</v>
      </c>
    </row>
    <row r="2830" spans="1:3">
      <c r="A2830">
        <v>425148</v>
      </c>
      <c r="B2830">
        <v>2156156</v>
      </c>
      <c r="C2830" s="32">
        <v>43071.29478009259</v>
      </c>
    </row>
    <row r="2831" spans="1:3">
      <c r="A2831">
        <v>480736</v>
      </c>
      <c r="B2831">
        <v>1879194</v>
      </c>
      <c r="C2831" s="32">
        <v>43070.644548611112</v>
      </c>
    </row>
    <row r="2832" spans="1:3">
      <c r="A2832">
        <v>488060</v>
      </c>
      <c r="B2832">
        <v>982926</v>
      </c>
      <c r="C2832" s="32">
        <v>43070.336493055554</v>
      </c>
    </row>
    <row r="2833" spans="1:3">
      <c r="A2833">
        <v>330719</v>
      </c>
      <c r="B2833">
        <v>4069500</v>
      </c>
      <c r="C2833" s="32">
        <v>43071.171423611115</v>
      </c>
    </row>
    <row r="2834" spans="1:3">
      <c r="A2834">
        <v>222941</v>
      </c>
      <c r="B2834">
        <v>4188178</v>
      </c>
      <c r="C2834" s="32">
        <v>43072.058483796296</v>
      </c>
    </row>
    <row r="2835" spans="1:3">
      <c r="A2835">
        <v>347886</v>
      </c>
      <c r="B2835">
        <v>2885642</v>
      </c>
      <c r="C2835" s="32">
        <v>43072.499502314815</v>
      </c>
    </row>
    <row r="2836" spans="1:3">
      <c r="A2836">
        <v>350465</v>
      </c>
      <c r="B2836">
        <v>1573426</v>
      </c>
      <c r="C2836" s="32">
        <v>43072.602118055554</v>
      </c>
    </row>
    <row r="2837" spans="1:3">
      <c r="A2837">
        <v>384492</v>
      </c>
      <c r="B2837">
        <v>4936889</v>
      </c>
      <c r="C2837" s="32">
        <v>43070.171875</v>
      </c>
    </row>
    <row r="2838" spans="1:3">
      <c r="A2838">
        <v>387420</v>
      </c>
      <c r="B2838">
        <v>3855599</v>
      </c>
      <c r="C2838" s="32">
        <v>43071.436874999999</v>
      </c>
    </row>
    <row r="2839" spans="1:3">
      <c r="A2839">
        <v>215267</v>
      </c>
      <c r="B2839">
        <v>2355072</v>
      </c>
      <c r="C2839" s="32">
        <v>43070.238981481481</v>
      </c>
    </row>
    <row r="2840" spans="1:3">
      <c r="A2840">
        <v>113937</v>
      </c>
      <c r="B2840">
        <v>2355072</v>
      </c>
      <c r="C2840" s="32">
        <v>43071.52685185185</v>
      </c>
    </row>
    <row r="2841" spans="1:3">
      <c r="A2841">
        <v>423099</v>
      </c>
      <c r="B2841">
        <v>4082778</v>
      </c>
      <c r="C2841" s="32">
        <v>43072.626516203702</v>
      </c>
    </row>
    <row r="2842" spans="1:3">
      <c r="A2842">
        <v>858580</v>
      </c>
      <c r="B2842">
        <v>4242717</v>
      </c>
      <c r="C2842" s="32">
        <v>43071.188101851854</v>
      </c>
    </row>
    <row r="2843" spans="1:3">
      <c r="A2843">
        <v>863076</v>
      </c>
      <c r="B2843">
        <v>1299190</v>
      </c>
      <c r="C2843" s="32">
        <v>43071.617025462961</v>
      </c>
    </row>
    <row r="2844" spans="1:3">
      <c r="A2844">
        <v>741000</v>
      </c>
      <c r="B2844">
        <v>2578647</v>
      </c>
      <c r="C2844" s="32">
        <v>43071.315162037034</v>
      </c>
    </row>
    <row r="2845" spans="1:3">
      <c r="A2845">
        <v>100027</v>
      </c>
      <c r="B2845">
        <v>2493530</v>
      </c>
      <c r="C2845" s="32">
        <v>43071.650937500002</v>
      </c>
    </row>
    <row r="2846" spans="1:3">
      <c r="A2846">
        <v>616063</v>
      </c>
      <c r="B2846">
        <v>3736316</v>
      </c>
      <c r="C2846" s="32">
        <v>43072.049062500002</v>
      </c>
    </row>
    <row r="2847" spans="1:3">
      <c r="A2847">
        <v>844444</v>
      </c>
      <c r="B2847">
        <v>4756105</v>
      </c>
      <c r="C2847" s="32">
        <v>43072.583020833335</v>
      </c>
    </row>
    <row r="2848" spans="1:3">
      <c r="A2848">
        <v>57755</v>
      </c>
      <c r="B2848">
        <v>2158079</v>
      </c>
      <c r="C2848" s="32">
        <v>43072.142164351855</v>
      </c>
    </row>
    <row r="2849" spans="1:3">
      <c r="A2849">
        <v>950162</v>
      </c>
      <c r="B2849">
        <v>2489066</v>
      </c>
      <c r="C2849" s="32">
        <v>43072.570787037039</v>
      </c>
    </row>
    <row r="2850" spans="1:3">
      <c r="A2850">
        <v>21807</v>
      </c>
      <c r="B2850">
        <v>4936889</v>
      </c>
      <c r="C2850" s="32">
        <v>43072.082071759258</v>
      </c>
    </row>
    <row r="2851" spans="1:3">
      <c r="A2851">
        <v>565152</v>
      </c>
      <c r="B2851">
        <v>3354571</v>
      </c>
      <c r="C2851" s="32">
        <v>43070.949675925927</v>
      </c>
    </row>
    <row r="2852" spans="1:3">
      <c r="A2852">
        <v>613233</v>
      </c>
      <c r="B2852">
        <v>4145813</v>
      </c>
      <c r="C2852" s="32">
        <v>43071.105046296296</v>
      </c>
    </row>
    <row r="2853" spans="1:3">
      <c r="A2853">
        <v>1001183</v>
      </c>
      <c r="B2853">
        <v>4145813</v>
      </c>
      <c r="C2853" s="32">
        <v>43072.494664351849</v>
      </c>
    </row>
    <row r="2854" spans="1:3">
      <c r="A2854">
        <v>25169</v>
      </c>
      <c r="B2854">
        <v>661759</v>
      </c>
      <c r="C2854" s="32">
        <v>43071.388148148151</v>
      </c>
    </row>
    <row r="2855" spans="1:3">
      <c r="A2855">
        <v>620229</v>
      </c>
      <c r="B2855">
        <v>846990</v>
      </c>
      <c r="C2855" s="32">
        <v>43070.134594907409</v>
      </c>
    </row>
    <row r="2856" spans="1:3">
      <c r="A2856">
        <v>274943</v>
      </c>
      <c r="B2856">
        <v>155172</v>
      </c>
      <c r="C2856" s="32">
        <v>43071.786863425928</v>
      </c>
    </row>
    <row r="2857" spans="1:3">
      <c r="A2857">
        <v>464980</v>
      </c>
      <c r="B2857">
        <v>2977465</v>
      </c>
      <c r="C2857" s="32">
        <v>43072.665370370371</v>
      </c>
    </row>
    <row r="2858" spans="1:3">
      <c r="A2858">
        <v>147607</v>
      </c>
      <c r="B2858">
        <v>4339722</v>
      </c>
      <c r="C2858" s="32">
        <v>43071.538993055554</v>
      </c>
    </row>
    <row r="2859" spans="1:3">
      <c r="A2859">
        <v>975145</v>
      </c>
      <c r="B2859">
        <v>2096639</v>
      </c>
      <c r="C2859" s="32">
        <v>43070.640659722223</v>
      </c>
    </row>
    <row r="2860" spans="1:3">
      <c r="A2860">
        <v>506871</v>
      </c>
      <c r="B2860">
        <v>274067</v>
      </c>
      <c r="C2860" s="32">
        <v>43071.373194444444</v>
      </c>
    </row>
    <row r="2861" spans="1:3">
      <c r="A2861">
        <v>567354</v>
      </c>
      <c r="B2861">
        <v>2293367</v>
      </c>
      <c r="C2861" s="32">
        <v>43072.617361111108</v>
      </c>
    </row>
    <row r="2862" spans="1:3">
      <c r="A2862">
        <v>80479</v>
      </c>
      <c r="B2862">
        <v>2926020</v>
      </c>
      <c r="C2862" s="32">
        <v>43071.533356481479</v>
      </c>
    </row>
    <row r="2863" spans="1:3">
      <c r="A2863">
        <v>441594</v>
      </c>
      <c r="B2863">
        <v>2355072</v>
      </c>
      <c r="C2863" s="32">
        <v>43070.596851851849</v>
      </c>
    </row>
    <row r="2864" spans="1:3">
      <c r="A2864">
        <v>154670</v>
      </c>
      <c r="B2864">
        <v>4756105</v>
      </c>
      <c r="C2864" s="32">
        <v>43072.201064814813</v>
      </c>
    </row>
    <row r="2865" spans="1:3">
      <c r="A2865">
        <v>186117</v>
      </c>
      <c r="B2865">
        <v>4181361</v>
      </c>
      <c r="C2865" s="32">
        <v>43072.198738425926</v>
      </c>
    </row>
    <row r="2866" spans="1:3">
      <c r="A2866">
        <v>844926</v>
      </c>
      <c r="B2866">
        <v>4145813</v>
      </c>
      <c r="C2866" s="32">
        <v>43072.286412037036</v>
      </c>
    </row>
    <row r="2867" spans="1:3">
      <c r="A2867">
        <v>1012488</v>
      </c>
      <c r="B2867">
        <v>2926020</v>
      </c>
      <c r="C2867" s="32">
        <v>43069.945231481484</v>
      </c>
    </row>
    <row r="2868" spans="1:3">
      <c r="A2868">
        <v>809993</v>
      </c>
      <c r="B2868">
        <v>2465336</v>
      </c>
      <c r="C2868" s="32">
        <v>43072.610451388886</v>
      </c>
    </row>
    <row r="2869" spans="1:3">
      <c r="A2869">
        <v>896727</v>
      </c>
      <c r="B2869">
        <v>4145813</v>
      </c>
      <c r="C2869" s="32">
        <v>43071.523865740739</v>
      </c>
    </row>
    <row r="2870" spans="1:3">
      <c r="A2870">
        <v>182482</v>
      </c>
      <c r="B2870">
        <v>983613</v>
      </c>
      <c r="C2870" s="32">
        <v>43072.572094907409</v>
      </c>
    </row>
    <row r="2871" spans="1:3">
      <c r="A2871">
        <v>205389</v>
      </c>
      <c r="B2871">
        <v>1154246</v>
      </c>
      <c r="C2871" s="32">
        <v>43072.414027777777</v>
      </c>
    </row>
    <row r="2872" spans="1:3">
      <c r="A2872">
        <v>658358</v>
      </c>
      <c r="B2872">
        <v>1275696</v>
      </c>
      <c r="C2872" s="32">
        <v>43071.602685185186</v>
      </c>
    </row>
    <row r="2873" spans="1:3">
      <c r="A2873">
        <v>289245</v>
      </c>
      <c r="B2873">
        <v>4756105</v>
      </c>
      <c r="C2873" s="32">
        <v>43071.068530092591</v>
      </c>
    </row>
    <row r="2874" spans="1:3">
      <c r="A2874">
        <v>338429</v>
      </c>
      <c r="B2874">
        <v>2640118</v>
      </c>
      <c r="C2874" s="32">
        <v>43071.135428240741</v>
      </c>
    </row>
    <row r="2875" spans="1:3">
      <c r="A2875">
        <v>144104</v>
      </c>
      <c r="B2875">
        <v>4817527</v>
      </c>
      <c r="C2875" s="32">
        <v>43072.245023148149</v>
      </c>
    </row>
    <row r="2876" spans="1:3">
      <c r="A2876">
        <v>455304</v>
      </c>
      <c r="B2876">
        <v>4022701</v>
      </c>
      <c r="C2876" s="32">
        <v>43070.974699074075</v>
      </c>
    </row>
    <row r="2877" spans="1:3">
      <c r="A2877">
        <v>388142</v>
      </c>
      <c r="B2877">
        <v>3483675</v>
      </c>
      <c r="C2877" s="32">
        <v>43071.192071759258</v>
      </c>
    </row>
    <row r="2878" spans="1:3">
      <c r="A2878">
        <v>147767</v>
      </c>
      <c r="B2878">
        <v>344833</v>
      </c>
      <c r="C2878" s="32">
        <v>43071.982974537037</v>
      </c>
    </row>
    <row r="2879" spans="1:3">
      <c r="A2879">
        <v>953395</v>
      </c>
      <c r="B2879">
        <v>2939262</v>
      </c>
      <c r="C2879" s="32">
        <v>43070.500706018516</v>
      </c>
    </row>
    <row r="2880" spans="1:3">
      <c r="A2880">
        <v>253144</v>
      </c>
      <c r="B2880">
        <v>1548278</v>
      </c>
      <c r="C2880" s="32">
        <v>43072.204687500001</v>
      </c>
    </row>
    <row r="2881" spans="1:3">
      <c r="A2881">
        <v>410734</v>
      </c>
      <c r="B2881">
        <v>4242717</v>
      </c>
      <c r="C2881" s="32">
        <v>43071.107118055559</v>
      </c>
    </row>
    <row r="2882" spans="1:3">
      <c r="A2882">
        <v>265414</v>
      </c>
      <c r="B2882">
        <v>3002561</v>
      </c>
      <c r="C2882" s="32">
        <v>43071.100613425922</v>
      </c>
    </row>
    <row r="2883" spans="1:3">
      <c r="A2883">
        <v>229123</v>
      </c>
      <c r="B2883">
        <v>4690421</v>
      </c>
      <c r="C2883" s="32">
        <v>43072.536412037036</v>
      </c>
    </row>
    <row r="2884" spans="1:3">
      <c r="A2884">
        <v>528280</v>
      </c>
      <c r="B2884">
        <v>149192</v>
      </c>
      <c r="C2884" s="32">
        <v>43071.547615740739</v>
      </c>
    </row>
    <row r="2885" spans="1:3">
      <c r="A2885">
        <v>1011673</v>
      </c>
      <c r="B2885">
        <v>2520771</v>
      </c>
      <c r="C2885" s="32">
        <v>43069.822916666664</v>
      </c>
    </row>
    <row r="2886" spans="1:3">
      <c r="A2886">
        <v>828207</v>
      </c>
      <c r="B2886">
        <v>5053508</v>
      </c>
      <c r="C2886" s="32">
        <v>43072.44908564815</v>
      </c>
    </row>
    <row r="2887" spans="1:3">
      <c r="A2887">
        <v>118652</v>
      </c>
      <c r="B2887">
        <v>2050292</v>
      </c>
      <c r="C2887" s="32">
        <v>43070.558900462966</v>
      </c>
    </row>
    <row r="2888" spans="1:3">
      <c r="A2888">
        <v>801616</v>
      </c>
      <c r="B2888">
        <v>359388</v>
      </c>
      <c r="C2888" s="32">
        <v>43071.372060185182</v>
      </c>
    </row>
    <row r="2889" spans="1:3">
      <c r="A2889">
        <v>488300</v>
      </c>
      <c r="B2889">
        <v>4145813</v>
      </c>
      <c r="C2889" s="32">
        <v>43070.610474537039</v>
      </c>
    </row>
    <row r="2890" spans="1:3">
      <c r="A2890">
        <v>248420</v>
      </c>
      <c r="B2890">
        <v>2202384</v>
      </c>
      <c r="C2890" s="32">
        <v>43070.778310185182</v>
      </c>
    </row>
    <row r="2891" spans="1:3">
      <c r="A2891">
        <v>342875</v>
      </c>
      <c r="B2891">
        <v>5031298</v>
      </c>
      <c r="C2891" s="32">
        <v>43072.578229166669</v>
      </c>
    </row>
    <row r="2892" spans="1:3">
      <c r="A2892">
        <v>459352</v>
      </c>
      <c r="B2892">
        <v>339305</v>
      </c>
      <c r="C2892" s="32">
        <v>43072.655428240738</v>
      </c>
    </row>
    <row r="2893" spans="1:3">
      <c r="A2893">
        <v>100331</v>
      </c>
      <c r="B2893">
        <v>1467750</v>
      </c>
      <c r="C2893" s="32">
        <v>43072.575555555559</v>
      </c>
    </row>
    <row r="2894" spans="1:3">
      <c r="A2894">
        <v>180783</v>
      </c>
      <c r="B2894">
        <v>2640118</v>
      </c>
      <c r="C2894" s="32">
        <v>43072.39943287037</v>
      </c>
    </row>
    <row r="2895" spans="1:3">
      <c r="A2895">
        <v>317938</v>
      </c>
      <c r="B2895">
        <v>154040</v>
      </c>
      <c r="C2895" s="32">
        <v>43071.299074074072</v>
      </c>
    </row>
    <row r="2896" spans="1:3">
      <c r="A2896">
        <v>470751</v>
      </c>
      <c r="B2896">
        <v>3607361</v>
      </c>
      <c r="C2896" s="32">
        <v>43072.531689814816</v>
      </c>
    </row>
    <row r="2897" spans="1:3">
      <c r="A2897">
        <v>883442</v>
      </c>
      <c r="B2897">
        <v>4159072</v>
      </c>
      <c r="C2897" s="32">
        <v>43071.547013888892</v>
      </c>
    </row>
    <row r="2898" spans="1:3">
      <c r="A2898">
        <v>1012476</v>
      </c>
      <c r="B2898">
        <v>2578647</v>
      </c>
      <c r="C2898" s="32">
        <v>43071.355509259258</v>
      </c>
    </row>
    <row r="2899" spans="1:3">
      <c r="A2899">
        <v>587742</v>
      </c>
      <c r="B2899">
        <v>4181361</v>
      </c>
      <c r="C2899" s="32">
        <v>43071.161782407406</v>
      </c>
    </row>
    <row r="2900" spans="1:3">
      <c r="A2900">
        <v>435322</v>
      </c>
      <c r="B2900">
        <v>2529187</v>
      </c>
      <c r="C2900" s="32">
        <v>43072.071192129632</v>
      </c>
    </row>
    <row r="2901" spans="1:3">
      <c r="A2901">
        <v>75613</v>
      </c>
      <c r="B2901">
        <v>238434</v>
      </c>
      <c r="C2901" s="32">
        <v>43072.276400462964</v>
      </c>
    </row>
    <row r="2902" spans="1:3">
      <c r="A2902">
        <v>841268</v>
      </c>
      <c r="B2902">
        <v>3975787</v>
      </c>
      <c r="C2902" s="32">
        <v>43072.014537037037</v>
      </c>
    </row>
    <row r="2903" spans="1:3">
      <c r="A2903">
        <v>960752</v>
      </c>
      <c r="B2903">
        <v>3232473</v>
      </c>
      <c r="C2903" s="32">
        <v>43071.832476851851</v>
      </c>
    </row>
    <row r="2904" spans="1:3">
      <c r="A2904">
        <v>338126</v>
      </c>
      <c r="B2904">
        <v>634390</v>
      </c>
      <c r="C2904" s="32">
        <v>43072.560578703706</v>
      </c>
    </row>
    <row r="2905" spans="1:3">
      <c r="A2905">
        <v>685727</v>
      </c>
      <c r="B2905">
        <v>920038</v>
      </c>
      <c r="C2905" s="32">
        <v>43070.061215277776</v>
      </c>
    </row>
    <row r="2906" spans="1:3">
      <c r="A2906">
        <v>330988</v>
      </c>
      <c r="B2906">
        <v>3299155</v>
      </c>
      <c r="C2906" s="32">
        <v>43070.651423611111</v>
      </c>
    </row>
    <row r="2907" spans="1:3">
      <c r="A2907">
        <v>631149</v>
      </c>
      <c r="B2907">
        <v>2370324</v>
      </c>
      <c r="C2907" s="32">
        <v>43071.565810185188</v>
      </c>
    </row>
    <row r="2908" spans="1:3">
      <c r="A2908">
        <v>676273</v>
      </c>
      <c r="B2908">
        <v>405755</v>
      </c>
      <c r="C2908" s="32">
        <v>43070.565057870372</v>
      </c>
    </row>
    <row r="2909" spans="1:3">
      <c r="A2909">
        <v>409430</v>
      </c>
      <c r="B2909">
        <v>1320293</v>
      </c>
      <c r="C2909" s="32">
        <v>43071.495115740741</v>
      </c>
    </row>
    <row r="2910" spans="1:3">
      <c r="A2910">
        <v>233472</v>
      </c>
      <c r="B2910">
        <v>4217906</v>
      </c>
      <c r="C2910" s="32">
        <v>43071.309201388889</v>
      </c>
    </row>
    <row r="2911" spans="1:3">
      <c r="A2911">
        <v>862578</v>
      </c>
      <c r="B2911">
        <v>2702525</v>
      </c>
      <c r="C2911" s="32">
        <v>43070.672199074077</v>
      </c>
    </row>
    <row r="2912" spans="1:3">
      <c r="A2912">
        <v>914021</v>
      </c>
      <c r="B2912">
        <v>1320293</v>
      </c>
      <c r="C2912" s="32">
        <v>43072.186273148145</v>
      </c>
    </row>
    <row r="2913" spans="1:3">
      <c r="A2913">
        <v>739293</v>
      </c>
      <c r="B2913">
        <v>903809</v>
      </c>
      <c r="C2913" s="32">
        <v>43072.091099537036</v>
      </c>
    </row>
    <row r="2914" spans="1:3">
      <c r="A2914">
        <v>54986</v>
      </c>
      <c r="B2914">
        <v>3607361</v>
      </c>
      <c r="C2914" s="32">
        <v>43070.249178240738</v>
      </c>
    </row>
    <row r="2915" spans="1:3">
      <c r="A2915">
        <v>457908</v>
      </c>
      <c r="B2915">
        <v>2168009</v>
      </c>
      <c r="C2915" s="32">
        <v>43070.559930555559</v>
      </c>
    </row>
    <row r="2916" spans="1:3">
      <c r="A2916">
        <v>925233</v>
      </c>
      <c r="B2916">
        <v>2520771</v>
      </c>
      <c r="C2916" s="32">
        <v>43072.068796296298</v>
      </c>
    </row>
    <row r="2917" spans="1:3">
      <c r="A2917">
        <v>824045</v>
      </c>
      <c r="B2917">
        <v>4145813</v>
      </c>
      <c r="C2917" s="32">
        <v>43070.109039351853</v>
      </c>
    </row>
    <row r="2918" spans="1:3">
      <c r="A2918">
        <v>939503</v>
      </c>
      <c r="B2918">
        <v>4121590</v>
      </c>
      <c r="C2918" s="32">
        <v>43070.977337962962</v>
      </c>
    </row>
    <row r="2919" spans="1:3">
      <c r="A2919">
        <v>905841</v>
      </c>
      <c r="B2919">
        <v>2191219</v>
      </c>
      <c r="C2919" s="32">
        <v>43072.633506944447</v>
      </c>
    </row>
    <row r="2920" spans="1:3">
      <c r="A2920">
        <v>38187</v>
      </c>
      <c r="B2920">
        <v>2858794</v>
      </c>
      <c r="C2920" s="32">
        <v>43070.537152777775</v>
      </c>
    </row>
    <row r="2921" spans="1:3">
      <c r="A2921">
        <v>106140</v>
      </c>
      <c r="B2921">
        <v>2101190</v>
      </c>
      <c r="C2921" s="32">
        <v>43071.211458333331</v>
      </c>
    </row>
    <row r="2922" spans="1:3">
      <c r="A2922">
        <v>942232</v>
      </c>
      <c r="B2922">
        <v>2732466</v>
      </c>
      <c r="C2922" s="32">
        <v>43072.495856481481</v>
      </c>
    </row>
    <row r="2923" spans="1:3">
      <c r="A2923">
        <v>148830</v>
      </c>
      <c r="B2923">
        <v>3083452</v>
      </c>
      <c r="C2923" s="32">
        <v>43071.244189814817</v>
      </c>
    </row>
    <row r="2924" spans="1:3">
      <c r="A2924">
        <v>234856</v>
      </c>
      <c r="B2924">
        <v>2892802</v>
      </c>
      <c r="C2924" s="32">
        <v>43071.282268518517</v>
      </c>
    </row>
    <row r="2925" spans="1:3">
      <c r="A2925">
        <v>947277</v>
      </c>
      <c r="B2925">
        <v>982926</v>
      </c>
      <c r="C2925" s="32">
        <v>43070.895995370367</v>
      </c>
    </row>
    <row r="2926" spans="1:3">
      <c r="A2926">
        <v>339168</v>
      </c>
      <c r="B2926">
        <v>2920476</v>
      </c>
      <c r="C2926" s="32">
        <v>43072.551215277781</v>
      </c>
    </row>
    <row r="2927" spans="1:3">
      <c r="A2927">
        <v>508103</v>
      </c>
      <c r="B2927">
        <v>2355072</v>
      </c>
      <c r="C2927" s="32">
        <v>43072.568078703705</v>
      </c>
    </row>
    <row r="2928" spans="1:3">
      <c r="A2928">
        <v>697647</v>
      </c>
      <c r="B2928">
        <v>4756105</v>
      </c>
      <c r="C2928" s="32">
        <v>43070.780497685184</v>
      </c>
    </row>
    <row r="2929" spans="1:3">
      <c r="A2929">
        <v>48176</v>
      </c>
      <c r="B2929">
        <v>883960</v>
      </c>
      <c r="C2929" s="32">
        <v>43071.3987037037</v>
      </c>
    </row>
    <row r="2930" spans="1:3">
      <c r="A2930">
        <v>361859</v>
      </c>
      <c r="B2930">
        <v>2685357</v>
      </c>
      <c r="C2930" s="32">
        <v>43072.156828703701</v>
      </c>
    </row>
    <row r="2931" spans="1:3">
      <c r="A2931">
        <v>995501</v>
      </c>
      <c r="B2931">
        <v>4662072</v>
      </c>
      <c r="C2931" s="32">
        <v>43072.209363425929</v>
      </c>
    </row>
    <row r="2932" spans="1:3">
      <c r="A2932">
        <v>832490</v>
      </c>
      <c r="B2932">
        <v>982926</v>
      </c>
      <c r="C2932" s="32">
        <v>43071.374699074076</v>
      </c>
    </row>
    <row r="2933" spans="1:3">
      <c r="A2933">
        <v>546661</v>
      </c>
      <c r="B2933">
        <v>1787510</v>
      </c>
      <c r="C2933" s="32">
        <v>43070.150601851848</v>
      </c>
    </row>
    <row r="2934" spans="1:3">
      <c r="A2934">
        <v>982242</v>
      </c>
      <c r="B2934">
        <v>366112</v>
      </c>
      <c r="C2934" s="32">
        <v>43072.157893518517</v>
      </c>
    </row>
    <row r="2935" spans="1:3">
      <c r="A2935">
        <v>813391</v>
      </c>
      <c r="B2935">
        <v>1888306</v>
      </c>
      <c r="C2935" s="32">
        <v>43071.414826388886</v>
      </c>
    </row>
    <row r="2936" spans="1:3">
      <c r="A2936">
        <v>46270</v>
      </c>
      <c r="B2936">
        <v>1320293</v>
      </c>
      <c r="C2936" s="32">
        <v>43071.693032407406</v>
      </c>
    </row>
    <row r="2937" spans="1:3">
      <c r="A2937">
        <v>465538</v>
      </c>
      <c r="B2937">
        <v>4181361</v>
      </c>
      <c r="C2937" s="32">
        <v>43070.249247685184</v>
      </c>
    </row>
    <row r="2938" spans="1:3">
      <c r="A2938">
        <v>792045</v>
      </c>
      <c r="B2938">
        <v>2214984</v>
      </c>
      <c r="C2938" s="32">
        <v>43071.71980324074</v>
      </c>
    </row>
    <row r="2939" spans="1:3">
      <c r="A2939">
        <v>854549</v>
      </c>
      <c r="B2939">
        <v>1379146</v>
      </c>
      <c r="C2939" s="32">
        <v>43072.338634259257</v>
      </c>
    </row>
    <row r="2940" spans="1:3">
      <c r="A2940">
        <v>911297</v>
      </c>
      <c r="B2940">
        <v>4402326</v>
      </c>
      <c r="C2940" s="32">
        <v>43071.584988425922</v>
      </c>
    </row>
    <row r="2941" spans="1:3">
      <c r="A2941">
        <v>956815</v>
      </c>
      <c r="B2941">
        <v>154040</v>
      </c>
      <c r="C2941" s="32">
        <v>43072.608067129629</v>
      </c>
    </row>
    <row r="2942" spans="1:3">
      <c r="A2942">
        <v>884821</v>
      </c>
      <c r="B2942">
        <v>119741</v>
      </c>
      <c r="C2942" s="32">
        <v>43072.291215277779</v>
      </c>
    </row>
    <row r="2943" spans="1:3">
      <c r="A2943">
        <v>492387</v>
      </c>
      <c r="B2943">
        <v>4145813</v>
      </c>
      <c r="C2943" s="32">
        <v>43072.029421296298</v>
      </c>
    </row>
    <row r="2944" spans="1:3">
      <c r="A2944">
        <v>771827</v>
      </c>
      <c r="B2944">
        <v>4801426</v>
      </c>
      <c r="C2944" s="32">
        <v>43069.945185185185</v>
      </c>
    </row>
    <row r="2945" spans="1:3">
      <c r="A2945">
        <v>579387</v>
      </c>
      <c r="B2945">
        <v>3855599</v>
      </c>
      <c r="C2945" s="32">
        <v>43071.426342592589</v>
      </c>
    </row>
    <row r="2946" spans="1:3">
      <c r="A2946">
        <v>605463</v>
      </c>
      <c r="B2946">
        <v>2581941</v>
      </c>
      <c r="C2946" s="32">
        <v>43072.124861111108</v>
      </c>
    </row>
    <row r="2947" spans="1:3">
      <c r="A2947">
        <v>733052</v>
      </c>
      <c r="B2947">
        <v>2693696</v>
      </c>
      <c r="C2947" s="32">
        <v>43070.552060185182</v>
      </c>
    </row>
    <row r="2948" spans="1:3">
      <c r="A2948">
        <v>68765</v>
      </c>
      <c r="B2948">
        <v>2520377</v>
      </c>
      <c r="C2948" s="32">
        <v>43071.600081018521</v>
      </c>
    </row>
    <row r="2949" spans="1:3">
      <c r="A2949">
        <v>554313</v>
      </c>
      <c r="B2949">
        <v>2394030</v>
      </c>
      <c r="C2949" s="32">
        <v>43072.662777777776</v>
      </c>
    </row>
    <row r="2950" spans="1:3">
      <c r="A2950">
        <v>689280</v>
      </c>
      <c r="B2950">
        <v>982926</v>
      </c>
      <c r="C2950" s="32">
        <v>43070.521736111114</v>
      </c>
    </row>
    <row r="2951" spans="1:3">
      <c r="A2951">
        <v>696804</v>
      </c>
      <c r="B2951">
        <v>5013760</v>
      </c>
      <c r="C2951" s="32">
        <v>43072.650763888887</v>
      </c>
    </row>
    <row r="2952" spans="1:3">
      <c r="A2952">
        <v>31593</v>
      </c>
      <c r="B2952">
        <v>4181361</v>
      </c>
      <c r="C2952" s="32">
        <v>43070.461759259262</v>
      </c>
    </row>
    <row r="2953" spans="1:3">
      <c r="A2953">
        <v>357335</v>
      </c>
      <c r="B2953">
        <v>2640118</v>
      </c>
      <c r="C2953" s="32">
        <v>43071.174513888887</v>
      </c>
    </row>
    <row r="2954" spans="1:3">
      <c r="A2954">
        <v>740478</v>
      </c>
      <c r="B2954">
        <v>1792277</v>
      </c>
      <c r="C2954" s="32">
        <v>43071.714675925927</v>
      </c>
    </row>
    <row r="2955" spans="1:3">
      <c r="A2955">
        <v>911441</v>
      </c>
      <c r="B2955">
        <v>2599558</v>
      </c>
      <c r="C2955" s="32">
        <v>43071.343738425923</v>
      </c>
    </row>
    <row r="2956" spans="1:3">
      <c r="A2956">
        <v>797626</v>
      </c>
      <c r="B2956">
        <v>1568197</v>
      </c>
      <c r="C2956" s="32">
        <v>43072.08084490741</v>
      </c>
    </row>
    <row r="2957" spans="1:3">
      <c r="A2957">
        <v>196564</v>
      </c>
      <c r="B2957">
        <v>4756105</v>
      </c>
      <c r="C2957" s="32">
        <v>43070.049444444441</v>
      </c>
    </row>
    <row r="2958" spans="1:3">
      <c r="A2958">
        <v>461281</v>
      </c>
      <c r="B2958">
        <v>1817004</v>
      </c>
      <c r="C2958" s="32">
        <v>43071.645925925928</v>
      </c>
    </row>
    <row r="2959" spans="1:3">
      <c r="A2959">
        <v>394082</v>
      </c>
      <c r="B2959">
        <v>2465336</v>
      </c>
      <c r="C2959" s="32">
        <v>43071.571157407408</v>
      </c>
    </row>
    <row r="2960" spans="1:3">
      <c r="A2960">
        <v>207982</v>
      </c>
      <c r="B2960">
        <v>1008362</v>
      </c>
      <c r="C2960" s="32">
        <v>43071.623900462961</v>
      </c>
    </row>
    <row r="2961" spans="1:3">
      <c r="A2961">
        <v>422070</v>
      </c>
      <c r="B2961">
        <v>2940518</v>
      </c>
      <c r="C2961" s="32">
        <v>43072.437418981484</v>
      </c>
    </row>
    <row r="2962" spans="1:3">
      <c r="A2962">
        <v>941264</v>
      </c>
      <c r="B2962">
        <v>2926020</v>
      </c>
      <c r="C2962" s="32">
        <v>43070.204675925925</v>
      </c>
    </row>
    <row r="2963" spans="1:3">
      <c r="A2963">
        <v>44746</v>
      </c>
      <c r="B2963">
        <v>1068933</v>
      </c>
      <c r="C2963" s="32">
        <v>43072.570011574076</v>
      </c>
    </row>
    <row r="2964" spans="1:3">
      <c r="A2964">
        <v>309300</v>
      </c>
      <c r="B2964">
        <v>982926</v>
      </c>
      <c r="C2964" s="32">
        <v>43072.28597222222</v>
      </c>
    </row>
    <row r="2965" spans="1:3">
      <c r="A2965">
        <v>731625</v>
      </c>
      <c r="B2965">
        <v>982926</v>
      </c>
      <c r="C2965" s="32">
        <v>43072.252395833333</v>
      </c>
    </row>
    <row r="2966" spans="1:3">
      <c r="A2966">
        <v>284169</v>
      </c>
      <c r="B2966">
        <v>4756105</v>
      </c>
      <c r="C2966" s="32">
        <v>43070.375439814816</v>
      </c>
    </row>
    <row r="2967" spans="1:3">
      <c r="A2967">
        <v>280637</v>
      </c>
      <c r="B2967">
        <v>1851156</v>
      </c>
      <c r="C2967" s="32">
        <v>43070.369212962964</v>
      </c>
    </row>
    <row r="2968" spans="1:3">
      <c r="A2968">
        <v>276279</v>
      </c>
      <c r="B2968">
        <v>2815065</v>
      </c>
      <c r="C2968" s="32">
        <v>43071.830868055556</v>
      </c>
    </row>
    <row r="2969" spans="1:3">
      <c r="A2969">
        <v>139561</v>
      </c>
      <c r="B2969">
        <v>1320293</v>
      </c>
      <c r="C2969" s="32">
        <v>43071.273009259261</v>
      </c>
    </row>
    <row r="2970" spans="1:3">
      <c r="A2970">
        <v>721718</v>
      </c>
      <c r="B2970">
        <v>4731191</v>
      </c>
      <c r="C2970" s="32">
        <v>43070.273194444446</v>
      </c>
    </row>
    <row r="2971" spans="1:3">
      <c r="A2971">
        <v>798025</v>
      </c>
      <c r="B2971">
        <v>3277224</v>
      </c>
      <c r="C2971" s="32">
        <v>43070.666458333333</v>
      </c>
    </row>
    <row r="2972" spans="1:3">
      <c r="A2972">
        <v>122649</v>
      </c>
      <c r="B2972">
        <v>1320293</v>
      </c>
      <c r="C2972" s="32">
        <v>43070.368171296293</v>
      </c>
    </row>
    <row r="2973" spans="1:3">
      <c r="A2973">
        <v>473563</v>
      </c>
      <c r="B2973">
        <v>4901188</v>
      </c>
      <c r="C2973" s="32">
        <v>43070.425381944442</v>
      </c>
    </row>
    <row r="2974" spans="1:3">
      <c r="A2974">
        <v>881347</v>
      </c>
      <c r="B2974">
        <v>2520377</v>
      </c>
      <c r="C2974" s="32">
        <v>43071.104803240742</v>
      </c>
    </row>
    <row r="2975" spans="1:3">
      <c r="A2975">
        <v>818920</v>
      </c>
      <c r="B2975">
        <v>4801426</v>
      </c>
      <c r="C2975" s="32">
        <v>43071.646296296298</v>
      </c>
    </row>
    <row r="2976" spans="1:3">
      <c r="A2976">
        <v>976224</v>
      </c>
      <c r="B2976">
        <v>4181361</v>
      </c>
      <c r="C2976" s="32">
        <v>43070.642824074072</v>
      </c>
    </row>
    <row r="2977" spans="1:3">
      <c r="A2977">
        <v>804434</v>
      </c>
      <c r="B2977">
        <v>2885642</v>
      </c>
      <c r="C2977" s="32">
        <v>43071.529861111114</v>
      </c>
    </row>
    <row r="2978" spans="1:3">
      <c r="A2978">
        <v>221977</v>
      </c>
      <c r="B2978">
        <v>3184456</v>
      </c>
      <c r="C2978" s="32">
        <v>43071.372557870367</v>
      </c>
    </row>
    <row r="2979" spans="1:3">
      <c r="A2979">
        <v>331427</v>
      </c>
      <c r="B2979">
        <v>2465336</v>
      </c>
      <c r="C2979" s="32">
        <v>43071.09716435185</v>
      </c>
    </row>
    <row r="2980" spans="1:3">
      <c r="A2980">
        <v>587833</v>
      </c>
      <c r="B2980">
        <v>3160926</v>
      </c>
      <c r="C2980" s="32">
        <v>43072.497002314813</v>
      </c>
    </row>
    <row r="2981" spans="1:3">
      <c r="A2981">
        <v>469616</v>
      </c>
      <c r="B2981">
        <v>4284875</v>
      </c>
      <c r="C2981" s="32">
        <v>43071.251099537039</v>
      </c>
    </row>
    <row r="2982" spans="1:3">
      <c r="A2982">
        <v>406577</v>
      </c>
      <c r="B2982">
        <v>753984</v>
      </c>
      <c r="C2982" s="32">
        <v>43072.487500000003</v>
      </c>
    </row>
    <row r="2983" spans="1:3">
      <c r="A2983">
        <v>949727</v>
      </c>
      <c r="B2983">
        <v>238434</v>
      </c>
      <c r="C2983" s="32">
        <v>43071.546666666669</v>
      </c>
    </row>
    <row r="2984" spans="1:3">
      <c r="A2984">
        <v>932904</v>
      </c>
      <c r="B2984">
        <v>4643350</v>
      </c>
      <c r="C2984" s="32">
        <v>43070.083298611113</v>
      </c>
    </row>
    <row r="2985" spans="1:3">
      <c r="A2985">
        <v>230019</v>
      </c>
      <c r="B2985">
        <v>2640118</v>
      </c>
      <c r="C2985" s="32">
        <v>43072.486076388886</v>
      </c>
    </row>
    <row r="2986" spans="1:3">
      <c r="A2986">
        <v>221671</v>
      </c>
      <c r="B2986">
        <v>2885642</v>
      </c>
      <c r="C2986" s="32">
        <v>43070.580451388887</v>
      </c>
    </row>
    <row r="2987" spans="1:3">
      <c r="A2987">
        <v>344258</v>
      </c>
      <c r="B2987">
        <v>800581</v>
      </c>
      <c r="C2987" s="32">
        <v>43071.586689814816</v>
      </c>
    </row>
    <row r="2988" spans="1:3">
      <c r="A2988">
        <v>718032</v>
      </c>
      <c r="B2988">
        <v>5053508</v>
      </c>
      <c r="C2988" s="32">
        <v>43070.674618055556</v>
      </c>
    </row>
    <row r="2989" spans="1:3">
      <c r="A2989">
        <v>290335</v>
      </c>
      <c r="B2989">
        <v>4756105</v>
      </c>
      <c r="C2989" s="32">
        <v>43070.943599537037</v>
      </c>
    </row>
    <row r="2990" spans="1:3">
      <c r="A2990">
        <v>249241</v>
      </c>
      <c r="B2990">
        <v>4756105</v>
      </c>
      <c r="C2990" s="32">
        <v>43071.616053240738</v>
      </c>
    </row>
    <row r="2991" spans="1:3">
      <c r="A2991">
        <v>184069</v>
      </c>
      <c r="B2991">
        <v>2939262</v>
      </c>
      <c r="C2991" s="32">
        <v>43070.404502314814</v>
      </c>
    </row>
    <row r="2992" spans="1:3">
      <c r="A2992">
        <v>125493</v>
      </c>
      <c r="B2992">
        <v>4533189</v>
      </c>
      <c r="C2992" s="32">
        <v>43070.611898148149</v>
      </c>
    </row>
    <row r="2993" spans="1:3">
      <c r="A2993">
        <v>916726</v>
      </c>
      <c r="B2993">
        <v>570735</v>
      </c>
      <c r="C2993" s="32">
        <v>43070.68954861111</v>
      </c>
    </row>
    <row r="2994" spans="1:3">
      <c r="A2994">
        <v>662893</v>
      </c>
      <c r="B2994">
        <v>3439012</v>
      </c>
      <c r="C2994" s="32">
        <v>43072.483148148145</v>
      </c>
    </row>
    <row r="2995" spans="1:3">
      <c r="A2995">
        <v>631808</v>
      </c>
      <c r="B2995">
        <v>3189162</v>
      </c>
      <c r="C2995" s="32">
        <v>43071.494953703703</v>
      </c>
    </row>
    <row r="2996" spans="1:3">
      <c r="A2996">
        <v>25262</v>
      </c>
      <c r="B2996">
        <v>3002561</v>
      </c>
      <c r="C2996" s="32">
        <v>43072.562951388885</v>
      </c>
    </row>
    <row r="2997" spans="1:3">
      <c r="A2997">
        <v>891484</v>
      </c>
      <c r="B2997">
        <v>3002561</v>
      </c>
      <c r="C2997" s="32">
        <v>43070.510787037034</v>
      </c>
    </row>
    <row r="2998" spans="1:3">
      <c r="A2998">
        <v>516210</v>
      </c>
      <c r="B2998">
        <v>285583</v>
      </c>
      <c r="C2998" s="32">
        <v>43071.311643518522</v>
      </c>
    </row>
    <row r="2999" spans="1:3">
      <c r="A2999">
        <v>394231</v>
      </c>
      <c r="B2999">
        <v>4181361</v>
      </c>
      <c r="C2999" s="32">
        <v>43070.661412037036</v>
      </c>
    </row>
    <row r="3000" spans="1:3">
      <c r="A3000">
        <v>164542</v>
      </c>
      <c r="B3000">
        <v>467461</v>
      </c>
      <c r="C3000" s="32">
        <v>43071.927175925928</v>
      </c>
    </row>
    <row r="3001" spans="1:3">
      <c r="A3001">
        <v>329829</v>
      </c>
      <c r="B3001">
        <v>2342116</v>
      </c>
      <c r="C3001" s="32">
        <v>43069.95888888889</v>
      </c>
    </row>
    <row r="3002" spans="1:3">
      <c r="A3002">
        <v>848934</v>
      </c>
      <c r="B3002">
        <v>3607626</v>
      </c>
      <c r="C3002" s="32">
        <v>43071.187627314815</v>
      </c>
    </row>
    <row r="3003" spans="1:3">
      <c r="A3003">
        <v>262367</v>
      </c>
      <c r="B3003">
        <v>2939262</v>
      </c>
      <c r="C3003" s="32">
        <v>43069.75508101852</v>
      </c>
    </row>
    <row r="3004" spans="1:3">
      <c r="A3004">
        <v>514561</v>
      </c>
      <c r="B3004">
        <v>3645362</v>
      </c>
      <c r="C3004" s="32">
        <v>43072.635046296295</v>
      </c>
    </row>
    <row r="3005" spans="1:3">
      <c r="A3005">
        <v>316784</v>
      </c>
      <c r="B3005">
        <v>4181361</v>
      </c>
      <c r="C3005" s="32">
        <v>43070.456805555557</v>
      </c>
    </row>
    <row r="3006" spans="1:3">
      <c r="A3006">
        <v>94472</v>
      </c>
      <c r="B3006">
        <v>1879194</v>
      </c>
      <c r="C3006" s="32">
        <v>43070.50953703704</v>
      </c>
    </row>
    <row r="3007" spans="1:3">
      <c r="A3007">
        <v>29063</v>
      </c>
      <c r="B3007">
        <v>3354571</v>
      </c>
      <c r="C3007" s="32">
        <v>43072.525370370371</v>
      </c>
    </row>
    <row r="3008" spans="1:3">
      <c r="A3008">
        <v>154538</v>
      </c>
      <c r="B3008">
        <v>4357323</v>
      </c>
      <c r="C3008" s="32">
        <v>43072.054351851853</v>
      </c>
    </row>
    <row r="3009" spans="1:3">
      <c r="A3009">
        <v>448648</v>
      </c>
      <c r="B3009">
        <v>2465336</v>
      </c>
      <c r="C3009" s="32">
        <v>43072.073171296295</v>
      </c>
    </row>
    <row r="3010" spans="1:3">
      <c r="A3010">
        <v>443383</v>
      </c>
      <c r="B3010">
        <v>3607361</v>
      </c>
      <c r="C3010" s="32">
        <v>43071.635243055556</v>
      </c>
    </row>
    <row r="3011" spans="1:3">
      <c r="A3011">
        <v>752434</v>
      </c>
      <c r="B3011">
        <v>3524510</v>
      </c>
      <c r="C3011" s="32">
        <v>43070.23914351852</v>
      </c>
    </row>
    <row r="3012" spans="1:3">
      <c r="A3012">
        <v>805760</v>
      </c>
      <c r="B3012">
        <v>4719814</v>
      </c>
      <c r="C3012" s="32">
        <v>43071.382384259261</v>
      </c>
    </row>
    <row r="3013" spans="1:3">
      <c r="A3013">
        <v>243010</v>
      </c>
      <c r="B3013">
        <v>2945933</v>
      </c>
      <c r="C3013" s="32">
        <v>43071.396122685182</v>
      </c>
    </row>
    <row r="3014" spans="1:3">
      <c r="A3014">
        <v>256675</v>
      </c>
      <c r="B3014">
        <v>2394030</v>
      </c>
      <c r="C3014" s="32">
        <v>43072.066805555558</v>
      </c>
    </row>
    <row r="3015" spans="1:3">
      <c r="A3015">
        <v>974210</v>
      </c>
      <c r="B3015">
        <v>3673501</v>
      </c>
      <c r="C3015" s="32">
        <v>43072.574849537035</v>
      </c>
    </row>
    <row r="3016" spans="1:3">
      <c r="A3016">
        <v>853296</v>
      </c>
      <c r="B3016">
        <v>4756105</v>
      </c>
      <c r="C3016" s="32">
        <v>43071.632962962962</v>
      </c>
    </row>
    <row r="3017" spans="1:3">
      <c r="A3017">
        <v>151777</v>
      </c>
      <c r="B3017">
        <v>102272</v>
      </c>
      <c r="C3017" s="32">
        <v>43072.276597222219</v>
      </c>
    </row>
    <row r="3018" spans="1:3">
      <c r="A3018">
        <v>91346</v>
      </c>
      <c r="B3018">
        <v>2287226</v>
      </c>
      <c r="C3018" s="32">
        <v>43072.353113425925</v>
      </c>
    </row>
    <row r="3019" spans="1:3">
      <c r="A3019">
        <v>817717</v>
      </c>
      <c r="B3019">
        <v>2735466</v>
      </c>
      <c r="C3019" s="32">
        <v>43071.052199074074</v>
      </c>
    </row>
    <row r="3020" spans="1:3">
      <c r="A3020">
        <v>82712</v>
      </c>
      <c r="B3020">
        <v>2465336</v>
      </c>
      <c r="C3020" s="32">
        <v>43072.06689814815</v>
      </c>
    </row>
    <row r="3021" spans="1:3">
      <c r="A3021">
        <v>496796</v>
      </c>
      <c r="B3021">
        <v>3099787</v>
      </c>
      <c r="C3021" s="32">
        <v>43070.321770833332</v>
      </c>
    </row>
    <row r="3022" spans="1:3">
      <c r="A3022">
        <v>691621</v>
      </c>
      <c r="B3022">
        <v>4756105</v>
      </c>
      <c r="C3022" s="32">
        <v>43069.677893518521</v>
      </c>
    </row>
    <row r="3023" spans="1:3">
      <c r="A3023">
        <v>290367</v>
      </c>
      <c r="B3023">
        <v>4022701</v>
      </c>
      <c r="C3023" s="32">
        <v>43070.12872685185</v>
      </c>
    </row>
    <row r="3024" spans="1:3">
      <c r="A3024">
        <v>247840</v>
      </c>
      <c r="B3024">
        <v>1320293</v>
      </c>
      <c r="C3024" s="32">
        <v>43071.277824074074</v>
      </c>
    </row>
    <row r="3025" spans="1:3">
      <c r="A3025">
        <v>916993</v>
      </c>
      <c r="B3025">
        <v>1548278</v>
      </c>
      <c r="C3025" s="32">
        <v>43072.572662037041</v>
      </c>
    </row>
    <row r="3026" spans="1:3">
      <c r="A3026">
        <v>553228</v>
      </c>
      <c r="B3026">
        <v>1542241</v>
      </c>
      <c r="C3026" s="32">
        <v>43072.652719907404</v>
      </c>
    </row>
    <row r="3027" spans="1:3">
      <c r="A3027">
        <v>269212</v>
      </c>
      <c r="B3027">
        <v>2920476</v>
      </c>
      <c r="C3027" s="32">
        <v>43071.86928240741</v>
      </c>
    </row>
    <row r="3028" spans="1:3">
      <c r="A3028">
        <v>494751</v>
      </c>
      <c r="B3028">
        <v>3695050</v>
      </c>
      <c r="C3028" s="32">
        <v>43072.301099537035</v>
      </c>
    </row>
    <row r="3029" spans="1:3">
      <c r="A3029">
        <v>600619</v>
      </c>
      <c r="B3029">
        <v>4170419</v>
      </c>
      <c r="C3029" s="32">
        <v>43071.788310185184</v>
      </c>
    </row>
    <row r="3030" spans="1:3">
      <c r="A3030">
        <v>362193</v>
      </c>
      <c r="B3030">
        <v>2465336</v>
      </c>
      <c r="C3030" s="32">
        <v>43072.607662037037</v>
      </c>
    </row>
    <row r="3031" spans="1:3">
      <c r="A3031">
        <v>319064</v>
      </c>
      <c r="B3031">
        <v>4756105</v>
      </c>
      <c r="C3031" s="32">
        <v>43072.587881944448</v>
      </c>
    </row>
    <row r="3032" spans="1:3">
      <c r="A3032">
        <v>332222</v>
      </c>
      <c r="B3032">
        <v>1431810</v>
      </c>
      <c r="C3032" s="32">
        <v>43071.46638888889</v>
      </c>
    </row>
    <row r="3033" spans="1:3">
      <c r="A3033">
        <v>718010</v>
      </c>
      <c r="B3033">
        <v>1575622</v>
      </c>
      <c r="C3033" s="32">
        <v>43072.615219907406</v>
      </c>
    </row>
    <row r="3034" spans="1:3">
      <c r="A3034">
        <v>859231</v>
      </c>
      <c r="B3034">
        <v>102272</v>
      </c>
      <c r="C3034" s="32">
        <v>43071.505208333336</v>
      </c>
    </row>
    <row r="3035" spans="1:3">
      <c r="A3035">
        <v>885341</v>
      </c>
      <c r="B3035">
        <v>2520377</v>
      </c>
      <c r="C3035" s="32">
        <v>43072.469513888886</v>
      </c>
    </row>
    <row r="3036" spans="1:3">
      <c r="A3036">
        <v>368973</v>
      </c>
      <c r="B3036">
        <v>753984</v>
      </c>
      <c r="C3036" s="32">
        <v>43071.084629629629</v>
      </c>
    </row>
    <row r="3037" spans="1:3">
      <c r="A3037">
        <v>209436</v>
      </c>
      <c r="B3037">
        <v>3624696</v>
      </c>
      <c r="C3037" s="32">
        <v>43070.946527777778</v>
      </c>
    </row>
    <row r="3038" spans="1:3">
      <c r="A3038">
        <v>191883</v>
      </c>
      <c r="B3038">
        <v>2640118</v>
      </c>
      <c r="C3038" s="32">
        <v>43072.38857638889</v>
      </c>
    </row>
    <row r="3039" spans="1:3">
      <c r="A3039">
        <v>899899</v>
      </c>
      <c r="B3039">
        <v>235534</v>
      </c>
      <c r="C3039" s="32">
        <v>43071.599895833337</v>
      </c>
    </row>
    <row r="3040" spans="1:3">
      <c r="A3040">
        <v>16648</v>
      </c>
      <c r="B3040">
        <v>149192</v>
      </c>
      <c r="C3040" s="32">
        <v>43071.386805555558</v>
      </c>
    </row>
    <row r="3041" spans="1:3">
      <c r="A3041">
        <v>652345</v>
      </c>
      <c r="B3041">
        <v>4756105</v>
      </c>
      <c r="C3041" s="32">
        <v>43072.59516203704</v>
      </c>
    </row>
    <row r="3042" spans="1:3">
      <c r="A3042">
        <v>28091</v>
      </c>
      <c r="B3042">
        <v>846990</v>
      </c>
      <c r="C3042" s="32">
        <v>43072.503240740742</v>
      </c>
    </row>
    <row r="3043" spans="1:3">
      <c r="A3043">
        <v>728884</v>
      </c>
      <c r="B3043">
        <v>1689624</v>
      </c>
      <c r="C3043" s="32">
        <v>43070.658576388887</v>
      </c>
    </row>
    <row r="3044" spans="1:3">
      <c r="A3044">
        <v>152885</v>
      </c>
      <c r="B3044">
        <v>883960</v>
      </c>
      <c r="C3044" s="32">
        <v>43072.249490740738</v>
      </c>
    </row>
    <row r="3045" spans="1:3">
      <c r="A3045">
        <v>525306</v>
      </c>
      <c r="B3045">
        <v>284968</v>
      </c>
      <c r="C3045" s="32">
        <v>43069.757164351853</v>
      </c>
    </row>
    <row r="3046" spans="1:3">
      <c r="A3046">
        <v>404894</v>
      </c>
      <c r="B3046">
        <v>4069500</v>
      </c>
      <c r="C3046" s="32">
        <v>43072.315162037034</v>
      </c>
    </row>
    <row r="3047" spans="1:3">
      <c r="A3047">
        <v>707643</v>
      </c>
      <c r="B3047">
        <v>1464116</v>
      </c>
      <c r="C3047" s="32">
        <v>43072.168923611112</v>
      </c>
    </row>
    <row r="3048" spans="1:3">
      <c r="A3048">
        <v>1017426</v>
      </c>
      <c r="B3048">
        <v>4762182</v>
      </c>
      <c r="C3048" s="32">
        <v>43072.124120370368</v>
      </c>
    </row>
    <row r="3049" spans="1:3">
      <c r="A3049">
        <v>869796</v>
      </c>
      <c r="B3049">
        <v>3160684</v>
      </c>
      <c r="C3049" s="32">
        <v>43070.288043981483</v>
      </c>
    </row>
    <row r="3050" spans="1:3">
      <c r="A3050">
        <v>990506</v>
      </c>
      <c r="B3050">
        <v>1595193</v>
      </c>
      <c r="C3050" s="32">
        <v>43070.368495370371</v>
      </c>
    </row>
    <row r="3051" spans="1:3">
      <c r="A3051">
        <v>931624</v>
      </c>
      <c r="B3051">
        <v>4462274</v>
      </c>
      <c r="C3051" s="32">
        <v>43072.106099537035</v>
      </c>
    </row>
    <row r="3052" spans="1:3">
      <c r="A3052">
        <v>292134</v>
      </c>
      <c r="B3052">
        <v>1807416</v>
      </c>
      <c r="C3052" s="32">
        <v>43071.103680555556</v>
      </c>
    </row>
    <row r="3053" spans="1:3">
      <c r="A3053">
        <v>902020</v>
      </c>
      <c r="B3053">
        <v>3607361</v>
      </c>
      <c r="C3053" s="32">
        <v>43070.056435185186</v>
      </c>
    </row>
    <row r="3054" spans="1:3">
      <c r="A3054">
        <v>62778</v>
      </c>
      <c r="B3054">
        <v>3312150</v>
      </c>
      <c r="C3054" s="32">
        <v>43072.586631944447</v>
      </c>
    </row>
    <row r="3055" spans="1:3">
      <c r="A3055">
        <v>407691</v>
      </c>
      <c r="B3055">
        <v>4801426</v>
      </c>
      <c r="C3055" s="32">
        <v>43071.718935185185</v>
      </c>
    </row>
    <row r="3056" spans="1:3">
      <c r="A3056">
        <v>473798</v>
      </c>
      <c r="B3056">
        <v>4181361</v>
      </c>
      <c r="C3056" s="32">
        <v>43071.451331018521</v>
      </c>
    </row>
    <row r="3057" spans="1:3">
      <c r="A3057">
        <v>878760</v>
      </c>
      <c r="B3057">
        <v>4928116</v>
      </c>
      <c r="C3057" s="32">
        <v>43072.14162037037</v>
      </c>
    </row>
    <row r="3058" spans="1:3">
      <c r="A3058">
        <v>60743</v>
      </c>
      <c r="B3058">
        <v>4145813</v>
      </c>
      <c r="C3058" s="32">
        <v>43072.643831018519</v>
      </c>
    </row>
    <row r="3059" spans="1:3">
      <c r="A3059">
        <v>55709</v>
      </c>
      <c r="B3059">
        <v>1981996</v>
      </c>
      <c r="C3059" s="32">
        <v>43071.086944444447</v>
      </c>
    </row>
    <row r="3060" spans="1:3">
      <c r="A3060">
        <v>324322</v>
      </c>
      <c r="B3060">
        <v>2465336</v>
      </c>
      <c r="C3060" s="32">
        <v>43070.113495370373</v>
      </c>
    </row>
    <row r="3061" spans="1:3">
      <c r="A3061">
        <v>643137</v>
      </c>
      <c r="B3061">
        <v>4476428</v>
      </c>
      <c r="C3061" s="32">
        <v>43070.299201388887</v>
      </c>
    </row>
    <row r="3062" spans="1:3">
      <c r="A3062">
        <v>848515</v>
      </c>
      <c r="B3062">
        <v>2778281</v>
      </c>
      <c r="C3062" s="32">
        <v>43070.386944444443</v>
      </c>
    </row>
    <row r="3063" spans="1:3">
      <c r="A3063">
        <v>286106</v>
      </c>
      <c r="B3063">
        <v>1299190</v>
      </c>
      <c r="C3063" s="32">
        <v>43071.469444444447</v>
      </c>
    </row>
    <row r="3064" spans="1:3">
      <c r="A3064">
        <v>208065</v>
      </c>
      <c r="B3064">
        <v>737184</v>
      </c>
      <c r="C3064" s="32">
        <v>43070.382870370369</v>
      </c>
    </row>
    <row r="3065" spans="1:3">
      <c r="A3065">
        <v>850680</v>
      </c>
      <c r="B3065">
        <v>2506339</v>
      </c>
      <c r="C3065" s="32">
        <v>43069.702094907407</v>
      </c>
    </row>
    <row r="3066" spans="1:3">
      <c r="A3066">
        <v>446483</v>
      </c>
      <c r="B3066">
        <v>2735466</v>
      </c>
      <c r="C3066" s="32">
        <v>43070.670289351852</v>
      </c>
    </row>
    <row r="3067" spans="1:3">
      <c r="A3067">
        <v>945509</v>
      </c>
      <c r="B3067">
        <v>3607361</v>
      </c>
      <c r="C3067" s="32">
        <v>43071.258287037039</v>
      </c>
    </row>
    <row r="3068" spans="1:3">
      <c r="A3068">
        <v>615581</v>
      </c>
      <c r="B3068">
        <v>3736316</v>
      </c>
      <c r="C3068" s="32">
        <v>43070.676226851851</v>
      </c>
    </row>
    <row r="3069" spans="1:3">
      <c r="A3069">
        <v>368376</v>
      </c>
      <c r="B3069">
        <v>1029459</v>
      </c>
      <c r="C3069" s="32">
        <v>43071.653657407405</v>
      </c>
    </row>
    <row r="3070" spans="1:3">
      <c r="A3070">
        <v>294548</v>
      </c>
      <c r="B3070">
        <v>4244487</v>
      </c>
      <c r="C3070" s="32">
        <v>43070.595092592594</v>
      </c>
    </row>
    <row r="3071" spans="1:3">
      <c r="A3071">
        <v>964125</v>
      </c>
      <c r="B3071">
        <v>627715</v>
      </c>
      <c r="C3071" s="32">
        <v>43072.650451388887</v>
      </c>
    </row>
    <row r="3072" spans="1:3">
      <c r="A3072">
        <v>419673</v>
      </c>
      <c r="B3072">
        <v>4217906</v>
      </c>
      <c r="C3072" s="32">
        <v>43070.163611111115</v>
      </c>
    </row>
    <row r="3073" spans="1:3">
      <c r="A3073">
        <v>61375</v>
      </c>
      <c r="B3073">
        <v>2355072</v>
      </c>
      <c r="C3073" s="32">
        <v>43071.451956018522</v>
      </c>
    </row>
    <row r="3074" spans="1:3">
      <c r="A3074">
        <v>593653</v>
      </c>
      <c r="B3074">
        <v>3002561</v>
      </c>
      <c r="C3074" s="32">
        <v>43071.315243055556</v>
      </c>
    </row>
    <row r="3075" spans="1:3">
      <c r="A3075">
        <v>287150</v>
      </c>
      <c r="B3075">
        <v>2520377</v>
      </c>
      <c r="C3075" s="32">
        <v>43072.650601851848</v>
      </c>
    </row>
    <row r="3076" spans="1:3">
      <c r="A3076">
        <v>339364</v>
      </c>
      <c r="B3076">
        <v>3620161</v>
      </c>
      <c r="C3076" s="32">
        <v>43070.630069444444</v>
      </c>
    </row>
    <row r="3077" spans="1:3">
      <c r="A3077">
        <v>445829</v>
      </c>
      <c r="B3077">
        <v>1954691</v>
      </c>
      <c r="C3077" s="32">
        <v>43069.877881944441</v>
      </c>
    </row>
    <row r="3078" spans="1:3">
      <c r="A3078">
        <v>87138</v>
      </c>
      <c r="B3078">
        <v>2465336</v>
      </c>
      <c r="C3078" s="32">
        <v>43070.318472222221</v>
      </c>
    </row>
    <row r="3079" spans="1:3">
      <c r="A3079">
        <v>732264</v>
      </c>
      <c r="B3079">
        <v>4145813</v>
      </c>
      <c r="C3079" s="32">
        <v>43072.198657407411</v>
      </c>
    </row>
    <row r="3080" spans="1:3">
      <c r="A3080">
        <v>133647</v>
      </c>
      <c r="B3080">
        <v>3864364</v>
      </c>
      <c r="C3080" s="32">
        <v>43071.246712962966</v>
      </c>
    </row>
    <row r="3081" spans="1:3">
      <c r="A3081">
        <v>676820</v>
      </c>
      <c r="B3081">
        <v>1102540</v>
      </c>
      <c r="C3081" s="32">
        <v>43069.679965277777</v>
      </c>
    </row>
    <row r="3082" spans="1:3">
      <c r="A3082">
        <v>703710</v>
      </c>
      <c r="B3082">
        <v>846990</v>
      </c>
      <c r="C3082" s="32">
        <v>43071.097187500003</v>
      </c>
    </row>
    <row r="3083" spans="1:3">
      <c r="A3083">
        <v>717711</v>
      </c>
      <c r="B3083">
        <v>3736316</v>
      </c>
      <c r="C3083" s="32">
        <v>43072.068287037036</v>
      </c>
    </row>
    <row r="3084" spans="1:3">
      <c r="A3084">
        <v>378889</v>
      </c>
      <c r="B3084">
        <v>3645362</v>
      </c>
      <c r="C3084" s="32">
        <v>43071.522256944445</v>
      </c>
    </row>
    <row r="3085" spans="1:3">
      <c r="A3085">
        <v>842148</v>
      </c>
      <c r="B3085">
        <v>255969</v>
      </c>
      <c r="C3085" s="32">
        <v>43070.736331018517</v>
      </c>
    </row>
    <row r="3086" spans="1:3">
      <c r="A3086">
        <v>794431</v>
      </c>
      <c r="B3086">
        <v>2926020</v>
      </c>
      <c r="C3086" s="32">
        <v>43072.541712962964</v>
      </c>
    </row>
    <row r="3087" spans="1:3">
      <c r="A3087">
        <v>833253</v>
      </c>
      <c r="B3087">
        <v>160181</v>
      </c>
      <c r="C3087" s="32">
        <v>43070.643819444442</v>
      </c>
    </row>
    <row r="3088" spans="1:3">
      <c r="A3088">
        <v>687775</v>
      </c>
      <c r="B3088">
        <v>2352202</v>
      </c>
      <c r="C3088" s="32">
        <v>43072.265324074076</v>
      </c>
    </row>
    <row r="3089" spans="1:3">
      <c r="A3089">
        <v>765688</v>
      </c>
      <c r="B3089">
        <v>2667323</v>
      </c>
      <c r="C3089" s="32">
        <v>43071.246030092596</v>
      </c>
    </row>
    <row r="3090" spans="1:3">
      <c r="A3090">
        <v>189586</v>
      </c>
      <c r="B3090">
        <v>4901188</v>
      </c>
      <c r="C3090" s="32">
        <v>43071.2266087963</v>
      </c>
    </row>
    <row r="3091" spans="1:3">
      <c r="A3091">
        <v>390684</v>
      </c>
      <c r="B3091">
        <v>2885642</v>
      </c>
      <c r="C3091" s="32">
        <v>43070.559259259258</v>
      </c>
    </row>
    <row r="3092" spans="1:3">
      <c r="A3092">
        <v>808352</v>
      </c>
      <c r="B3092">
        <v>545775</v>
      </c>
      <c r="C3092" s="32">
        <v>43071.467905092592</v>
      </c>
    </row>
    <row r="3093" spans="1:3">
      <c r="A3093">
        <v>853957</v>
      </c>
      <c r="B3093">
        <v>149192</v>
      </c>
      <c r="C3093" s="32">
        <v>43070.517835648148</v>
      </c>
    </row>
    <row r="3094" spans="1:3">
      <c r="A3094">
        <v>664898</v>
      </c>
      <c r="B3094">
        <v>4780547</v>
      </c>
      <c r="C3094" s="32">
        <v>43071.585740740738</v>
      </c>
    </row>
    <row r="3095" spans="1:3">
      <c r="A3095">
        <v>300568</v>
      </c>
      <c r="B3095">
        <v>5071267</v>
      </c>
      <c r="C3095" s="32">
        <v>43071.479201388887</v>
      </c>
    </row>
    <row r="3096" spans="1:3">
      <c r="A3096">
        <v>952931</v>
      </c>
      <c r="B3096">
        <v>2465336</v>
      </c>
      <c r="C3096" s="32">
        <v>43070.711770833332</v>
      </c>
    </row>
    <row r="3097" spans="1:3">
      <c r="A3097">
        <v>712576</v>
      </c>
      <c r="B3097">
        <v>1813610</v>
      </c>
      <c r="C3097" s="32">
        <v>43071.322164351855</v>
      </c>
    </row>
    <row r="3098" spans="1:3">
      <c r="A3098">
        <v>238165</v>
      </c>
      <c r="B3098">
        <v>200278</v>
      </c>
      <c r="C3098" s="32">
        <v>43072.389490740738</v>
      </c>
    </row>
    <row r="3099" spans="1:3">
      <c r="A3099">
        <v>281737</v>
      </c>
      <c r="B3099">
        <v>753984</v>
      </c>
      <c r="C3099" s="32">
        <v>43071.998495370368</v>
      </c>
    </row>
    <row r="3100" spans="1:3">
      <c r="A3100">
        <v>757408</v>
      </c>
      <c r="B3100">
        <v>946991</v>
      </c>
      <c r="C3100" s="32">
        <v>43070.548750000002</v>
      </c>
    </row>
    <row r="3101" spans="1:3">
      <c r="A3101">
        <v>387368</v>
      </c>
      <c r="B3101">
        <v>4148053</v>
      </c>
      <c r="C3101" s="32">
        <v>43070.071828703702</v>
      </c>
    </row>
    <row r="3102" spans="1:3">
      <c r="A3102">
        <v>573957</v>
      </c>
      <c r="B3102">
        <v>922189</v>
      </c>
      <c r="C3102" s="32">
        <v>43070.106817129628</v>
      </c>
    </row>
    <row r="3103" spans="1:3">
      <c r="A3103">
        <v>925707</v>
      </c>
      <c r="B3103">
        <v>982926</v>
      </c>
      <c r="C3103" s="32">
        <v>43072.190289351849</v>
      </c>
    </row>
    <row r="3104" spans="1:3">
      <c r="A3104">
        <v>340994</v>
      </c>
      <c r="B3104">
        <v>2920476</v>
      </c>
      <c r="C3104" s="32">
        <v>43071.646377314813</v>
      </c>
    </row>
    <row r="3105" spans="1:3">
      <c r="A3105">
        <v>588780</v>
      </c>
      <c r="B3105">
        <v>2751787</v>
      </c>
      <c r="C3105" s="32">
        <v>43070.382013888891</v>
      </c>
    </row>
    <row r="3106" spans="1:3">
      <c r="A3106">
        <v>18714</v>
      </c>
      <c r="B3106">
        <v>4444302</v>
      </c>
      <c r="C3106" s="32">
        <v>43071.198819444442</v>
      </c>
    </row>
    <row r="3107" spans="1:3">
      <c r="A3107">
        <v>452219</v>
      </c>
      <c r="B3107">
        <v>174239</v>
      </c>
      <c r="C3107" s="32">
        <v>43070.46429398148</v>
      </c>
    </row>
    <row r="3108" spans="1:3">
      <c r="A3108">
        <v>95449</v>
      </c>
      <c r="B3108">
        <v>50601</v>
      </c>
      <c r="C3108" s="32">
        <v>43070.328009259261</v>
      </c>
    </row>
    <row r="3109" spans="1:3">
      <c r="A3109">
        <v>680035</v>
      </c>
      <c r="B3109">
        <v>4163659</v>
      </c>
      <c r="C3109" s="32">
        <v>43071.519062500003</v>
      </c>
    </row>
    <row r="3110" spans="1:3">
      <c r="A3110">
        <v>299860</v>
      </c>
      <c r="B3110">
        <v>794153</v>
      </c>
      <c r="C3110" s="32">
        <v>43071.413564814815</v>
      </c>
    </row>
    <row r="3111" spans="1:3">
      <c r="A3111">
        <v>305487</v>
      </c>
      <c r="B3111">
        <v>4321796</v>
      </c>
      <c r="C3111" s="32">
        <v>43072.595555555556</v>
      </c>
    </row>
    <row r="3112" spans="1:3">
      <c r="A3112">
        <v>543562</v>
      </c>
      <c r="B3112">
        <v>643645</v>
      </c>
      <c r="C3112" s="32">
        <v>43071.637465277781</v>
      </c>
    </row>
    <row r="3113" spans="1:3">
      <c r="A3113">
        <v>355377</v>
      </c>
      <c r="B3113">
        <v>3800818</v>
      </c>
      <c r="C3113" s="32">
        <v>43071.761759259258</v>
      </c>
    </row>
    <row r="3114" spans="1:3">
      <c r="A3114">
        <v>506175</v>
      </c>
      <c r="B3114">
        <v>2520771</v>
      </c>
      <c r="C3114" s="32">
        <v>43072.280752314815</v>
      </c>
    </row>
    <row r="3115" spans="1:3">
      <c r="A3115">
        <v>40353</v>
      </c>
      <c r="B3115">
        <v>2640118</v>
      </c>
      <c r="C3115" s="32">
        <v>43070.127465277779</v>
      </c>
    </row>
    <row r="3116" spans="1:3">
      <c r="A3116">
        <v>343165</v>
      </c>
      <c r="B3116">
        <v>4801426</v>
      </c>
      <c r="C3116" s="32">
        <v>43071.663726851853</v>
      </c>
    </row>
    <row r="3117" spans="1:3">
      <c r="A3117">
        <v>398294</v>
      </c>
      <c r="B3117">
        <v>146830</v>
      </c>
      <c r="C3117" s="32">
        <v>43071.425543981481</v>
      </c>
    </row>
    <row r="3118" spans="1:3">
      <c r="A3118">
        <v>92326</v>
      </c>
      <c r="B3118">
        <v>2540361</v>
      </c>
      <c r="C3118" s="32">
        <v>43072.645624999997</v>
      </c>
    </row>
    <row r="3119" spans="1:3">
      <c r="A3119">
        <v>474910</v>
      </c>
      <c r="B3119">
        <v>4756105</v>
      </c>
      <c r="C3119" s="32">
        <v>43071.312303240738</v>
      </c>
    </row>
    <row r="3120" spans="1:3">
      <c r="A3120">
        <v>749734</v>
      </c>
      <c r="B3120">
        <v>2578647</v>
      </c>
      <c r="C3120" s="32">
        <v>43071.559652777774</v>
      </c>
    </row>
    <row r="3121" spans="1:3">
      <c r="A3121">
        <v>775782</v>
      </c>
      <c r="B3121">
        <v>3002561</v>
      </c>
      <c r="C3121" s="32">
        <v>43070.583275462966</v>
      </c>
    </row>
    <row r="3122" spans="1:3">
      <c r="A3122">
        <v>813621</v>
      </c>
      <c r="B3122">
        <v>4145813</v>
      </c>
      <c r="C3122" s="32">
        <v>43072.279456018521</v>
      </c>
    </row>
    <row r="3123" spans="1:3">
      <c r="A3123">
        <v>171688</v>
      </c>
      <c r="B3123">
        <v>1379146</v>
      </c>
      <c r="C3123" s="32">
        <v>43072.124652777777</v>
      </c>
    </row>
    <row r="3124" spans="1:3">
      <c r="A3124">
        <v>608916</v>
      </c>
      <c r="B3124">
        <v>3607361</v>
      </c>
      <c r="C3124" s="32">
        <v>43071.711724537039</v>
      </c>
    </row>
    <row r="3125" spans="1:3">
      <c r="A3125">
        <v>828248</v>
      </c>
      <c r="B3125">
        <v>2885642</v>
      </c>
      <c r="C3125" s="32">
        <v>43072.089629629627</v>
      </c>
    </row>
    <row r="3126" spans="1:3">
      <c r="A3126">
        <v>891183</v>
      </c>
      <c r="B3126">
        <v>4170419</v>
      </c>
      <c r="C3126" s="32">
        <v>43072.045416666668</v>
      </c>
    </row>
    <row r="3127" spans="1:3">
      <c r="A3127">
        <v>601650</v>
      </c>
      <c r="B3127">
        <v>1807416</v>
      </c>
      <c r="C3127" s="32">
        <v>43071.281134259261</v>
      </c>
    </row>
    <row r="3128" spans="1:3">
      <c r="A3128">
        <v>248476</v>
      </c>
      <c r="B3128">
        <v>1567637</v>
      </c>
      <c r="C3128" s="32">
        <v>43072.119583333333</v>
      </c>
    </row>
    <row r="3129" spans="1:3">
      <c r="A3129">
        <v>543754</v>
      </c>
      <c r="B3129">
        <v>2520377</v>
      </c>
      <c r="C3129" s="32">
        <v>43070.814652777779</v>
      </c>
    </row>
    <row r="3130" spans="1:3">
      <c r="A3130">
        <v>949556</v>
      </c>
      <c r="B3130">
        <v>3796207</v>
      </c>
      <c r="C3130" s="32">
        <v>43071.304849537039</v>
      </c>
    </row>
    <row r="3131" spans="1:3">
      <c r="A3131">
        <v>396862</v>
      </c>
      <c r="B3131">
        <v>4145813</v>
      </c>
      <c r="C3131" s="32">
        <v>43072.49019675926</v>
      </c>
    </row>
    <row r="3132" spans="1:3">
      <c r="A3132">
        <v>187866</v>
      </c>
      <c r="B3132">
        <v>432873</v>
      </c>
      <c r="C3132" s="32">
        <v>43069.748506944445</v>
      </c>
    </row>
    <row r="3133" spans="1:3">
      <c r="A3133">
        <v>389313</v>
      </c>
      <c r="B3133">
        <v>1879194</v>
      </c>
      <c r="C3133" s="32">
        <v>43071.842256944445</v>
      </c>
    </row>
    <row r="3134" spans="1:3">
      <c r="A3134">
        <v>475668</v>
      </c>
      <c r="B3134">
        <v>4339722</v>
      </c>
      <c r="C3134" s="32">
        <v>43071.456307870372</v>
      </c>
    </row>
    <row r="3135" spans="1:3">
      <c r="A3135">
        <v>501975</v>
      </c>
      <c r="B3135">
        <v>4690421</v>
      </c>
      <c r="C3135" s="32">
        <v>43071.519479166665</v>
      </c>
    </row>
    <row r="3136" spans="1:3">
      <c r="A3136">
        <v>25912</v>
      </c>
      <c r="B3136">
        <v>3002561</v>
      </c>
      <c r="C3136" s="32">
        <v>43071.348796296297</v>
      </c>
    </row>
    <row r="3137" spans="1:3">
      <c r="A3137">
        <v>322330</v>
      </c>
      <c r="B3137">
        <v>412619</v>
      </c>
      <c r="C3137" s="32">
        <v>43071.281666666669</v>
      </c>
    </row>
    <row r="3138" spans="1:3">
      <c r="A3138">
        <v>203210</v>
      </c>
      <c r="B3138">
        <v>4159072</v>
      </c>
      <c r="C3138" s="32">
        <v>43072.601261574076</v>
      </c>
    </row>
    <row r="3139" spans="1:3">
      <c r="A3139">
        <v>705831</v>
      </c>
      <c r="B3139">
        <v>3232473</v>
      </c>
      <c r="C3139" s="32">
        <v>43071.619375000002</v>
      </c>
    </row>
    <row r="3140" spans="1:3">
      <c r="A3140">
        <v>1009610</v>
      </c>
      <c r="B3140">
        <v>1834026</v>
      </c>
      <c r="C3140" s="32">
        <v>43071.634814814817</v>
      </c>
    </row>
    <row r="3141" spans="1:3">
      <c r="A3141">
        <v>250601</v>
      </c>
      <c r="B3141">
        <v>4643350</v>
      </c>
      <c r="C3141" s="32">
        <v>43070.246886574074</v>
      </c>
    </row>
    <row r="3142" spans="1:3">
      <c r="A3142">
        <v>78128</v>
      </c>
      <c r="B3142">
        <v>5071267</v>
      </c>
      <c r="C3142" s="32">
        <v>43072.314687500002</v>
      </c>
    </row>
    <row r="3143" spans="1:3">
      <c r="A3143">
        <v>329546</v>
      </c>
      <c r="B3143">
        <v>4756105</v>
      </c>
      <c r="C3143" s="32">
        <v>43072.06722222222</v>
      </c>
    </row>
    <row r="3144" spans="1:3">
      <c r="A3144">
        <v>394002</v>
      </c>
      <c r="B3144">
        <v>1850548</v>
      </c>
      <c r="C3144" s="32">
        <v>43071.814340277779</v>
      </c>
    </row>
    <row r="3145" spans="1:3">
      <c r="A3145">
        <v>276321</v>
      </c>
      <c r="B3145">
        <v>887729</v>
      </c>
      <c r="C3145" s="32">
        <v>43071.023958333331</v>
      </c>
    </row>
    <row r="3146" spans="1:3">
      <c r="A3146">
        <v>280195</v>
      </c>
      <c r="B3146">
        <v>2096639</v>
      </c>
      <c r="C3146" s="32">
        <v>43070.282395833332</v>
      </c>
    </row>
    <row r="3147" spans="1:3">
      <c r="A3147">
        <v>685010</v>
      </c>
      <c r="B3147">
        <v>4643350</v>
      </c>
      <c r="C3147" s="32">
        <v>43071.651400462964</v>
      </c>
    </row>
    <row r="3148" spans="1:3">
      <c r="A3148">
        <v>148505</v>
      </c>
      <c r="B3148">
        <v>2939262</v>
      </c>
      <c r="C3148" s="32">
        <v>43070.499907407408</v>
      </c>
    </row>
    <row r="3149" spans="1:3">
      <c r="A3149">
        <v>336644</v>
      </c>
      <c r="B3149">
        <v>2129666</v>
      </c>
      <c r="C3149" s="32">
        <v>43072.242835648147</v>
      </c>
    </row>
    <row r="3150" spans="1:3">
      <c r="A3150">
        <v>102540</v>
      </c>
      <c r="B3150">
        <v>2945933</v>
      </c>
      <c r="C3150" s="32">
        <v>43070.675567129627</v>
      </c>
    </row>
    <row r="3151" spans="1:3">
      <c r="A3151">
        <v>814003</v>
      </c>
      <c r="B3151">
        <v>2877672</v>
      </c>
      <c r="C3151" s="32">
        <v>43071.457002314812</v>
      </c>
    </row>
    <row r="3152" spans="1:3">
      <c r="A3152">
        <v>365272</v>
      </c>
      <c r="B3152">
        <v>1216617</v>
      </c>
      <c r="C3152" s="32">
        <v>43071.333692129629</v>
      </c>
    </row>
    <row r="3153" spans="1:3">
      <c r="A3153">
        <v>195849</v>
      </c>
      <c r="B3153">
        <v>2131531</v>
      </c>
      <c r="C3153" s="32">
        <v>43070.957939814813</v>
      </c>
    </row>
    <row r="3154" spans="1:3">
      <c r="A3154">
        <v>883130</v>
      </c>
      <c r="B3154">
        <v>3917972</v>
      </c>
      <c r="C3154" s="32">
        <v>43071.379664351851</v>
      </c>
    </row>
    <row r="3155" spans="1:3">
      <c r="A3155">
        <v>616500</v>
      </c>
      <c r="B3155">
        <v>4801426</v>
      </c>
      <c r="C3155" s="32">
        <v>43071.528599537036</v>
      </c>
    </row>
    <row r="3156" spans="1:3">
      <c r="A3156">
        <v>188752</v>
      </c>
      <c r="B3156">
        <v>411153</v>
      </c>
      <c r="C3156" s="32">
        <v>43072.264143518521</v>
      </c>
    </row>
    <row r="3157" spans="1:3">
      <c r="A3157">
        <v>222501</v>
      </c>
      <c r="B3157">
        <v>4801426</v>
      </c>
      <c r="C3157" s="32">
        <v>43071.571469907409</v>
      </c>
    </row>
    <row r="3158" spans="1:3">
      <c r="A3158">
        <v>652112</v>
      </c>
      <c r="B3158">
        <v>4756105</v>
      </c>
      <c r="C3158" s="32">
        <v>43071.136990740742</v>
      </c>
    </row>
    <row r="3159" spans="1:3">
      <c r="A3159">
        <v>405149</v>
      </c>
      <c r="B3159">
        <v>2520771</v>
      </c>
      <c r="C3159" s="32">
        <v>43069.95244212963</v>
      </c>
    </row>
    <row r="3160" spans="1:3">
      <c r="A3160">
        <v>395930</v>
      </c>
      <c r="B3160">
        <v>2666911</v>
      </c>
      <c r="C3160" s="32">
        <v>43071.953726851854</v>
      </c>
    </row>
    <row r="3161" spans="1:3">
      <c r="A3161">
        <v>78180</v>
      </c>
      <c r="B3161">
        <v>4159072</v>
      </c>
      <c r="C3161" s="32">
        <v>43072.232638888891</v>
      </c>
    </row>
    <row r="3162" spans="1:3">
      <c r="A3162">
        <v>80838</v>
      </c>
      <c r="B3162">
        <v>846990</v>
      </c>
      <c r="C3162" s="32">
        <v>43071.530706018515</v>
      </c>
    </row>
    <row r="3163" spans="1:3">
      <c r="A3163">
        <v>159704</v>
      </c>
      <c r="B3163">
        <v>2878148</v>
      </c>
      <c r="C3163" s="32">
        <v>43071.654340277775</v>
      </c>
    </row>
    <row r="3164" spans="1:3">
      <c r="A3164">
        <v>37475</v>
      </c>
      <c r="B3164">
        <v>1277467</v>
      </c>
      <c r="C3164" s="32">
        <v>43071.403738425928</v>
      </c>
    </row>
    <row r="3165" spans="1:3">
      <c r="A3165">
        <v>386874</v>
      </c>
      <c r="B3165">
        <v>1029459</v>
      </c>
      <c r="C3165" s="32">
        <v>43071.186736111114</v>
      </c>
    </row>
    <row r="3166" spans="1:3">
      <c r="A3166">
        <v>640847</v>
      </c>
      <c r="B3166">
        <v>3604509</v>
      </c>
      <c r="C3166" s="32">
        <v>43072.387870370374</v>
      </c>
    </row>
    <row r="3167" spans="1:3">
      <c r="A3167">
        <v>993726</v>
      </c>
      <c r="B3167">
        <v>982926</v>
      </c>
      <c r="C3167" s="32">
        <v>43072.267453703702</v>
      </c>
    </row>
    <row r="3168" spans="1:3">
      <c r="A3168">
        <v>48524</v>
      </c>
      <c r="B3168">
        <v>344833</v>
      </c>
      <c r="C3168" s="32">
        <v>43070.487835648149</v>
      </c>
    </row>
    <row r="3169" spans="1:3">
      <c r="A3169">
        <v>317135</v>
      </c>
      <c r="B3169">
        <v>3848953</v>
      </c>
      <c r="C3169" s="32">
        <v>43071.602696759262</v>
      </c>
    </row>
    <row r="3170" spans="1:3">
      <c r="A3170">
        <v>450578</v>
      </c>
      <c r="B3170">
        <v>4756105</v>
      </c>
      <c r="C3170" s="32">
        <v>43072.483831018515</v>
      </c>
    </row>
    <row r="3171" spans="1:3">
      <c r="A3171">
        <v>528361</v>
      </c>
      <c r="B3171">
        <v>1320293</v>
      </c>
      <c r="C3171" s="32">
        <v>43072.00037037037</v>
      </c>
    </row>
    <row r="3172" spans="1:3">
      <c r="A3172">
        <v>973516</v>
      </c>
      <c r="B3172">
        <v>2885642</v>
      </c>
      <c r="C3172" s="32">
        <v>43072.134027777778</v>
      </c>
    </row>
    <row r="3173" spans="1:3">
      <c r="A3173">
        <v>578133</v>
      </c>
      <c r="B3173">
        <v>3607361</v>
      </c>
      <c r="C3173" s="32">
        <v>43072.520856481482</v>
      </c>
    </row>
    <row r="3174" spans="1:3">
      <c r="A3174">
        <v>68186</v>
      </c>
      <c r="B3174">
        <v>866301</v>
      </c>
      <c r="C3174" s="32">
        <v>43070.25513888889</v>
      </c>
    </row>
    <row r="3175" spans="1:3">
      <c r="A3175">
        <v>196262</v>
      </c>
      <c r="B3175">
        <v>4801426</v>
      </c>
      <c r="C3175" s="32">
        <v>43070.309699074074</v>
      </c>
    </row>
    <row r="3176" spans="1:3">
      <c r="A3176">
        <v>64302</v>
      </c>
      <c r="B3176">
        <v>3002561</v>
      </c>
      <c r="C3176" s="32">
        <v>43071.506712962961</v>
      </c>
    </row>
    <row r="3177" spans="1:3">
      <c r="A3177">
        <v>144027</v>
      </c>
      <c r="B3177">
        <v>845650</v>
      </c>
      <c r="C3177" s="32">
        <v>43070.343472222223</v>
      </c>
    </row>
    <row r="3178" spans="1:3">
      <c r="A3178">
        <v>59847</v>
      </c>
      <c r="B3178">
        <v>1154246</v>
      </c>
      <c r="C3178" s="32">
        <v>43069.930381944447</v>
      </c>
    </row>
    <row r="3179" spans="1:3">
      <c r="A3179">
        <v>267745</v>
      </c>
      <c r="B3179">
        <v>1575622</v>
      </c>
      <c r="C3179" s="32">
        <v>43071.497777777775</v>
      </c>
    </row>
    <row r="3180" spans="1:3">
      <c r="A3180">
        <v>275555</v>
      </c>
      <c r="B3180">
        <v>4145813</v>
      </c>
      <c r="C3180" s="32">
        <v>43070.694131944445</v>
      </c>
    </row>
    <row r="3181" spans="1:3">
      <c r="A3181">
        <v>891843</v>
      </c>
      <c r="B3181">
        <v>4756105</v>
      </c>
      <c r="C3181" s="32">
        <v>43070.120636574073</v>
      </c>
    </row>
    <row r="3182" spans="1:3">
      <c r="A3182">
        <v>801622</v>
      </c>
      <c r="B3182">
        <v>4159072</v>
      </c>
      <c r="C3182" s="32">
        <v>43070.123935185184</v>
      </c>
    </row>
    <row r="3183" spans="1:3">
      <c r="A3183">
        <v>186279</v>
      </c>
      <c r="B3183">
        <v>1349561</v>
      </c>
      <c r="C3183" s="32">
        <v>43072.204085648147</v>
      </c>
    </row>
    <row r="3184" spans="1:3">
      <c r="A3184">
        <v>654157</v>
      </c>
      <c r="B3184">
        <v>4756105</v>
      </c>
      <c r="C3184" s="32">
        <v>43070.565486111111</v>
      </c>
    </row>
    <row r="3185" spans="1:3">
      <c r="A3185">
        <v>599656</v>
      </c>
      <c r="B3185">
        <v>2520771</v>
      </c>
      <c r="C3185" s="32">
        <v>43072.072928240741</v>
      </c>
    </row>
    <row r="3186" spans="1:3">
      <c r="A3186">
        <v>264085</v>
      </c>
      <c r="B3186">
        <v>4387956</v>
      </c>
      <c r="C3186" s="32">
        <v>43072.649664351855</v>
      </c>
    </row>
    <row r="3187" spans="1:3">
      <c r="A3187">
        <v>169405</v>
      </c>
      <c r="B3187">
        <v>1154246</v>
      </c>
      <c r="C3187" s="32">
        <v>43071.542268518519</v>
      </c>
    </row>
    <row r="3188" spans="1:3">
      <c r="A3188">
        <v>549681</v>
      </c>
      <c r="B3188">
        <v>4411949</v>
      </c>
      <c r="C3188" s="32">
        <v>43071.565798611111</v>
      </c>
    </row>
    <row r="3189" spans="1:3">
      <c r="A3189">
        <v>234444</v>
      </c>
      <c r="B3189">
        <v>4082778</v>
      </c>
      <c r="C3189" s="32">
        <v>43071.535520833335</v>
      </c>
    </row>
    <row r="3190" spans="1:3">
      <c r="A3190">
        <v>831674</v>
      </c>
      <c r="B3190">
        <v>3524510</v>
      </c>
      <c r="C3190" s="32">
        <v>43072.365046296298</v>
      </c>
    </row>
    <row r="3191" spans="1:3">
      <c r="A3191">
        <v>413197</v>
      </c>
      <c r="B3191">
        <v>4756105</v>
      </c>
      <c r="C3191" s="32">
        <v>43070.172789351855</v>
      </c>
    </row>
    <row r="3192" spans="1:3">
      <c r="A3192">
        <v>130157</v>
      </c>
      <c r="B3192">
        <v>3191556</v>
      </c>
      <c r="C3192" s="32">
        <v>43072.646828703706</v>
      </c>
    </row>
    <row r="3193" spans="1:3">
      <c r="A3193">
        <v>498888</v>
      </c>
      <c r="B3193">
        <v>2945933</v>
      </c>
      <c r="C3193" s="32">
        <v>43069.685486111113</v>
      </c>
    </row>
    <row r="3194" spans="1:3">
      <c r="A3194">
        <v>432327</v>
      </c>
      <c r="B3194">
        <v>3340725</v>
      </c>
      <c r="C3194" s="32">
        <v>43071.155868055554</v>
      </c>
    </row>
    <row r="3195" spans="1:3">
      <c r="A3195">
        <v>739663</v>
      </c>
      <c r="B3195">
        <v>245030</v>
      </c>
      <c r="C3195" s="32">
        <v>43071.291956018518</v>
      </c>
    </row>
    <row r="3196" spans="1:3">
      <c r="A3196">
        <v>94206</v>
      </c>
      <c r="B3196">
        <v>4756105</v>
      </c>
      <c r="C3196" s="32">
        <v>43072.567372685182</v>
      </c>
    </row>
    <row r="3197" spans="1:3">
      <c r="A3197">
        <v>49845</v>
      </c>
      <c r="B3197">
        <v>244923</v>
      </c>
      <c r="C3197" s="32">
        <v>43072.545474537037</v>
      </c>
    </row>
    <row r="3198" spans="1:3">
      <c r="A3198">
        <v>194237</v>
      </c>
      <c r="B3198">
        <v>1154246</v>
      </c>
      <c r="C3198" s="32">
        <v>43071.975578703707</v>
      </c>
    </row>
    <row r="3199" spans="1:3">
      <c r="A3199">
        <v>20482</v>
      </c>
      <c r="B3199">
        <v>982926</v>
      </c>
      <c r="C3199" s="32">
        <v>43069.743807870371</v>
      </c>
    </row>
    <row r="3200" spans="1:3">
      <c r="A3200">
        <v>51303</v>
      </c>
      <c r="B3200">
        <v>1464116</v>
      </c>
      <c r="C3200" s="32">
        <v>43071.713854166665</v>
      </c>
    </row>
    <row r="3201" spans="1:3">
      <c r="A3201">
        <v>260721</v>
      </c>
      <c r="B3201">
        <v>2885642</v>
      </c>
      <c r="C3201" s="32">
        <v>43072.073958333334</v>
      </c>
    </row>
    <row r="3202" spans="1:3">
      <c r="A3202">
        <v>303468</v>
      </c>
      <c r="B3202">
        <v>1320293</v>
      </c>
      <c r="C3202" s="32">
        <v>43072.41505787037</v>
      </c>
    </row>
    <row r="3203" spans="1:3">
      <c r="A3203">
        <v>549330</v>
      </c>
      <c r="B3203">
        <v>2465336</v>
      </c>
      <c r="C3203" s="32">
        <v>43072.160046296296</v>
      </c>
    </row>
    <row r="3204" spans="1:3">
      <c r="A3204">
        <v>719586</v>
      </c>
      <c r="B3204">
        <v>2640118</v>
      </c>
      <c r="C3204" s="32">
        <v>43070.425057870372</v>
      </c>
    </row>
    <row r="3205" spans="1:3">
      <c r="A3205">
        <v>449146</v>
      </c>
      <c r="B3205">
        <v>4145813</v>
      </c>
      <c r="C3205" s="32">
        <v>43070.610879629632</v>
      </c>
    </row>
    <row r="3206" spans="1:3">
      <c r="A3206">
        <v>528576</v>
      </c>
      <c r="B3206">
        <v>3579754</v>
      </c>
      <c r="C3206" s="32">
        <v>43070.622604166667</v>
      </c>
    </row>
    <row r="3207" spans="1:3">
      <c r="A3207">
        <v>710243</v>
      </c>
      <c r="B3207">
        <v>4512393</v>
      </c>
      <c r="C3207" s="32">
        <v>43070.699178240742</v>
      </c>
    </row>
    <row r="3208" spans="1:3">
      <c r="A3208">
        <v>286465</v>
      </c>
      <c r="B3208">
        <v>3081594</v>
      </c>
      <c r="C3208" s="32">
        <v>43070.041284722225</v>
      </c>
    </row>
    <row r="3209" spans="1:3">
      <c r="A3209">
        <v>641921</v>
      </c>
      <c r="B3209">
        <v>2880419</v>
      </c>
      <c r="C3209" s="32">
        <v>43072.057395833333</v>
      </c>
    </row>
    <row r="3210" spans="1:3">
      <c r="A3210">
        <v>574307</v>
      </c>
      <c r="B3210">
        <v>1127566</v>
      </c>
      <c r="C3210" s="32">
        <v>43069.746793981481</v>
      </c>
    </row>
    <row r="3211" spans="1:3">
      <c r="A3211">
        <v>507266</v>
      </c>
      <c r="B3211">
        <v>2156156</v>
      </c>
      <c r="C3211" s="32">
        <v>43071.467662037037</v>
      </c>
    </row>
    <row r="3212" spans="1:3">
      <c r="A3212">
        <v>845985</v>
      </c>
      <c r="B3212">
        <v>3342150</v>
      </c>
      <c r="C3212" s="32">
        <v>43072.272280092591</v>
      </c>
    </row>
    <row r="3213" spans="1:3">
      <c r="A3213">
        <v>462492</v>
      </c>
      <c r="B3213">
        <v>381850</v>
      </c>
      <c r="C3213" s="32">
        <v>43072.638923611114</v>
      </c>
    </row>
    <row r="3214" spans="1:3">
      <c r="A3214">
        <v>959421</v>
      </c>
      <c r="B3214">
        <v>411153</v>
      </c>
      <c r="C3214" s="32">
        <v>43072.34820601852</v>
      </c>
    </row>
    <row r="3215" spans="1:3">
      <c r="A3215">
        <v>286567</v>
      </c>
      <c r="B3215">
        <v>903809</v>
      </c>
      <c r="C3215" s="32">
        <v>43070.492361111108</v>
      </c>
    </row>
    <row r="3216" spans="1:3">
      <c r="A3216">
        <v>454043</v>
      </c>
      <c r="B3216">
        <v>2640118</v>
      </c>
      <c r="C3216" s="32">
        <v>43072.376516203702</v>
      </c>
    </row>
    <row r="3217" spans="1:3">
      <c r="A3217">
        <v>892067</v>
      </c>
      <c r="B3217">
        <v>1320293</v>
      </c>
      <c r="C3217" s="32">
        <v>43071.436076388891</v>
      </c>
    </row>
    <row r="3218" spans="1:3">
      <c r="A3218">
        <v>373708</v>
      </c>
      <c r="B3218">
        <v>4801426</v>
      </c>
      <c r="C3218" s="32">
        <v>43071.108124999999</v>
      </c>
    </row>
    <row r="3219" spans="1:3">
      <c r="A3219">
        <v>164906</v>
      </c>
      <c r="B3219">
        <v>1859277</v>
      </c>
      <c r="C3219" s="32">
        <v>43072.134710648148</v>
      </c>
    </row>
    <row r="3220" spans="1:3">
      <c r="A3220">
        <v>523102</v>
      </c>
      <c r="B3220">
        <v>410749</v>
      </c>
      <c r="C3220" s="32">
        <v>43071.660868055558</v>
      </c>
    </row>
    <row r="3221" spans="1:3">
      <c r="A3221">
        <v>1006084</v>
      </c>
      <c r="B3221">
        <v>982926</v>
      </c>
      <c r="C3221" s="32">
        <v>43072.418113425927</v>
      </c>
    </row>
    <row r="3222" spans="1:3">
      <c r="A3222">
        <v>363941</v>
      </c>
      <c r="B3222">
        <v>2465336</v>
      </c>
      <c r="C3222" s="32">
        <v>43072.586226851854</v>
      </c>
    </row>
    <row r="3223" spans="1:3">
      <c r="A3223">
        <v>269551</v>
      </c>
      <c r="B3223">
        <v>431452</v>
      </c>
      <c r="C3223" s="32">
        <v>43070.166041666664</v>
      </c>
    </row>
    <row r="3224" spans="1:3">
      <c r="A3224">
        <v>693226</v>
      </c>
      <c r="B3224">
        <v>4238676</v>
      </c>
      <c r="C3224" s="32">
        <v>43070.467893518522</v>
      </c>
    </row>
    <row r="3225" spans="1:3">
      <c r="A3225">
        <v>896075</v>
      </c>
      <c r="B3225">
        <v>2920476</v>
      </c>
      <c r="C3225" s="32">
        <v>43070.662499999999</v>
      </c>
    </row>
    <row r="3226" spans="1:3">
      <c r="A3226">
        <v>44232</v>
      </c>
      <c r="B3226">
        <v>4022701</v>
      </c>
      <c r="C3226" s="32">
        <v>43070.623067129629</v>
      </c>
    </row>
    <row r="3227" spans="1:3">
      <c r="A3227">
        <v>706001</v>
      </c>
      <c r="B3227">
        <v>1397912</v>
      </c>
      <c r="C3227" s="32">
        <v>43072.491631944446</v>
      </c>
    </row>
    <row r="3228" spans="1:3">
      <c r="A3228">
        <v>8774</v>
      </c>
      <c r="B3228">
        <v>4869428</v>
      </c>
      <c r="C3228" s="32">
        <v>43071.544988425929</v>
      </c>
    </row>
    <row r="3229" spans="1:3">
      <c r="A3229">
        <v>55810</v>
      </c>
      <c r="B3229">
        <v>3904106</v>
      </c>
      <c r="C3229" s="32">
        <v>43071.162708333337</v>
      </c>
    </row>
    <row r="3230" spans="1:3">
      <c r="A3230">
        <v>777880</v>
      </c>
      <c r="B3230">
        <v>3740459</v>
      </c>
      <c r="C3230" s="32">
        <v>43071.310023148151</v>
      </c>
    </row>
    <row r="3231" spans="1:3">
      <c r="A3231">
        <v>621205</v>
      </c>
      <c r="B3231">
        <v>401357</v>
      </c>
      <c r="C3231" s="32">
        <v>43071.795520833337</v>
      </c>
    </row>
    <row r="3232" spans="1:3">
      <c r="A3232">
        <v>955698</v>
      </c>
      <c r="B3232">
        <v>4757812</v>
      </c>
      <c r="C3232" s="32">
        <v>43071.583402777775</v>
      </c>
    </row>
    <row r="3233" spans="1:3">
      <c r="A3233">
        <v>958843</v>
      </c>
      <c r="B3233">
        <v>4173539</v>
      </c>
      <c r="C3233" s="32">
        <v>43071.475949074076</v>
      </c>
    </row>
    <row r="3234" spans="1:3">
      <c r="A3234">
        <v>416594</v>
      </c>
      <c r="B3234">
        <v>3500710</v>
      </c>
      <c r="C3234" s="32">
        <v>43071.373483796298</v>
      </c>
    </row>
    <row r="3235" spans="1:3">
      <c r="A3235">
        <v>557123</v>
      </c>
      <c r="B3235">
        <v>3898483</v>
      </c>
      <c r="C3235" s="32">
        <v>43072.40115740741</v>
      </c>
    </row>
    <row r="3236" spans="1:3">
      <c r="A3236">
        <v>278829</v>
      </c>
      <c r="B3236">
        <v>4756105</v>
      </c>
      <c r="C3236" s="32">
        <v>43070.403483796297</v>
      </c>
    </row>
    <row r="3237" spans="1:3">
      <c r="A3237">
        <v>789706</v>
      </c>
      <c r="B3237">
        <v>3645362</v>
      </c>
      <c r="C3237" s="32">
        <v>43072.070173611108</v>
      </c>
    </row>
    <row r="3238" spans="1:3">
      <c r="A3238">
        <v>687189</v>
      </c>
      <c r="B3238">
        <v>2885642</v>
      </c>
      <c r="C3238" s="32">
        <v>43071.339131944442</v>
      </c>
    </row>
    <row r="3239" spans="1:3">
      <c r="A3239">
        <v>892807</v>
      </c>
      <c r="B3239">
        <v>1464116</v>
      </c>
      <c r="C3239" s="32">
        <v>43071.672719907408</v>
      </c>
    </row>
    <row r="3240" spans="1:3">
      <c r="A3240">
        <v>1156</v>
      </c>
      <c r="B3240">
        <v>2858794</v>
      </c>
      <c r="C3240" s="32">
        <v>43072.255057870374</v>
      </c>
    </row>
    <row r="3241" spans="1:3">
      <c r="A3241">
        <v>325008</v>
      </c>
      <c r="B3241">
        <v>4135836</v>
      </c>
      <c r="C3241" s="32">
        <v>43070.608506944445</v>
      </c>
    </row>
    <row r="3242" spans="1:3">
      <c r="A3242">
        <v>132452</v>
      </c>
      <c r="B3242">
        <v>1879194</v>
      </c>
      <c r="C3242" s="32">
        <v>43072.441620370373</v>
      </c>
    </row>
    <row r="3243" spans="1:3">
      <c r="A3243">
        <v>219018</v>
      </c>
      <c r="B3243">
        <v>4936889</v>
      </c>
      <c r="C3243" s="32">
        <v>43070.128946759258</v>
      </c>
    </row>
    <row r="3244" spans="1:3">
      <c r="A3244">
        <v>478771</v>
      </c>
      <c r="B3244">
        <v>3607361</v>
      </c>
      <c r="C3244" s="32">
        <v>43070.591863425929</v>
      </c>
    </row>
    <row r="3245" spans="1:3">
      <c r="A3245">
        <v>635045</v>
      </c>
      <c r="B3245">
        <v>1792277</v>
      </c>
      <c r="C3245" s="32">
        <v>43070.201539351852</v>
      </c>
    </row>
    <row r="3246" spans="1:3">
      <c r="A3246">
        <v>289614</v>
      </c>
      <c r="B3246">
        <v>285583</v>
      </c>
      <c r="C3246" s="32">
        <v>43071.121365740742</v>
      </c>
    </row>
    <row r="3247" spans="1:3">
      <c r="A3247">
        <v>223120</v>
      </c>
      <c r="B3247">
        <v>405755</v>
      </c>
      <c r="C3247" s="32">
        <v>43071.439930555556</v>
      </c>
    </row>
    <row r="3248" spans="1:3">
      <c r="A3248">
        <v>952032</v>
      </c>
      <c r="B3248">
        <v>1029459</v>
      </c>
      <c r="C3248" s="32">
        <v>43070.650509259256</v>
      </c>
    </row>
    <row r="3249" spans="1:3">
      <c r="A3249">
        <v>912208</v>
      </c>
      <c r="B3249">
        <v>3607361</v>
      </c>
      <c r="C3249" s="32">
        <v>43071.319328703707</v>
      </c>
    </row>
    <row r="3250" spans="1:3">
      <c r="A3250">
        <v>675371</v>
      </c>
      <c r="B3250">
        <v>862523</v>
      </c>
      <c r="C3250" s="32">
        <v>43072.326053240744</v>
      </c>
    </row>
    <row r="3251" spans="1:3">
      <c r="A3251">
        <v>374608</v>
      </c>
      <c r="B3251">
        <v>3002561</v>
      </c>
      <c r="C3251" s="32">
        <v>43072.554375</v>
      </c>
    </row>
    <row r="3252" spans="1:3">
      <c r="A3252">
        <v>75527</v>
      </c>
      <c r="B3252">
        <v>1646753</v>
      </c>
      <c r="C3252" s="32">
        <v>43070.616851851853</v>
      </c>
    </row>
    <row r="3253" spans="1:3">
      <c r="A3253">
        <v>231212</v>
      </c>
      <c r="B3253">
        <v>1297992</v>
      </c>
      <c r="C3253" s="32">
        <v>43070.6483912037</v>
      </c>
    </row>
    <row r="3254" spans="1:3">
      <c r="A3254">
        <v>550917</v>
      </c>
      <c r="B3254">
        <v>3904106</v>
      </c>
      <c r="C3254" s="32">
        <v>43072.493159722224</v>
      </c>
    </row>
    <row r="3255" spans="1:3">
      <c r="A3255">
        <v>977190</v>
      </c>
      <c r="B3255">
        <v>2926020</v>
      </c>
      <c r="C3255" s="32">
        <v>43071.662407407406</v>
      </c>
    </row>
    <row r="3256" spans="1:3">
      <c r="A3256">
        <v>728165</v>
      </c>
      <c r="B3256">
        <v>4882154</v>
      </c>
      <c r="C3256" s="32">
        <v>43071.57</v>
      </c>
    </row>
    <row r="3257" spans="1:3">
      <c r="A3257">
        <v>489811</v>
      </c>
      <c r="B3257">
        <v>2945933</v>
      </c>
      <c r="C3257" s="32">
        <v>43071.600578703707</v>
      </c>
    </row>
    <row r="3258" spans="1:3">
      <c r="A3258">
        <v>758850</v>
      </c>
      <c r="B3258">
        <v>2735466</v>
      </c>
      <c r="C3258" s="32">
        <v>43072.51767361111</v>
      </c>
    </row>
    <row r="3259" spans="1:3">
      <c r="A3259">
        <v>964821</v>
      </c>
      <c r="B3259">
        <v>982926</v>
      </c>
      <c r="C3259" s="32">
        <v>43072.09815972222</v>
      </c>
    </row>
    <row r="3260" spans="1:3">
      <c r="A3260">
        <v>670474</v>
      </c>
      <c r="B3260">
        <v>2939262</v>
      </c>
      <c r="C3260" s="32">
        <v>43070.459282407406</v>
      </c>
    </row>
    <row r="3261" spans="1:3">
      <c r="A3261">
        <v>416175</v>
      </c>
      <c r="B3261">
        <v>2667323</v>
      </c>
      <c r="C3261" s="32">
        <v>43071.235081018516</v>
      </c>
    </row>
    <row r="3262" spans="1:3">
      <c r="A3262">
        <v>565361</v>
      </c>
      <c r="B3262">
        <v>154040</v>
      </c>
      <c r="C3262" s="32">
        <v>43070.117997685185</v>
      </c>
    </row>
    <row r="3263" spans="1:3">
      <c r="A3263">
        <v>614815</v>
      </c>
      <c r="B3263">
        <v>873792</v>
      </c>
      <c r="C3263" s="32">
        <v>43071.530046296299</v>
      </c>
    </row>
    <row r="3264" spans="1:3">
      <c r="A3264">
        <v>180125</v>
      </c>
      <c r="B3264">
        <v>4801426</v>
      </c>
      <c r="C3264" s="32">
        <v>43070.569849537038</v>
      </c>
    </row>
    <row r="3265" spans="1:3">
      <c r="A3265">
        <v>11421</v>
      </c>
      <c r="B3265">
        <v>3607361</v>
      </c>
      <c r="C3265" s="32">
        <v>43072.340717592589</v>
      </c>
    </row>
    <row r="3266" spans="1:3">
      <c r="A3266">
        <v>894893</v>
      </c>
      <c r="B3266">
        <v>4181361</v>
      </c>
      <c r="C3266" s="32">
        <v>43070.970914351848</v>
      </c>
    </row>
    <row r="3267" spans="1:3">
      <c r="A3267">
        <v>82233</v>
      </c>
      <c r="B3267">
        <v>4159072</v>
      </c>
      <c r="C3267" s="32">
        <v>43070.526435185187</v>
      </c>
    </row>
    <row r="3268" spans="1:3">
      <c r="A3268">
        <v>85707</v>
      </c>
      <c r="B3268">
        <v>5127795</v>
      </c>
      <c r="C3268" s="32">
        <v>43072.662488425929</v>
      </c>
    </row>
    <row r="3269" spans="1:3">
      <c r="A3269">
        <v>710787</v>
      </c>
      <c r="B3269">
        <v>1029459</v>
      </c>
      <c r="C3269" s="32">
        <v>43071.251539351855</v>
      </c>
    </row>
    <row r="3270" spans="1:3">
      <c r="A3270">
        <v>406004</v>
      </c>
      <c r="B3270">
        <v>4357323</v>
      </c>
      <c r="C3270" s="32">
        <v>43069.997789351852</v>
      </c>
    </row>
    <row r="3271" spans="1:3">
      <c r="A3271">
        <v>397210</v>
      </c>
      <c r="B3271">
        <v>2885642</v>
      </c>
      <c r="C3271" s="32">
        <v>43071.285370370373</v>
      </c>
    </row>
    <row r="3272" spans="1:3">
      <c r="A3272">
        <v>341227</v>
      </c>
      <c r="B3272">
        <v>1953179</v>
      </c>
      <c r="C3272" s="32">
        <v>43070.413923611108</v>
      </c>
    </row>
    <row r="3273" spans="1:3">
      <c r="A3273">
        <v>247109</v>
      </c>
      <c r="B3273">
        <v>2640118</v>
      </c>
      <c r="C3273" s="32">
        <v>43071.382662037038</v>
      </c>
    </row>
    <row r="3274" spans="1:3">
      <c r="A3274">
        <v>350290</v>
      </c>
      <c r="B3274">
        <v>1299190</v>
      </c>
      <c r="C3274" s="32">
        <v>43071.411203703705</v>
      </c>
    </row>
    <row r="3275" spans="1:3">
      <c r="A3275">
        <v>116855</v>
      </c>
      <c r="B3275">
        <v>4756105</v>
      </c>
      <c r="C3275" s="32">
        <v>43070.594351851854</v>
      </c>
    </row>
    <row r="3276" spans="1:3">
      <c r="A3276">
        <v>554079</v>
      </c>
      <c r="B3276">
        <v>149192</v>
      </c>
      <c r="C3276" s="32">
        <v>43071.99050925926</v>
      </c>
    </row>
    <row r="3277" spans="1:3">
      <c r="A3277">
        <v>906160</v>
      </c>
      <c r="B3277">
        <v>4512393</v>
      </c>
      <c r="C3277" s="32">
        <v>43070.503553240742</v>
      </c>
    </row>
    <row r="3278" spans="1:3">
      <c r="A3278">
        <v>914885</v>
      </c>
      <c r="B3278">
        <v>982926</v>
      </c>
      <c r="C3278" s="32">
        <v>43071.959907407407</v>
      </c>
    </row>
    <row r="3279" spans="1:3">
      <c r="A3279">
        <v>30772</v>
      </c>
      <c r="B3279">
        <v>1008362</v>
      </c>
      <c r="C3279" s="32">
        <v>43072.664409722223</v>
      </c>
    </row>
    <row r="3280" spans="1:3">
      <c r="A3280">
        <v>713800</v>
      </c>
      <c r="B3280">
        <v>149192</v>
      </c>
      <c r="C3280" s="32">
        <v>43071.208402777775</v>
      </c>
    </row>
    <row r="3281" spans="1:3">
      <c r="A3281">
        <v>197985</v>
      </c>
      <c r="B3281">
        <v>982926</v>
      </c>
      <c r="C3281" s="32">
        <v>43070.582766203705</v>
      </c>
    </row>
    <row r="3282" spans="1:3">
      <c r="A3282">
        <v>388647</v>
      </c>
      <c r="B3282">
        <v>154040</v>
      </c>
      <c r="C3282" s="32">
        <v>43070.446909722225</v>
      </c>
    </row>
    <row r="3283" spans="1:3">
      <c r="A3283">
        <v>655888</v>
      </c>
      <c r="B3283">
        <v>4181361</v>
      </c>
      <c r="C3283" s="32">
        <v>43071.282962962963</v>
      </c>
    </row>
    <row r="3284" spans="1:3">
      <c r="A3284">
        <v>656602</v>
      </c>
      <c r="B3284">
        <v>550660</v>
      </c>
      <c r="C3284" s="32">
        <v>43071.05127314815</v>
      </c>
    </row>
    <row r="3285" spans="1:3">
      <c r="A3285">
        <v>908069</v>
      </c>
      <c r="B3285">
        <v>3724091</v>
      </c>
      <c r="C3285" s="32">
        <v>43071.322997685187</v>
      </c>
    </row>
    <row r="3286" spans="1:3">
      <c r="A3286">
        <v>961329</v>
      </c>
      <c r="B3286">
        <v>3184456</v>
      </c>
      <c r="C3286" s="32">
        <v>43072.195289351854</v>
      </c>
    </row>
    <row r="3287" spans="1:3">
      <c r="A3287">
        <v>590413</v>
      </c>
      <c r="B3287">
        <v>1464116</v>
      </c>
      <c r="C3287" s="32">
        <v>43072.352060185185</v>
      </c>
    </row>
    <row r="3288" spans="1:3">
      <c r="A3288">
        <v>44346</v>
      </c>
      <c r="B3288">
        <v>1879194</v>
      </c>
      <c r="C3288" s="32">
        <v>43072.584374999999</v>
      </c>
    </row>
    <row r="3289" spans="1:3">
      <c r="A3289">
        <v>373732</v>
      </c>
      <c r="B3289">
        <v>181182</v>
      </c>
      <c r="C3289" s="32">
        <v>43072.233888888892</v>
      </c>
    </row>
    <row r="3290" spans="1:3">
      <c r="A3290">
        <v>844998</v>
      </c>
      <c r="B3290">
        <v>4145813</v>
      </c>
      <c r="C3290" s="32">
        <v>43072.041307870371</v>
      </c>
    </row>
    <row r="3291" spans="1:3">
      <c r="A3291">
        <v>1003900</v>
      </c>
      <c r="B3291">
        <v>4145813</v>
      </c>
      <c r="C3291" s="32">
        <v>43071.279814814814</v>
      </c>
    </row>
    <row r="3292" spans="1:3">
      <c r="A3292">
        <v>486882</v>
      </c>
      <c r="B3292">
        <v>2667323</v>
      </c>
      <c r="C3292" s="32">
        <v>43071.451481481483</v>
      </c>
    </row>
    <row r="3293" spans="1:3">
      <c r="A3293">
        <v>914777</v>
      </c>
      <c r="B3293">
        <v>22257</v>
      </c>
      <c r="C3293" s="32">
        <v>43072.642604166664</v>
      </c>
    </row>
    <row r="3294" spans="1:3">
      <c r="A3294">
        <v>474786</v>
      </c>
      <c r="B3294">
        <v>4801426</v>
      </c>
      <c r="C3294" s="32">
        <v>43071.273090277777</v>
      </c>
    </row>
    <row r="3295" spans="1:3">
      <c r="A3295">
        <v>781549</v>
      </c>
      <c r="B3295">
        <v>2520377</v>
      </c>
      <c r="C3295" s="32">
        <v>43071.663217592592</v>
      </c>
    </row>
    <row r="3296" spans="1:3">
      <c r="A3296">
        <v>1010827</v>
      </c>
      <c r="B3296">
        <v>411153</v>
      </c>
      <c r="C3296" s="32">
        <v>43072.406851851854</v>
      </c>
    </row>
    <row r="3297" spans="1:3">
      <c r="A3297">
        <v>734444</v>
      </c>
      <c r="B3297">
        <v>2230040</v>
      </c>
      <c r="C3297" s="32">
        <v>43071.127939814818</v>
      </c>
    </row>
    <row r="3298" spans="1:3">
      <c r="A3298">
        <v>122586</v>
      </c>
      <c r="B3298">
        <v>4145813</v>
      </c>
      <c r="C3298" s="32">
        <v>43071.409247685187</v>
      </c>
    </row>
    <row r="3299" spans="1:3">
      <c r="A3299">
        <v>783207</v>
      </c>
      <c r="B3299">
        <v>1464116</v>
      </c>
      <c r="C3299" s="32">
        <v>43071.100300925929</v>
      </c>
    </row>
    <row r="3300" spans="1:3">
      <c r="A3300">
        <v>595011</v>
      </c>
      <c r="B3300">
        <v>4217906</v>
      </c>
      <c r="C3300" s="32">
        <v>43070.689097222225</v>
      </c>
    </row>
    <row r="3301" spans="1:3">
      <c r="A3301">
        <v>152978</v>
      </c>
      <c r="B3301">
        <v>924708</v>
      </c>
      <c r="C3301" s="32">
        <v>43070.577303240738</v>
      </c>
    </row>
    <row r="3302" spans="1:3">
      <c r="A3302">
        <v>455754</v>
      </c>
      <c r="B3302">
        <v>5053508</v>
      </c>
      <c r="C3302" s="32">
        <v>43070.535567129627</v>
      </c>
    </row>
    <row r="3303" spans="1:3">
      <c r="A3303">
        <v>239743</v>
      </c>
      <c r="B3303">
        <v>1575622</v>
      </c>
      <c r="C3303" s="32">
        <v>43070.506747685184</v>
      </c>
    </row>
    <row r="3304" spans="1:3">
      <c r="A3304">
        <v>576718</v>
      </c>
      <c r="B3304">
        <v>2939262</v>
      </c>
      <c r="C3304" s="32">
        <v>43070.526319444441</v>
      </c>
    </row>
    <row r="3305" spans="1:3">
      <c r="A3305">
        <v>498219</v>
      </c>
      <c r="B3305">
        <v>4191275</v>
      </c>
      <c r="C3305" s="32">
        <v>43070.502685185187</v>
      </c>
    </row>
    <row r="3306" spans="1:3">
      <c r="A3306">
        <v>579983</v>
      </c>
      <c r="B3306">
        <v>2725426</v>
      </c>
      <c r="C3306" s="32">
        <v>43072.203125</v>
      </c>
    </row>
    <row r="3307" spans="1:3">
      <c r="A3307">
        <v>684826</v>
      </c>
      <c r="B3307">
        <v>4145813</v>
      </c>
      <c r="C3307" s="32">
        <v>43071.6403587963</v>
      </c>
    </row>
    <row r="3308" spans="1:3">
      <c r="A3308">
        <v>123528</v>
      </c>
      <c r="B3308">
        <v>1879194</v>
      </c>
      <c r="C3308" s="32">
        <v>43070.763749999998</v>
      </c>
    </row>
    <row r="3309" spans="1:3">
      <c r="A3309">
        <v>144195</v>
      </c>
      <c r="B3309">
        <v>2342116</v>
      </c>
      <c r="C3309" s="32">
        <v>43071.286412037036</v>
      </c>
    </row>
    <row r="3310" spans="1:3">
      <c r="A3310">
        <v>750296</v>
      </c>
      <c r="B3310">
        <v>411153</v>
      </c>
      <c r="C3310" s="32">
        <v>43070.300428240742</v>
      </c>
    </row>
    <row r="3311" spans="1:3">
      <c r="A3311">
        <v>356611</v>
      </c>
      <c r="B3311">
        <v>4756105</v>
      </c>
      <c r="C3311" s="32">
        <v>43072.573414351849</v>
      </c>
    </row>
    <row r="3312" spans="1:3">
      <c r="A3312">
        <v>167155</v>
      </c>
      <c r="B3312">
        <v>3738615</v>
      </c>
      <c r="C3312" s="32">
        <v>43070.605208333334</v>
      </c>
    </row>
    <row r="3313" spans="1:3">
      <c r="A3313">
        <v>530343</v>
      </c>
      <c r="B3313">
        <v>1080785</v>
      </c>
      <c r="C3313" s="32">
        <v>43072.44730324074</v>
      </c>
    </row>
    <row r="3314" spans="1:3">
      <c r="A3314">
        <v>242633</v>
      </c>
      <c r="B3314">
        <v>4756105</v>
      </c>
      <c r="C3314" s="32">
        <v>43071.286215277774</v>
      </c>
    </row>
    <row r="3315" spans="1:3">
      <c r="A3315">
        <v>820913</v>
      </c>
      <c r="B3315">
        <v>3277224</v>
      </c>
      <c r="C3315" s="32">
        <v>43072.585439814815</v>
      </c>
    </row>
    <row r="3316" spans="1:3">
      <c r="A3316">
        <v>711232</v>
      </c>
      <c r="B3316">
        <v>1397912</v>
      </c>
      <c r="C3316" s="32">
        <v>43070.006643518522</v>
      </c>
    </row>
    <row r="3317" spans="1:3">
      <c r="A3317">
        <v>726443</v>
      </c>
      <c r="B3317">
        <v>2735466</v>
      </c>
      <c r="C3317" s="32">
        <v>43072.400833333333</v>
      </c>
    </row>
    <row r="3318" spans="1:3">
      <c r="A3318">
        <v>594783</v>
      </c>
      <c r="B3318">
        <v>1575622</v>
      </c>
      <c r="C3318" s="32">
        <v>43070.579710648148</v>
      </c>
    </row>
    <row r="3319" spans="1:3">
      <c r="A3319">
        <v>897142</v>
      </c>
      <c r="B3319">
        <v>4801426</v>
      </c>
      <c r="C3319" s="32">
        <v>43070.380567129629</v>
      </c>
    </row>
    <row r="3320" spans="1:3">
      <c r="A3320">
        <v>116202</v>
      </c>
      <c r="B3320">
        <v>3002561</v>
      </c>
      <c r="C3320" s="32">
        <v>43069.82298611111</v>
      </c>
    </row>
    <row r="3321" spans="1:3">
      <c r="A3321">
        <v>637281</v>
      </c>
      <c r="B3321">
        <v>4188178</v>
      </c>
      <c r="C3321" s="32">
        <v>43071.561979166669</v>
      </c>
    </row>
    <row r="3322" spans="1:3">
      <c r="A3322">
        <v>828903</v>
      </c>
      <c r="B3322">
        <v>3002561</v>
      </c>
      <c r="C3322" s="32">
        <v>43071.629074074073</v>
      </c>
    </row>
    <row r="3323" spans="1:3">
      <c r="A3323">
        <v>138022</v>
      </c>
      <c r="B3323">
        <v>2013864</v>
      </c>
      <c r="C3323" s="32">
        <v>43072.103645833333</v>
      </c>
    </row>
    <row r="3324" spans="1:3">
      <c r="A3324">
        <v>242167</v>
      </c>
      <c r="B3324">
        <v>2520377</v>
      </c>
      <c r="C3324" s="32">
        <v>43072.074016203704</v>
      </c>
    </row>
    <row r="3325" spans="1:3">
      <c r="A3325">
        <v>280401</v>
      </c>
      <c r="B3325">
        <v>801221</v>
      </c>
      <c r="C3325" s="32">
        <v>43070.659930555557</v>
      </c>
    </row>
    <row r="3326" spans="1:3">
      <c r="A3326">
        <v>420480</v>
      </c>
      <c r="B3326">
        <v>4690421</v>
      </c>
      <c r="C3326" s="32">
        <v>43071.502650462964</v>
      </c>
    </row>
    <row r="3327" spans="1:3">
      <c r="A3327">
        <v>544925</v>
      </c>
      <c r="B3327">
        <v>3002561</v>
      </c>
      <c r="C3327" s="32">
        <v>43071.664548611108</v>
      </c>
    </row>
    <row r="3328" spans="1:3">
      <c r="A3328">
        <v>644785</v>
      </c>
      <c r="B3328">
        <v>2158870</v>
      </c>
      <c r="C3328" s="32">
        <v>43070.566342592596</v>
      </c>
    </row>
    <row r="3329" spans="1:3">
      <c r="A3329">
        <v>563420</v>
      </c>
      <c r="B3329">
        <v>3607361</v>
      </c>
      <c r="C3329" s="32">
        <v>43070.392685185187</v>
      </c>
    </row>
    <row r="3330" spans="1:3">
      <c r="A3330">
        <v>68916</v>
      </c>
      <c r="B3330">
        <v>982926</v>
      </c>
      <c r="C3330" s="32">
        <v>43070.602048611108</v>
      </c>
    </row>
    <row r="3331" spans="1:3">
      <c r="A3331">
        <v>516283</v>
      </c>
      <c r="B3331">
        <v>359388</v>
      </c>
      <c r="C3331" s="32">
        <v>43072.122685185182</v>
      </c>
    </row>
    <row r="3332" spans="1:3">
      <c r="A3332">
        <v>76479</v>
      </c>
      <c r="B3332">
        <v>285583</v>
      </c>
      <c r="C3332" s="32">
        <v>43070.131724537037</v>
      </c>
    </row>
    <row r="3333" spans="1:3">
      <c r="A3333">
        <v>599088</v>
      </c>
      <c r="B3333">
        <v>1216617</v>
      </c>
      <c r="C3333" s="32">
        <v>43070.233495370368</v>
      </c>
    </row>
    <row r="3334" spans="1:3">
      <c r="A3334">
        <v>525039</v>
      </c>
      <c r="B3334">
        <v>4145813</v>
      </c>
      <c r="C3334" s="32">
        <v>43071.56386574074</v>
      </c>
    </row>
    <row r="3335" spans="1:3">
      <c r="A3335">
        <v>126698</v>
      </c>
      <c r="B3335">
        <v>4756105</v>
      </c>
      <c r="C3335" s="32">
        <v>43071.484988425924</v>
      </c>
    </row>
    <row r="3336" spans="1:3">
      <c r="A3336">
        <v>66005</v>
      </c>
      <c r="B3336">
        <v>4829449</v>
      </c>
      <c r="C3336" s="32">
        <v>43070.844178240739</v>
      </c>
    </row>
    <row r="3337" spans="1:3">
      <c r="A3337">
        <v>337619</v>
      </c>
      <c r="B3337">
        <v>235534</v>
      </c>
      <c r="C3337" s="32">
        <v>43072.264907407407</v>
      </c>
    </row>
    <row r="3338" spans="1:3">
      <c r="A3338">
        <v>226312</v>
      </c>
      <c r="B3338">
        <v>2465336</v>
      </c>
      <c r="C3338" s="32">
        <v>43070.651909722219</v>
      </c>
    </row>
    <row r="3339" spans="1:3">
      <c r="A3339">
        <v>398691</v>
      </c>
      <c r="B3339">
        <v>1216617</v>
      </c>
      <c r="C3339" s="32">
        <v>43072.465648148151</v>
      </c>
    </row>
    <row r="3340" spans="1:3">
      <c r="A3340">
        <v>834302</v>
      </c>
      <c r="B3340">
        <v>2572604</v>
      </c>
      <c r="C3340" s="32">
        <v>43071.556516203702</v>
      </c>
    </row>
    <row r="3341" spans="1:3">
      <c r="A3341">
        <v>730993</v>
      </c>
      <c r="B3341">
        <v>411153</v>
      </c>
      <c r="C3341" s="32">
        <v>43071.637696759259</v>
      </c>
    </row>
    <row r="3342" spans="1:3">
      <c r="A3342">
        <v>327312</v>
      </c>
      <c r="B3342">
        <v>4756105</v>
      </c>
      <c r="C3342" s="32">
        <v>43072.358495370368</v>
      </c>
    </row>
    <row r="3343" spans="1:3">
      <c r="A3343">
        <v>701042</v>
      </c>
      <c r="B3343">
        <v>1008362</v>
      </c>
      <c r="C3343" s="32">
        <v>43070.585023148145</v>
      </c>
    </row>
    <row r="3344" spans="1:3">
      <c r="A3344">
        <v>709280</v>
      </c>
      <c r="B3344">
        <v>1050007</v>
      </c>
      <c r="C3344" s="32">
        <v>43072.011608796296</v>
      </c>
    </row>
    <row r="3345" spans="1:3">
      <c r="A3345">
        <v>514778</v>
      </c>
      <c r="B3345">
        <v>1575622</v>
      </c>
      <c r="C3345" s="32">
        <v>43072.091064814813</v>
      </c>
    </row>
    <row r="3346" spans="1:3">
      <c r="A3346">
        <v>810866</v>
      </c>
      <c r="B3346">
        <v>2926020</v>
      </c>
      <c r="C3346" s="32">
        <v>43071.219780092593</v>
      </c>
    </row>
    <row r="3347" spans="1:3">
      <c r="A3347">
        <v>666758</v>
      </c>
      <c r="B3347">
        <v>3776866</v>
      </c>
      <c r="C3347" s="32">
        <v>43070.522245370368</v>
      </c>
    </row>
    <row r="3348" spans="1:3">
      <c r="A3348">
        <v>571475</v>
      </c>
      <c r="B3348">
        <v>2465336</v>
      </c>
      <c r="C3348" s="32">
        <v>43072.644733796296</v>
      </c>
    </row>
    <row r="3349" spans="1:3">
      <c r="A3349">
        <v>322121</v>
      </c>
      <c r="B3349">
        <v>4276787</v>
      </c>
      <c r="C3349" s="32">
        <v>43071.588368055556</v>
      </c>
    </row>
    <row r="3350" spans="1:3">
      <c r="A3350">
        <v>571488</v>
      </c>
      <c r="B3350">
        <v>1119378</v>
      </c>
      <c r="C3350" s="32">
        <v>43072.339259259257</v>
      </c>
    </row>
    <row r="3351" spans="1:3">
      <c r="A3351">
        <v>810583</v>
      </c>
      <c r="B3351">
        <v>3645362</v>
      </c>
      <c r="C3351" s="32">
        <v>43072.244525462964</v>
      </c>
    </row>
    <row r="3352" spans="1:3">
      <c r="A3352">
        <v>929910</v>
      </c>
      <c r="B3352">
        <v>4918438</v>
      </c>
      <c r="C3352" s="32">
        <v>43071.554988425924</v>
      </c>
    </row>
    <row r="3353" spans="1:3">
      <c r="A3353">
        <v>935433</v>
      </c>
      <c r="B3353">
        <v>4882154</v>
      </c>
      <c r="C3353" s="32">
        <v>43069.989652777775</v>
      </c>
    </row>
    <row r="3354" spans="1:3">
      <c r="A3354">
        <v>269804</v>
      </c>
      <c r="B3354">
        <v>4653800</v>
      </c>
      <c r="C3354" s="32">
        <v>43070.508634259262</v>
      </c>
    </row>
    <row r="3355" spans="1:3">
      <c r="A3355">
        <v>825344</v>
      </c>
      <c r="B3355">
        <v>4145813</v>
      </c>
      <c r="C3355" s="32">
        <v>43070.686701388891</v>
      </c>
    </row>
    <row r="3356" spans="1:3">
      <c r="A3356">
        <v>81415</v>
      </c>
      <c r="B3356">
        <v>846990</v>
      </c>
      <c r="C3356" s="32">
        <v>43071.618437500001</v>
      </c>
    </row>
    <row r="3357" spans="1:3">
      <c r="A3357">
        <v>62978</v>
      </c>
      <c r="B3357">
        <v>174239</v>
      </c>
      <c r="C3357" s="32">
        <v>43070.272314814814</v>
      </c>
    </row>
    <row r="3358" spans="1:3">
      <c r="A3358">
        <v>551050</v>
      </c>
      <c r="B3358">
        <v>2939262</v>
      </c>
      <c r="C3358" s="32">
        <v>43071.586157407408</v>
      </c>
    </row>
    <row r="3359" spans="1:3">
      <c r="A3359">
        <v>576355</v>
      </c>
      <c r="B3359">
        <v>267209</v>
      </c>
      <c r="C3359" s="32">
        <v>43072.557673611111</v>
      </c>
    </row>
    <row r="3360" spans="1:3">
      <c r="A3360">
        <v>729587</v>
      </c>
      <c r="B3360">
        <v>1320293</v>
      </c>
      <c r="C3360" s="32">
        <v>43071.667453703703</v>
      </c>
    </row>
    <row r="3361" spans="1:3">
      <c r="A3361">
        <v>574515</v>
      </c>
      <c r="B3361">
        <v>2520377</v>
      </c>
      <c r="C3361" s="32">
        <v>43072.039398148147</v>
      </c>
    </row>
    <row r="3362" spans="1:3">
      <c r="A3362">
        <v>725645</v>
      </c>
      <c r="B3362">
        <v>4069500</v>
      </c>
      <c r="C3362" s="32">
        <v>43071.17019675926</v>
      </c>
    </row>
    <row r="3363" spans="1:3">
      <c r="A3363">
        <v>796670</v>
      </c>
      <c r="B3363">
        <v>2872443</v>
      </c>
      <c r="C3363" s="32">
        <v>43070.463136574072</v>
      </c>
    </row>
    <row r="3364" spans="1:3">
      <c r="A3364">
        <v>564914</v>
      </c>
      <c r="B3364">
        <v>874415</v>
      </c>
      <c r="C3364" s="32">
        <v>43072.622303240743</v>
      </c>
    </row>
    <row r="3365" spans="1:3">
      <c r="A3365">
        <v>148324</v>
      </c>
      <c r="B3365">
        <v>4756105</v>
      </c>
      <c r="C3365" s="32">
        <v>43070.489027777781</v>
      </c>
    </row>
    <row r="3366" spans="1:3">
      <c r="A3366">
        <v>306770</v>
      </c>
      <c r="B3366">
        <v>154040</v>
      </c>
      <c r="C3366" s="32">
        <v>43072.592499999999</v>
      </c>
    </row>
    <row r="3367" spans="1:3">
      <c r="A3367">
        <v>946610</v>
      </c>
      <c r="B3367">
        <v>4801426</v>
      </c>
      <c r="C3367" s="32">
        <v>43071.469837962963</v>
      </c>
    </row>
    <row r="3368" spans="1:3">
      <c r="A3368">
        <v>913769</v>
      </c>
      <c r="B3368">
        <v>4145813</v>
      </c>
      <c r="C3368" s="32">
        <v>43072.342627314814</v>
      </c>
    </row>
    <row r="3369" spans="1:3">
      <c r="A3369">
        <v>920093</v>
      </c>
      <c r="B3369">
        <v>1349561</v>
      </c>
      <c r="C3369" s="32">
        <v>43071.656736111108</v>
      </c>
    </row>
    <row r="3370" spans="1:3">
      <c r="A3370">
        <v>991883</v>
      </c>
      <c r="B3370">
        <v>4801426</v>
      </c>
      <c r="C3370" s="32">
        <v>43072.040960648148</v>
      </c>
    </row>
    <row r="3371" spans="1:3">
      <c r="A3371">
        <v>544839</v>
      </c>
      <c r="B3371">
        <v>4789432</v>
      </c>
      <c r="C3371" s="32">
        <v>43072.545057870368</v>
      </c>
    </row>
    <row r="3372" spans="1:3">
      <c r="A3372">
        <v>802308</v>
      </c>
      <c r="B3372">
        <v>796856</v>
      </c>
      <c r="C3372" s="32">
        <v>43072.622893518521</v>
      </c>
    </row>
    <row r="3373" spans="1:3">
      <c r="A3373">
        <v>146856</v>
      </c>
      <c r="B3373">
        <v>2520377</v>
      </c>
      <c r="C3373" s="32">
        <v>43070.648773148147</v>
      </c>
    </row>
    <row r="3374" spans="1:3">
      <c r="A3374">
        <v>934816</v>
      </c>
      <c r="B3374">
        <v>2520377</v>
      </c>
      <c r="C3374" s="32">
        <v>43071.381215277775</v>
      </c>
    </row>
    <row r="3375" spans="1:3">
      <c r="A3375">
        <v>863792</v>
      </c>
      <c r="B3375">
        <v>1879194</v>
      </c>
      <c r="C3375" s="32">
        <v>43070.223379629628</v>
      </c>
    </row>
    <row r="3376" spans="1:3">
      <c r="A3376">
        <v>728397</v>
      </c>
      <c r="B3376">
        <v>4801426</v>
      </c>
      <c r="C3376" s="32">
        <v>43072.458749999998</v>
      </c>
    </row>
    <row r="3377" spans="1:3">
      <c r="A3377">
        <v>465521</v>
      </c>
      <c r="B3377">
        <v>903809</v>
      </c>
      <c r="C3377" s="32">
        <v>43072.604097222225</v>
      </c>
    </row>
    <row r="3378" spans="1:3">
      <c r="A3378">
        <v>337613</v>
      </c>
      <c r="B3378">
        <v>1320293</v>
      </c>
      <c r="C3378" s="32">
        <v>43072.380011574074</v>
      </c>
    </row>
    <row r="3379" spans="1:3">
      <c r="A3379">
        <v>98557</v>
      </c>
      <c r="B3379">
        <v>2735466</v>
      </c>
      <c r="C3379" s="32">
        <v>43069.968368055554</v>
      </c>
    </row>
    <row r="3380" spans="1:3">
      <c r="A3380">
        <v>475562</v>
      </c>
      <c r="B3380">
        <v>982926</v>
      </c>
      <c r="C3380" s="32">
        <v>43072.648460648146</v>
      </c>
    </row>
    <row r="3381" spans="1:3">
      <c r="A3381">
        <v>476303</v>
      </c>
      <c r="B3381">
        <v>3002561</v>
      </c>
      <c r="C3381" s="32">
        <v>43072.458078703705</v>
      </c>
    </row>
    <row r="3382" spans="1:3">
      <c r="A3382">
        <v>27864</v>
      </c>
      <c r="B3382">
        <v>3299155</v>
      </c>
      <c r="C3382" s="32">
        <v>43072.642129629632</v>
      </c>
    </row>
    <row r="3383" spans="1:3">
      <c r="A3383">
        <v>238545</v>
      </c>
      <c r="B3383">
        <v>1080785</v>
      </c>
      <c r="C3383" s="32">
        <v>43072.160439814812</v>
      </c>
    </row>
    <row r="3384" spans="1:3">
      <c r="A3384">
        <v>545620</v>
      </c>
      <c r="B3384">
        <v>1879194</v>
      </c>
      <c r="C3384" s="32">
        <v>43071.25545138889</v>
      </c>
    </row>
    <row r="3385" spans="1:3">
      <c r="A3385">
        <v>986189</v>
      </c>
      <c r="B3385">
        <v>2409937</v>
      </c>
      <c r="C3385" s="32">
        <v>43071.859143518515</v>
      </c>
    </row>
    <row r="3386" spans="1:3">
      <c r="A3386">
        <v>892060</v>
      </c>
      <c r="B3386">
        <v>2640118</v>
      </c>
      <c r="C3386" s="32">
        <v>43072.082592592589</v>
      </c>
    </row>
    <row r="3387" spans="1:3">
      <c r="A3387">
        <v>411948</v>
      </c>
      <c r="B3387">
        <v>1654824</v>
      </c>
      <c r="C3387" s="32">
        <v>43070.613321759258</v>
      </c>
    </row>
    <row r="3388" spans="1:3">
      <c r="A3388">
        <v>79149</v>
      </c>
      <c r="B3388">
        <v>4145813</v>
      </c>
      <c r="C3388" s="32">
        <v>43072.630381944444</v>
      </c>
    </row>
    <row r="3389" spans="1:3">
      <c r="A3389">
        <v>37489</v>
      </c>
      <c r="B3389">
        <v>4082778</v>
      </c>
      <c r="C3389" s="32">
        <v>43071.565162037034</v>
      </c>
    </row>
    <row r="3390" spans="1:3">
      <c r="A3390">
        <v>220243</v>
      </c>
      <c r="B3390">
        <v>4357323</v>
      </c>
      <c r="C3390" s="32">
        <v>43071.69635416667</v>
      </c>
    </row>
    <row r="3391" spans="1:3">
      <c r="A3391">
        <v>978552</v>
      </c>
      <c r="B3391">
        <v>2735466</v>
      </c>
      <c r="C3391" s="32">
        <v>43072.23709490741</v>
      </c>
    </row>
    <row r="3392" spans="1:3">
      <c r="A3392">
        <v>958108</v>
      </c>
      <c r="B3392">
        <v>3740459</v>
      </c>
      <c r="C3392" s="32">
        <v>43072.469560185185</v>
      </c>
    </row>
    <row r="3393" spans="1:3">
      <c r="A3393">
        <v>392426</v>
      </c>
      <c r="B3393">
        <v>3224824</v>
      </c>
      <c r="C3393" s="32">
        <v>43071.137106481481</v>
      </c>
    </row>
    <row r="3394" spans="1:3">
      <c r="A3394">
        <v>92751</v>
      </c>
      <c r="B3394">
        <v>4993094</v>
      </c>
      <c r="C3394" s="32">
        <v>43072.118055555555</v>
      </c>
    </row>
    <row r="3395" spans="1:3">
      <c r="A3395">
        <v>922057</v>
      </c>
      <c r="B3395">
        <v>3747017</v>
      </c>
      <c r="C3395" s="32">
        <v>43070.579548611109</v>
      </c>
    </row>
    <row r="3396" spans="1:3">
      <c r="A3396">
        <v>1006682</v>
      </c>
      <c r="B3396">
        <v>4222383</v>
      </c>
      <c r="C3396" s="32">
        <v>43071.25068287037</v>
      </c>
    </row>
    <row r="3397" spans="1:3">
      <c r="A3397">
        <v>418983</v>
      </c>
      <c r="B3397">
        <v>801221</v>
      </c>
      <c r="C3397" s="32">
        <v>43072.624340277776</v>
      </c>
    </row>
    <row r="3398" spans="1:3">
      <c r="A3398">
        <v>156326</v>
      </c>
      <c r="B3398">
        <v>4217906</v>
      </c>
      <c r="C3398" s="32">
        <v>43071.250659722224</v>
      </c>
    </row>
    <row r="3399" spans="1:3">
      <c r="A3399">
        <v>466377</v>
      </c>
      <c r="B3399">
        <v>4222240</v>
      </c>
      <c r="C3399" s="32">
        <v>43070.17015046296</v>
      </c>
    </row>
    <row r="3400" spans="1:3">
      <c r="A3400">
        <v>92784</v>
      </c>
      <c r="B3400">
        <v>4096107</v>
      </c>
      <c r="C3400" s="32">
        <v>43072.127939814818</v>
      </c>
    </row>
    <row r="3401" spans="1:3">
      <c r="A3401">
        <v>819028</v>
      </c>
      <c r="B3401">
        <v>4756105</v>
      </c>
      <c r="C3401" s="32">
        <v>43072.557673611111</v>
      </c>
    </row>
    <row r="3402" spans="1:3">
      <c r="A3402">
        <v>664221</v>
      </c>
      <c r="B3402">
        <v>4358294</v>
      </c>
      <c r="C3402" s="32">
        <v>43071.609212962961</v>
      </c>
    </row>
    <row r="3403" spans="1:3">
      <c r="A3403">
        <v>3850</v>
      </c>
      <c r="B3403">
        <v>3231625</v>
      </c>
      <c r="C3403" s="32">
        <v>43070.58216435185</v>
      </c>
    </row>
    <row r="3404" spans="1:3">
      <c r="A3404">
        <v>447896</v>
      </c>
      <c r="B3404">
        <v>2920476</v>
      </c>
      <c r="C3404" s="32">
        <v>43070.166446759256</v>
      </c>
    </row>
    <row r="3405" spans="1:3">
      <c r="A3405">
        <v>161876</v>
      </c>
      <c r="B3405">
        <v>1104592</v>
      </c>
      <c r="C3405" s="32">
        <v>43070.622604166667</v>
      </c>
    </row>
    <row r="3406" spans="1:3">
      <c r="A3406">
        <v>420980</v>
      </c>
      <c r="B3406">
        <v>2465336</v>
      </c>
      <c r="C3406" s="32">
        <v>43072.588877314818</v>
      </c>
    </row>
    <row r="3407" spans="1:3">
      <c r="A3407">
        <v>121855</v>
      </c>
      <c r="B3407">
        <v>2735466</v>
      </c>
      <c r="C3407" s="32">
        <v>43072.167766203704</v>
      </c>
    </row>
    <row r="3408" spans="1:3">
      <c r="A3408">
        <v>75131</v>
      </c>
      <c r="B3408">
        <v>2778281</v>
      </c>
      <c r="C3408" s="32">
        <v>43070.382638888892</v>
      </c>
    </row>
    <row r="3409" spans="1:3">
      <c r="A3409">
        <v>269010</v>
      </c>
      <c r="B3409">
        <v>2815065</v>
      </c>
      <c r="C3409" s="32">
        <v>43072.623807870368</v>
      </c>
    </row>
    <row r="3410" spans="1:3">
      <c r="A3410">
        <v>767435</v>
      </c>
      <c r="B3410">
        <v>149192</v>
      </c>
      <c r="C3410" s="32">
        <v>43072.528981481482</v>
      </c>
    </row>
    <row r="3411" spans="1:3">
      <c r="A3411">
        <v>887516</v>
      </c>
      <c r="B3411">
        <v>3855599</v>
      </c>
      <c r="C3411" s="32">
        <v>43072.606261574074</v>
      </c>
    </row>
    <row r="3412" spans="1:3">
      <c r="A3412">
        <v>692513</v>
      </c>
      <c r="B3412">
        <v>2558244</v>
      </c>
      <c r="C3412" s="32">
        <v>43071.514201388891</v>
      </c>
    </row>
    <row r="3413" spans="1:3">
      <c r="A3413">
        <v>754891</v>
      </c>
      <c r="B3413">
        <v>562852</v>
      </c>
      <c r="C3413" s="32">
        <v>43072.637662037036</v>
      </c>
    </row>
    <row r="3414" spans="1:3">
      <c r="A3414">
        <v>129169</v>
      </c>
      <c r="B3414">
        <v>3065645</v>
      </c>
      <c r="C3414" s="32">
        <v>43069.899467592593</v>
      </c>
    </row>
    <row r="3415" spans="1:3">
      <c r="A3415">
        <v>250066</v>
      </c>
      <c r="B3415">
        <v>3277224</v>
      </c>
      <c r="C3415" s="32">
        <v>43070.532083333332</v>
      </c>
    </row>
    <row r="3416" spans="1:3">
      <c r="A3416">
        <v>72197</v>
      </c>
      <c r="B3416">
        <v>1431810</v>
      </c>
      <c r="C3416" s="32">
        <v>43071.256412037037</v>
      </c>
    </row>
    <row r="3417" spans="1:3">
      <c r="A3417">
        <v>557837</v>
      </c>
      <c r="B3417">
        <v>171529</v>
      </c>
      <c r="C3417" s="32">
        <v>43070.68072916667</v>
      </c>
    </row>
    <row r="3418" spans="1:3">
      <c r="A3418">
        <v>351348</v>
      </c>
      <c r="B3418">
        <v>2892802</v>
      </c>
      <c r="C3418" s="32">
        <v>43071.969918981478</v>
      </c>
    </row>
    <row r="3419" spans="1:3">
      <c r="A3419">
        <v>996319</v>
      </c>
      <c r="B3419">
        <v>2735466</v>
      </c>
      <c r="C3419" s="32">
        <v>43072.459131944444</v>
      </c>
    </row>
    <row r="3420" spans="1:3">
      <c r="A3420">
        <v>845969</v>
      </c>
      <c r="B3420">
        <v>154040</v>
      </c>
      <c r="C3420" s="32">
        <v>43070.735277777778</v>
      </c>
    </row>
    <row r="3421" spans="1:3">
      <c r="A3421">
        <v>589381</v>
      </c>
      <c r="B3421">
        <v>102272</v>
      </c>
      <c r="C3421" s="32">
        <v>43070.037048611113</v>
      </c>
    </row>
    <row r="3422" spans="1:3">
      <c r="A3422">
        <v>315286</v>
      </c>
      <c r="B3422">
        <v>4145813</v>
      </c>
      <c r="C3422" s="32">
        <v>43072.108229166668</v>
      </c>
    </row>
    <row r="3423" spans="1:3">
      <c r="A3423">
        <v>868487</v>
      </c>
      <c r="B3423">
        <v>801221</v>
      </c>
      <c r="C3423" s="32">
        <v>43071.379756944443</v>
      </c>
    </row>
    <row r="3424" spans="1:3">
      <c r="A3424">
        <v>578906</v>
      </c>
      <c r="B3424">
        <v>4145813</v>
      </c>
      <c r="C3424" s="32">
        <v>43072.433425925927</v>
      </c>
    </row>
    <row r="3425" spans="1:3">
      <c r="A3425">
        <v>783041</v>
      </c>
      <c r="B3425">
        <v>4756105</v>
      </c>
      <c r="C3425" s="32">
        <v>43071.287546296298</v>
      </c>
    </row>
    <row r="3426" spans="1:3">
      <c r="A3426">
        <v>842233</v>
      </c>
      <c r="B3426">
        <v>583014</v>
      </c>
      <c r="C3426" s="32">
        <v>43071.439722222225</v>
      </c>
    </row>
    <row r="3427" spans="1:3">
      <c r="A3427">
        <v>256647</v>
      </c>
      <c r="B3427">
        <v>3459562</v>
      </c>
      <c r="C3427" s="32">
        <v>43071.045289351852</v>
      </c>
    </row>
    <row r="3428" spans="1:3">
      <c r="A3428">
        <v>70983</v>
      </c>
      <c r="B3428">
        <v>846990</v>
      </c>
      <c r="C3428" s="32">
        <v>43071.05678240741</v>
      </c>
    </row>
    <row r="3429" spans="1:3">
      <c r="A3429">
        <v>580308</v>
      </c>
      <c r="B3429">
        <v>3855599</v>
      </c>
      <c r="C3429" s="32">
        <v>43071.576701388891</v>
      </c>
    </row>
    <row r="3430" spans="1:3">
      <c r="A3430">
        <v>668861</v>
      </c>
      <c r="B3430">
        <v>4145813</v>
      </c>
      <c r="C3430" s="32">
        <v>43071.49732638889</v>
      </c>
    </row>
    <row r="3431" spans="1:3">
      <c r="A3431">
        <v>235264</v>
      </c>
      <c r="B3431">
        <v>1216617</v>
      </c>
      <c r="C3431" s="32">
        <v>43071.959502314814</v>
      </c>
    </row>
    <row r="3432" spans="1:3">
      <c r="A3432">
        <v>392719</v>
      </c>
      <c r="B3432">
        <v>1299190</v>
      </c>
      <c r="C3432" s="32">
        <v>43072.425532407404</v>
      </c>
    </row>
    <row r="3433" spans="1:3">
      <c r="A3433">
        <v>734296</v>
      </c>
      <c r="B3433">
        <v>1859277</v>
      </c>
      <c r="C3433" s="32">
        <v>43072.565960648149</v>
      </c>
    </row>
    <row r="3434" spans="1:3">
      <c r="A3434">
        <v>428292</v>
      </c>
      <c r="B3434">
        <v>3975787</v>
      </c>
      <c r="C3434" s="32">
        <v>43071.594189814816</v>
      </c>
    </row>
    <row r="3435" spans="1:3">
      <c r="A3435">
        <v>550197</v>
      </c>
      <c r="B3435">
        <v>2321441</v>
      </c>
      <c r="C3435" s="32">
        <v>43069.666909722226</v>
      </c>
    </row>
    <row r="3436" spans="1:3">
      <c r="A3436">
        <v>995149</v>
      </c>
      <c r="B3436">
        <v>1689624</v>
      </c>
      <c r="C3436" s="32">
        <v>43071.305312500001</v>
      </c>
    </row>
    <row r="3437" spans="1:3">
      <c r="A3437">
        <v>811009</v>
      </c>
      <c r="B3437">
        <v>2920476</v>
      </c>
      <c r="C3437" s="32">
        <v>43070.552453703705</v>
      </c>
    </row>
    <row r="3438" spans="1:3">
      <c r="A3438">
        <v>684794</v>
      </c>
      <c r="B3438">
        <v>4606718</v>
      </c>
      <c r="C3438" s="32">
        <v>43071.697442129633</v>
      </c>
    </row>
    <row r="3439" spans="1:3">
      <c r="A3439">
        <v>939797</v>
      </c>
      <c r="B3439">
        <v>2735466</v>
      </c>
      <c r="C3439" s="32">
        <v>43071.27715277778</v>
      </c>
    </row>
    <row r="3440" spans="1:3">
      <c r="A3440">
        <v>360345</v>
      </c>
      <c r="B3440">
        <v>4956748</v>
      </c>
      <c r="C3440" s="32">
        <v>43070.782627314817</v>
      </c>
    </row>
    <row r="3441" spans="1:3">
      <c r="A3441">
        <v>5552</v>
      </c>
      <c r="B3441">
        <v>2096639</v>
      </c>
      <c r="C3441" s="32">
        <v>43071.572453703702</v>
      </c>
    </row>
    <row r="3442" spans="1:3">
      <c r="A3442">
        <v>480031</v>
      </c>
      <c r="B3442">
        <v>2465336</v>
      </c>
      <c r="C3442" s="32">
        <v>43072.099756944444</v>
      </c>
    </row>
    <row r="3443" spans="1:3">
      <c r="A3443">
        <v>269122</v>
      </c>
      <c r="B3443">
        <v>1611144</v>
      </c>
      <c r="C3443" s="32">
        <v>43070.404999999999</v>
      </c>
    </row>
    <row r="3444" spans="1:3">
      <c r="A3444">
        <v>651819</v>
      </c>
      <c r="B3444">
        <v>1973012</v>
      </c>
      <c r="C3444" s="32">
        <v>43070.458402777775</v>
      </c>
    </row>
    <row r="3445" spans="1:3">
      <c r="A3445">
        <v>32024</v>
      </c>
      <c r="B3445">
        <v>2361828</v>
      </c>
      <c r="C3445" s="32">
        <v>43070.100821759261</v>
      </c>
    </row>
    <row r="3446" spans="1:3">
      <c r="A3446">
        <v>622633</v>
      </c>
      <c r="B3446">
        <v>2939262</v>
      </c>
      <c r="C3446" s="32">
        <v>43071.670324074075</v>
      </c>
    </row>
    <row r="3447" spans="1:3">
      <c r="A3447">
        <v>425159</v>
      </c>
      <c r="B3447">
        <v>4145813</v>
      </c>
      <c r="C3447" s="32">
        <v>43072.5940625</v>
      </c>
    </row>
    <row r="3448" spans="1:3">
      <c r="A3448">
        <v>989958</v>
      </c>
      <c r="B3448">
        <v>4901188</v>
      </c>
      <c r="C3448" s="32">
        <v>43071.424675925926</v>
      </c>
    </row>
    <row r="3449" spans="1:3">
      <c r="A3449">
        <v>876315</v>
      </c>
      <c r="B3449">
        <v>2465336</v>
      </c>
      <c r="C3449" s="32">
        <v>43072.013958333337</v>
      </c>
    </row>
    <row r="3450" spans="1:3">
      <c r="A3450">
        <v>940740</v>
      </c>
      <c r="B3450">
        <v>2806049</v>
      </c>
      <c r="C3450" s="32">
        <v>43070.546550925923</v>
      </c>
    </row>
    <row r="3451" spans="1:3">
      <c r="A3451">
        <v>287401</v>
      </c>
      <c r="B3451">
        <v>2558244</v>
      </c>
      <c r="C3451" s="32">
        <v>43070.422627314816</v>
      </c>
    </row>
    <row r="3452" spans="1:3">
      <c r="A3452">
        <v>104013</v>
      </c>
      <c r="B3452">
        <v>4145813</v>
      </c>
      <c r="C3452" s="32">
        <v>43072.563043981485</v>
      </c>
    </row>
    <row r="3453" spans="1:3">
      <c r="A3453">
        <v>255277</v>
      </c>
      <c r="B3453">
        <v>4148053</v>
      </c>
      <c r="C3453" s="32">
        <v>43071.691111111111</v>
      </c>
    </row>
    <row r="3454" spans="1:3">
      <c r="A3454">
        <v>683758</v>
      </c>
      <c r="B3454">
        <v>2617994</v>
      </c>
      <c r="C3454" s="32">
        <v>43071.633831018517</v>
      </c>
    </row>
    <row r="3455" spans="1:3">
      <c r="A3455">
        <v>274045</v>
      </c>
      <c r="B3455">
        <v>1080785</v>
      </c>
      <c r="C3455" s="32">
        <v>43070.096689814818</v>
      </c>
    </row>
    <row r="3456" spans="1:3">
      <c r="A3456">
        <v>512579</v>
      </c>
      <c r="B3456">
        <v>2158079</v>
      </c>
      <c r="C3456" s="32">
        <v>43071.623969907407</v>
      </c>
    </row>
    <row r="3457" spans="1:3">
      <c r="A3457">
        <v>532566</v>
      </c>
      <c r="B3457">
        <v>2926020</v>
      </c>
      <c r="C3457" s="32">
        <v>43070.393912037034</v>
      </c>
    </row>
    <row r="3458" spans="1:3">
      <c r="A3458">
        <v>404237</v>
      </c>
      <c r="B3458">
        <v>883960</v>
      </c>
      <c r="C3458" s="32">
        <v>43072.05746527778</v>
      </c>
    </row>
    <row r="3459" spans="1:3">
      <c r="A3459">
        <v>424340</v>
      </c>
      <c r="B3459">
        <v>3002561</v>
      </c>
      <c r="C3459" s="32">
        <v>43070.55263888889</v>
      </c>
    </row>
    <row r="3460" spans="1:3">
      <c r="A3460">
        <v>638968</v>
      </c>
      <c r="B3460">
        <v>2553450</v>
      </c>
      <c r="C3460" s="32">
        <v>43070.708703703705</v>
      </c>
    </row>
    <row r="3461" spans="1:3">
      <c r="A3461">
        <v>837197</v>
      </c>
      <c r="B3461">
        <v>2304296</v>
      </c>
      <c r="C3461" s="32">
        <v>43070.673159722224</v>
      </c>
    </row>
    <row r="3462" spans="1:3">
      <c r="A3462">
        <v>1016594</v>
      </c>
      <c r="B3462">
        <v>2926020</v>
      </c>
      <c r="C3462" s="32">
        <v>43070.608738425923</v>
      </c>
    </row>
    <row r="3463" spans="1:3">
      <c r="A3463">
        <v>508022</v>
      </c>
      <c r="B3463">
        <v>2735466</v>
      </c>
      <c r="C3463" s="32">
        <v>43070.179131944446</v>
      </c>
    </row>
    <row r="3464" spans="1:3">
      <c r="A3464">
        <v>487526</v>
      </c>
      <c r="B3464">
        <v>941949</v>
      </c>
      <c r="C3464" s="32">
        <v>43072.076574074075</v>
      </c>
    </row>
    <row r="3465" spans="1:3">
      <c r="A3465">
        <v>549757</v>
      </c>
      <c r="B3465">
        <v>154040</v>
      </c>
      <c r="C3465" s="32">
        <v>43070.328414351854</v>
      </c>
    </row>
    <row r="3466" spans="1:3">
      <c r="A3466">
        <v>59299</v>
      </c>
      <c r="B3466">
        <v>4801426</v>
      </c>
      <c r="C3466" s="32">
        <v>43071.572708333333</v>
      </c>
    </row>
    <row r="3467" spans="1:3">
      <c r="A3467">
        <v>321119</v>
      </c>
      <c r="B3467">
        <v>1859277</v>
      </c>
      <c r="C3467" s="32">
        <v>43072.586145833331</v>
      </c>
    </row>
    <row r="3468" spans="1:3">
      <c r="A3468">
        <v>591306</v>
      </c>
      <c r="B3468">
        <v>4357323</v>
      </c>
      <c r="C3468" s="32">
        <v>43071.079398148147</v>
      </c>
    </row>
    <row r="3469" spans="1:3">
      <c r="A3469">
        <v>894088</v>
      </c>
      <c r="B3469">
        <v>323851</v>
      </c>
      <c r="C3469" s="32">
        <v>43071.361793981479</v>
      </c>
    </row>
    <row r="3470" spans="1:3">
      <c r="A3470">
        <v>733872</v>
      </c>
      <c r="B3470">
        <v>2885642</v>
      </c>
      <c r="C3470" s="32">
        <v>43072.307708333334</v>
      </c>
    </row>
    <row r="3471" spans="1:3">
      <c r="A3471">
        <v>205696</v>
      </c>
      <c r="B3471">
        <v>982926</v>
      </c>
      <c r="C3471" s="32">
        <v>43070.63989583333</v>
      </c>
    </row>
    <row r="3472" spans="1:3">
      <c r="A3472">
        <v>114972</v>
      </c>
      <c r="B3472">
        <v>1488813</v>
      </c>
      <c r="C3472" s="32">
        <v>43071.460613425923</v>
      </c>
    </row>
    <row r="3473" spans="1:3">
      <c r="A3473">
        <v>618895</v>
      </c>
      <c r="B3473">
        <v>3299155</v>
      </c>
      <c r="C3473" s="32">
        <v>43072.020856481482</v>
      </c>
    </row>
    <row r="3474" spans="1:3">
      <c r="A3474">
        <v>690311</v>
      </c>
      <c r="B3474">
        <v>4069500</v>
      </c>
      <c r="C3474" s="32">
        <v>43072.556608796294</v>
      </c>
    </row>
    <row r="3475" spans="1:3">
      <c r="A3475">
        <v>499750</v>
      </c>
      <c r="B3475">
        <v>3002561</v>
      </c>
      <c r="C3475" s="32">
        <v>43071.066134259258</v>
      </c>
    </row>
    <row r="3476" spans="1:3">
      <c r="A3476">
        <v>28814</v>
      </c>
      <c r="B3476">
        <v>1320293</v>
      </c>
      <c r="C3476" s="32">
        <v>43071.253055555557</v>
      </c>
    </row>
    <row r="3477" spans="1:3">
      <c r="A3477">
        <v>795162</v>
      </c>
      <c r="B3477">
        <v>3738615</v>
      </c>
      <c r="C3477" s="32">
        <v>43072.265347222223</v>
      </c>
    </row>
    <row r="3478" spans="1:3">
      <c r="A3478">
        <v>740855</v>
      </c>
      <c r="B3478">
        <v>1320293</v>
      </c>
      <c r="C3478" s="32">
        <v>43071.291759259257</v>
      </c>
    </row>
    <row r="3479" spans="1:3">
      <c r="A3479">
        <v>731562</v>
      </c>
      <c r="B3479">
        <v>4918438</v>
      </c>
      <c r="C3479" s="32">
        <v>43071.602384259262</v>
      </c>
    </row>
    <row r="3480" spans="1:3">
      <c r="A3480">
        <v>647561</v>
      </c>
      <c r="B3480">
        <v>2748804</v>
      </c>
      <c r="C3480" s="32">
        <v>43070.538900462961</v>
      </c>
    </row>
    <row r="3481" spans="1:3">
      <c r="A3481">
        <v>847311</v>
      </c>
      <c r="B3481">
        <v>2735466</v>
      </c>
      <c r="C3481" s="32">
        <v>43071.532847222225</v>
      </c>
    </row>
    <row r="3482" spans="1:3">
      <c r="A3482">
        <v>174566</v>
      </c>
      <c r="B3482">
        <v>1045172</v>
      </c>
      <c r="C3482" s="32">
        <v>43071.140185185184</v>
      </c>
    </row>
    <row r="3483" spans="1:3">
      <c r="A3483">
        <v>261017</v>
      </c>
      <c r="B3483">
        <v>3002561</v>
      </c>
      <c r="C3483" s="32">
        <v>43070.320138888892</v>
      </c>
    </row>
    <row r="3484" spans="1:3">
      <c r="A3484">
        <v>920132</v>
      </c>
      <c r="B3484">
        <v>570735</v>
      </c>
      <c r="C3484" s="32">
        <v>43072.613078703704</v>
      </c>
    </row>
    <row r="3485" spans="1:3">
      <c r="A3485">
        <v>673162</v>
      </c>
      <c r="B3485">
        <v>3855599</v>
      </c>
      <c r="C3485" s="32">
        <v>43071.541377314818</v>
      </c>
    </row>
    <row r="3486" spans="1:3">
      <c r="A3486">
        <v>934775</v>
      </c>
      <c r="B3486">
        <v>3975787</v>
      </c>
      <c r="C3486" s="32">
        <v>43071.648541666669</v>
      </c>
    </row>
    <row r="3487" spans="1:3">
      <c r="A3487">
        <v>141348</v>
      </c>
      <c r="B3487">
        <v>245312</v>
      </c>
      <c r="C3487" s="32">
        <v>43070.578576388885</v>
      </c>
    </row>
    <row r="3488" spans="1:3">
      <c r="A3488">
        <v>379712</v>
      </c>
      <c r="B3488">
        <v>866301</v>
      </c>
      <c r="C3488" s="32">
        <v>43070.657048611109</v>
      </c>
    </row>
    <row r="3489" spans="1:3">
      <c r="A3489">
        <v>709092</v>
      </c>
      <c r="B3489">
        <v>954435</v>
      </c>
      <c r="C3489" s="32">
        <v>43071.504641203705</v>
      </c>
    </row>
    <row r="3490" spans="1:3">
      <c r="A3490">
        <v>671703</v>
      </c>
      <c r="B3490">
        <v>3645362</v>
      </c>
      <c r="C3490" s="32">
        <v>43072.328136574077</v>
      </c>
    </row>
    <row r="3491" spans="1:3">
      <c r="A3491">
        <v>683758</v>
      </c>
      <c r="B3491">
        <v>2940518</v>
      </c>
      <c r="C3491" s="32">
        <v>43071.619513888887</v>
      </c>
    </row>
    <row r="3492" spans="1:3">
      <c r="A3492">
        <v>134174</v>
      </c>
      <c r="B3492">
        <v>3404739</v>
      </c>
      <c r="C3492" s="32">
        <v>43070.371828703705</v>
      </c>
    </row>
    <row r="3493" spans="1:3">
      <c r="A3493">
        <v>112973</v>
      </c>
      <c r="B3493">
        <v>4756105</v>
      </c>
      <c r="C3493" s="32">
        <v>43070.375937500001</v>
      </c>
    </row>
    <row r="3494" spans="1:3">
      <c r="A3494">
        <v>561050</v>
      </c>
      <c r="B3494">
        <v>801221</v>
      </c>
      <c r="C3494" s="32">
        <v>43072.263124999998</v>
      </c>
    </row>
    <row r="3495" spans="1:3">
      <c r="A3495">
        <v>524386</v>
      </c>
      <c r="B3495">
        <v>1414043</v>
      </c>
      <c r="C3495" s="32">
        <v>43070.0312962963</v>
      </c>
    </row>
    <row r="3496" spans="1:3">
      <c r="A3496">
        <v>550109</v>
      </c>
      <c r="B3496">
        <v>3404739</v>
      </c>
      <c r="C3496" s="32">
        <v>43071.651053240741</v>
      </c>
    </row>
    <row r="3497" spans="1:3">
      <c r="A3497">
        <v>734942</v>
      </c>
      <c r="B3497">
        <v>154040</v>
      </c>
      <c r="C3497" s="32">
        <v>43072.125428240739</v>
      </c>
    </row>
    <row r="3498" spans="1:3">
      <c r="A3498">
        <v>103860</v>
      </c>
      <c r="B3498">
        <v>1530704</v>
      </c>
      <c r="C3498" s="32">
        <v>43071.58630787037</v>
      </c>
    </row>
    <row r="3499" spans="1:3">
      <c r="A3499">
        <v>200262</v>
      </c>
      <c r="B3499">
        <v>3002561</v>
      </c>
      <c r="C3499" s="32">
        <v>43072.139039351852</v>
      </c>
    </row>
    <row r="3500" spans="1:3">
      <c r="A3500">
        <v>557631</v>
      </c>
      <c r="B3500">
        <v>3002561</v>
      </c>
      <c r="C3500" s="32">
        <v>43071.475173611114</v>
      </c>
    </row>
    <row r="3501" spans="1:3">
      <c r="A3501">
        <v>532589</v>
      </c>
      <c r="B3501">
        <v>4756105</v>
      </c>
      <c r="C3501" s="32">
        <v>43072.510393518518</v>
      </c>
    </row>
    <row r="3502" spans="1:3">
      <c r="A3502">
        <v>148894</v>
      </c>
      <c r="B3502">
        <v>2615163</v>
      </c>
      <c r="C3502" s="32">
        <v>43071.354513888888</v>
      </c>
    </row>
    <row r="3503" spans="1:3">
      <c r="A3503">
        <v>105917</v>
      </c>
      <c r="B3503">
        <v>4756105</v>
      </c>
      <c r="C3503" s="32">
        <v>43072.086539351854</v>
      </c>
    </row>
    <row r="3504" spans="1:3">
      <c r="A3504">
        <v>566047</v>
      </c>
      <c r="B3504">
        <v>4780547</v>
      </c>
      <c r="C3504" s="32">
        <v>43071.214421296296</v>
      </c>
    </row>
    <row r="3505" spans="1:3">
      <c r="A3505">
        <v>467254</v>
      </c>
      <c r="B3505">
        <v>384755</v>
      </c>
      <c r="C3505" s="32">
        <v>43071.241388888891</v>
      </c>
    </row>
    <row r="3506" spans="1:3">
      <c r="A3506">
        <v>651549</v>
      </c>
      <c r="B3506">
        <v>411153</v>
      </c>
      <c r="C3506" s="32">
        <v>43072.444872685184</v>
      </c>
    </row>
    <row r="3507" spans="1:3">
      <c r="A3507">
        <v>681965</v>
      </c>
      <c r="B3507">
        <v>1464116</v>
      </c>
      <c r="C3507" s="32">
        <v>43071.455405092594</v>
      </c>
    </row>
    <row r="3508" spans="1:3">
      <c r="A3508">
        <v>184719</v>
      </c>
      <c r="B3508">
        <v>2465336</v>
      </c>
      <c r="C3508" s="32">
        <v>43071.461412037039</v>
      </c>
    </row>
    <row r="3509" spans="1:3">
      <c r="A3509">
        <v>56125</v>
      </c>
      <c r="B3509">
        <v>569703</v>
      </c>
      <c r="C3509" s="32">
        <v>43070.271701388891</v>
      </c>
    </row>
    <row r="3510" spans="1:3">
      <c r="A3510">
        <v>497054</v>
      </c>
      <c r="B3510">
        <v>4919077</v>
      </c>
      <c r="C3510" s="32">
        <v>43071.192175925928</v>
      </c>
    </row>
    <row r="3511" spans="1:3">
      <c r="A3511">
        <v>676586</v>
      </c>
      <c r="B3511">
        <v>1575622</v>
      </c>
      <c r="C3511" s="32">
        <v>43069.925462962965</v>
      </c>
    </row>
    <row r="3512" spans="1:3">
      <c r="A3512">
        <v>762936</v>
      </c>
      <c r="B3512">
        <v>4170419</v>
      </c>
      <c r="C3512" s="32">
        <v>43070.030729166669</v>
      </c>
    </row>
    <row r="3513" spans="1:3">
      <c r="A3513">
        <v>822855</v>
      </c>
      <c r="B3513">
        <v>2520377</v>
      </c>
      <c r="C3513" s="32">
        <v>43071.586898148147</v>
      </c>
    </row>
    <row r="3514" spans="1:3">
      <c r="A3514">
        <v>70253</v>
      </c>
      <c r="B3514">
        <v>4756105</v>
      </c>
      <c r="C3514" s="32">
        <v>43072.641041666669</v>
      </c>
    </row>
    <row r="3515" spans="1:3">
      <c r="A3515">
        <v>22441</v>
      </c>
      <c r="B3515">
        <v>2465336</v>
      </c>
      <c r="C3515" s="32">
        <v>43071.116805555554</v>
      </c>
    </row>
    <row r="3516" spans="1:3">
      <c r="A3516">
        <v>572070</v>
      </c>
      <c r="B3516">
        <v>1416713</v>
      </c>
      <c r="C3516" s="32">
        <v>43072.385057870371</v>
      </c>
    </row>
    <row r="3517" spans="1:3">
      <c r="A3517">
        <v>483452</v>
      </c>
      <c r="B3517">
        <v>1787510</v>
      </c>
      <c r="C3517" s="32">
        <v>43072.559108796297</v>
      </c>
    </row>
    <row r="3518" spans="1:3">
      <c r="A3518">
        <v>819132</v>
      </c>
      <c r="B3518">
        <v>4756105</v>
      </c>
      <c r="C3518" s="32">
        <v>43071.578229166669</v>
      </c>
    </row>
    <row r="3519" spans="1:3">
      <c r="A3519">
        <v>921973</v>
      </c>
      <c r="B3519">
        <v>2465336</v>
      </c>
      <c r="C3519" s="32">
        <v>43071.642893518518</v>
      </c>
    </row>
    <row r="3520" spans="1:3">
      <c r="A3520">
        <v>905265</v>
      </c>
      <c r="B3520">
        <v>1548278</v>
      </c>
      <c r="C3520" s="32">
        <v>43071.561608796299</v>
      </c>
    </row>
    <row r="3521" spans="1:3">
      <c r="A3521">
        <v>213026</v>
      </c>
      <c r="B3521">
        <v>4170419</v>
      </c>
      <c r="C3521" s="32">
        <v>43072.455752314818</v>
      </c>
    </row>
    <row r="3522" spans="1:3">
      <c r="A3522">
        <v>481234</v>
      </c>
      <c r="B3522">
        <v>3844144</v>
      </c>
      <c r="C3522" s="32">
        <v>43072.131921296299</v>
      </c>
    </row>
    <row r="3523" spans="1:3">
      <c r="A3523">
        <v>530317</v>
      </c>
      <c r="B3523">
        <v>965809</v>
      </c>
      <c r="C3523" s="32">
        <v>43072.500775462962</v>
      </c>
    </row>
    <row r="3524" spans="1:3">
      <c r="A3524">
        <v>720666</v>
      </c>
      <c r="B3524">
        <v>146830</v>
      </c>
      <c r="C3524" s="32">
        <v>43071.580254629633</v>
      </c>
    </row>
    <row r="3525" spans="1:3">
      <c r="A3525">
        <v>805695</v>
      </c>
      <c r="B3525">
        <v>2033408</v>
      </c>
      <c r="C3525" s="32">
        <v>43070.213020833333</v>
      </c>
    </row>
    <row r="3526" spans="1:3">
      <c r="A3526">
        <v>230464</v>
      </c>
      <c r="B3526">
        <v>1320293</v>
      </c>
      <c r="C3526" s="32">
        <v>43070.552743055552</v>
      </c>
    </row>
    <row r="3527" spans="1:3">
      <c r="A3527">
        <v>985901</v>
      </c>
      <c r="B3527">
        <v>1733868</v>
      </c>
      <c r="C3527" s="32">
        <v>43072.60527777778</v>
      </c>
    </row>
    <row r="3528" spans="1:3">
      <c r="A3528">
        <v>19025</v>
      </c>
      <c r="B3528">
        <v>283109</v>
      </c>
      <c r="C3528" s="32">
        <v>43071.130439814813</v>
      </c>
    </row>
    <row r="3529" spans="1:3">
      <c r="A3529">
        <v>73271</v>
      </c>
      <c r="B3529">
        <v>4690421</v>
      </c>
      <c r="C3529" s="32">
        <v>43072.310763888891</v>
      </c>
    </row>
    <row r="3530" spans="1:3">
      <c r="A3530">
        <v>559452</v>
      </c>
      <c r="B3530">
        <v>4756105</v>
      </c>
      <c r="C3530" s="32">
        <v>43070.244722222225</v>
      </c>
    </row>
    <row r="3531" spans="1:3">
      <c r="A3531">
        <v>188793</v>
      </c>
      <c r="B3531">
        <v>1299190</v>
      </c>
      <c r="C3531" s="32">
        <v>43071.61010416667</v>
      </c>
    </row>
    <row r="3532" spans="1:3">
      <c r="A3532">
        <v>254964</v>
      </c>
      <c r="B3532">
        <v>1575622</v>
      </c>
      <c r="C3532" s="32">
        <v>43070.095891203702</v>
      </c>
    </row>
    <row r="3533" spans="1:3">
      <c r="A3533">
        <v>7855</v>
      </c>
      <c r="B3533">
        <v>3299155</v>
      </c>
      <c r="C3533" s="32">
        <v>43071.475694444445</v>
      </c>
    </row>
    <row r="3534" spans="1:3">
      <c r="A3534">
        <v>616607</v>
      </c>
      <c r="B3534">
        <v>570735</v>
      </c>
      <c r="C3534" s="32">
        <v>43070.582962962966</v>
      </c>
    </row>
    <row r="3535" spans="1:3">
      <c r="A3535">
        <v>4839</v>
      </c>
      <c r="B3535">
        <v>3738615</v>
      </c>
      <c r="C3535" s="32">
        <v>43071.24181712963</v>
      </c>
    </row>
    <row r="3536" spans="1:3">
      <c r="A3536">
        <v>84706</v>
      </c>
      <c r="B3536">
        <v>321567</v>
      </c>
      <c r="C3536" s="32">
        <v>43071.676423611112</v>
      </c>
    </row>
    <row r="3537" spans="1:3">
      <c r="A3537">
        <v>192902</v>
      </c>
      <c r="B3537">
        <v>3926800</v>
      </c>
      <c r="C3537" s="32">
        <v>43071.817245370374</v>
      </c>
    </row>
    <row r="3538" spans="1:3">
      <c r="A3538">
        <v>427673</v>
      </c>
      <c r="B3538">
        <v>4163659</v>
      </c>
      <c r="C3538" s="32">
        <v>43072.605694444443</v>
      </c>
    </row>
    <row r="3539" spans="1:3">
      <c r="A3539">
        <v>809401</v>
      </c>
      <c r="B3539">
        <v>2085893</v>
      </c>
      <c r="C3539" s="32">
        <v>43072.13957175926</v>
      </c>
    </row>
    <row r="3540" spans="1:3">
      <c r="A3540">
        <v>805848</v>
      </c>
      <c r="B3540">
        <v>3343024</v>
      </c>
      <c r="C3540" s="32">
        <v>43070.663437499999</v>
      </c>
    </row>
    <row r="3541" spans="1:3">
      <c r="A3541">
        <v>291341</v>
      </c>
      <c r="B3541">
        <v>1125862</v>
      </c>
      <c r="C3541" s="32">
        <v>43070.215601851851</v>
      </c>
    </row>
    <row r="3542" spans="1:3">
      <c r="A3542">
        <v>274099</v>
      </c>
      <c r="B3542">
        <v>3848953</v>
      </c>
      <c r="C3542" s="32">
        <v>43071.32916666667</v>
      </c>
    </row>
    <row r="3543" spans="1:3">
      <c r="A3543">
        <v>616342</v>
      </c>
      <c r="B3543">
        <v>4756105</v>
      </c>
      <c r="C3543" s="32">
        <v>43070.633067129631</v>
      </c>
    </row>
    <row r="3544" spans="1:3">
      <c r="A3544">
        <v>390022</v>
      </c>
      <c r="B3544">
        <v>2465336</v>
      </c>
      <c r="C3544" s="32">
        <v>43071.335844907408</v>
      </c>
    </row>
    <row r="3545" spans="1:3">
      <c r="A3545">
        <v>281799</v>
      </c>
      <c r="B3545">
        <v>4756105</v>
      </c>
      <c r="C3545" s="32">
        <v>43071.481828703705</v>
      </c>
    </row>
    <row r="3546" spans="1:3">
      <c r="A3546">
        <v>537969</v>
      </c>
      <c r="B3546">
        <v>4756105</v>
      </c>
      <c r="C3546" s="32">
        <v>43070.247615740744</v>
      </c>
    </row>
    <row r="3547" spans="1:3">
      <c r="A3547">
        <v>42306</v>
      </c>
      <c r="B3547">
        <v>3065645</v>
      </c>
      <c r="C3547" s="32">
        <v>43072.072766203702</v>
      </c>
    </row>
    <row r="3548" spans="1:3">
      <c r="A3548">
        <v>562342</v>
      </c>
      <c r="B3548">
        <v>1320293</v>
      </c>
      <c r="C3548" s="32">
        <v>43071.656307870369</v>
      </c>
    </row>
    <row r="3549" spans="1:3">
      <c r="A3549">
        <v>246439</v>
      </c>
      <c r="B3549">
        <v>4756105</v>
      </c>
      <c r="C3549" s="32">
        <v>43072.070775462962</v>
      </c>
    </row>
    <row r="3550" spans="1:3">
      <c r="A3550">
        <v>237379</v>
      </c>
      <c r="B3550">
        <v>4756105</v>
      </c>
      <c r="C3550" s="32">
        <v>43070.602141203701</v>
      </c>
    </row>
    <row r="3551" spans="1:3">
      <c r="A3551">
        <v>846590</v>
      </c>
      <c r="B3551">
        <v>3673501</v>
      </c>
      <c r="C3551" s="32">
        <v>43069.693865740737</v>
      </c>
    </row>
    <row r="3552" spans="1:3">
      <c r="A3552">
        <v>286298</v>
      </c>
      <c r="B3552">
        <v>1724559</v>
      </c>
      <c r="C3552" s="32">
        <v>43072.143425925926</v>
      </c>
    </row>
    <row r="3553" spans="1:3">
      <c r="A3553">
        <v>76479</v>
      </c>
      <c r="B3553">
        <v>381850</v>
      </c>
      <c r="C3553" s="32">
        <v>43070.128206018519</v>
      </c>
    </row>
    <row r="3554" spans="1:3">
      <c r="A3554">
        <v>819087</v>
      </c>
      <c r="B3554">
        <v>1299190</v>
      </c>
      <c r="C3554" s="32">
        <v>43071.288124999999</v>
      </c>
    </row>
    <row r="3555" spans="1:3">
      <c r="A3555">
        <v>681983</v>
      </c>
      <c r="B3555">
        <v>1467750</v>
      </c>
      <c r="C3555" s="32">
        <v>43072.562337962961</v>
      </c>
    </row>
    <row r="3556" spans="1:3">
      <c r="A3556">
        <v>713573</v>
      </c>
      <c r="B3556">
        <v>570735</v>
      </c>
      <c r="C3556" s="32">
        <v>43071.488703703704</v>
      </c>
    </row>
    <row r="3557" spans="1:3">
      <c r="A3557">
        <v>724228</v>
      </c>
      <c r="B3557">
        <v>2355072</v>
      </c>
      <c r="C3557" s="32">
        <v>43072.119305555556</v>
      </c>
    </row>
    <row r="3558" spans="1:3">
      <c r="A3558">
        <v>707424</v>
      </c>
      <c r="B3558">
        <v>4145813</v>
      </c>
      <c r="C3558" s="32">
        <v>43072.395428240743</v>
      </c>
    </row>
    <row r="3559" spans="1:3">
      <c r="A3559">
        <v>59978</v>
      </c>
      <c r="B3559">
        <v>1789614</v>
      </c>
      <c r="C3559" s="32">
        <v>43070.516331018516</v>
      </c>
    </row>
    <row r="3560" spans="1:3">
      <c r="A3560">
        <v>689397</v>
      </c>
      <c r="B3560">
        <v>5071267</v>
      </c>
      <c r="C3560" s="32">
        <v>43071.515960648147</v>
      </c>
    </row>
    <row r="3561" spans="1:3">
      <c r="A3561">
        <v>273077</v>
      </c>
      <c r="B3561">
        <v>149192</v>
      </c>
      <c r="C3561" s="32">
        <v>43071.544641203705</v>
      </c>
    </row>
    <row r="3562" spans="1:3">
      <c r="A3562">
        <v>36959</v>
      </c>
      <c r="B3562">
        <v>1320293</v>
      </c>
      <c r="C3562" s="32">
        <v>43072.299166666664</v>
      </c>
    </row>
    <row r="3563" spans="1:3">
      <c r="A3563">
        <v>161308</v>
      </c>
      <c r="B3563">
        <v>982926</v>
      </c>
      <c r="C3563" s="32">
        <v>43071.530034722222</v>
      </c>
    </row>
    <row r="3564" spans="1:3">
      <c r="A3564">
        <v>842882</v>
      </c>
      <c r="B3564">
        <v>1379146</v>
      </c>
      <c r="C3564" s="32">
        <v>43072.362638888888</v>
      </c>
    </row>
    <row r="3565" spans="1:3">
      <c r="A3565">
        <v>456665</v>
      </c>
      <c r="B3565">
        <v>321567</v>
      </c>
      <c r="C3565" s="32">
        <v>43071.615393518521</v>
      </c>
    </row>
    <row r="3566" spans="1:3">
      <c r="A3566">
        <v>708369</v>
      </c>
      <c r="B3566">
        <v>4145813</v>
      </c>
      <c r="C3566" s="32">
        <v>43072.575925925928</v>
      </c>
    </row>
    <row r="3567" spans="1:3">
      <c r="A3567">
        <v>329771</v>
      </c>
      <c r="B3567">
        <v>2578647</v>
      </c>
      <c r="C3567" s="32">
        <v>43070.11991898148</v>
      </c>
    </row>
    <row r="3568" spans="1:3">
      <c r="A3568">
        <v>164414</v>
      </c>
      <c r="B3568">
        <v>2920476</v>
      </c>
      <c r="C3568" s="32">
        <v>43071.54210648148</v>
      </c>
    </row>
    <row r="3569" spans="1:3">
      <c r="A3569">
        <v>493606</v>
      </c>
      <c r="B3569">
        <v>2465336</v>
      </c>
      <c r="C3569" s="32">
        <v>43071.216238425928</v>
      </c>
    </row>
    <row r="3570" spans="1:3">
      <c r="A3570">
        <v>681652</v>
      </c>
      <c r="B3570">
        <v>4357323</v>
      </c>
      <c r="C3570" s="32">
        <v>43070.778726851851</v>
      </c>
    </row>
    <row r="3571" spans="1:3">
      <c r="A3571">
        <v>44643</v>
      </c>
      <c r="B3571">
        <v>1575622</v>
      </c>
      <c r="C3571" s="32">
        <v>43072.35229166667</v>
      </c>
    </row>
    <row r="3572" spans="1:3">
      <c r="A3572">
        <v>34008</v>
      </c>
      <c r="B3572">
        <v>1397912</v>
      </c>
      <c r="C3572" s="32">
        <v>43071.619201388887</v>
      </c>
    </row>
    <row r="3573" spans="1:3">
      <c r="A3573">
        <v>721260</v>
      </c>
      <c r="B3573">
        <v>3738615</v>
      </c>
      <c r="C3573" s="32">
        <v>43071.500636574077</v>
      </c>
    </row>
    <row r="3574" spans="1:3">
      <c r="A3574">
        <v>554509</v>
      </c>
      <c r="B3574">
        <v>3673049</v>
      </c>
      <c r="C3574" s="32">
        <v>43072.438298611109</v>
      </c>
    </row>
    <row r="3575" spans="1:3">
      <c r="A3575">
        <v>972118</v>
      </c>
      <c r="B3575">
        <v>4357323</v>
      </c>
      <c r="C3575" s="32">
        <v>43070.020092592589</v>
      </c>
    </row>
    <row r="3576" spans="1:3">
      <c r="A3576">
        <v>801252</v>
      </c>
      <c r="B3576">
        <v>3299155</v>
      </c>
      <c r="C3576" s="32">
        <v>43071.587627314817</v>
      </c>
    </row>
    <row r="3577" spans="1:3">
      <c r="A3577">
        <v>424324</v>
      </c>
      <c r="B3577">
        <v>366112</v>
      </c>
      <c r="C3577" s="32">
        <v>43071.63212962963</v>
      </c>
    </row>
    <row r="3578" spans="1:3">
      <c r="A3578">
        <v>640934</v>
      </c>
      <c r="B3578">
        <v>4801426</v>
      </c>
      <c r="C3578" s="32">
        <v>43071.377222222225</v>
      </c>
    </row>
    <row r="3579" spans="1:3">
      <c r="A3579">
        <v>871925</v>
      </c>
      <c r="B3579">
        <v>3443691</v>
      </c>
      <c r="C3579" s="32">
        <v>43072.159583333334</v>
      </c>
    </row>
    <row r="3580" spans="1:3">
      <c r="A3580">
        <v>544949</v>
      </c>
      <c r="B3580">
        <v>3015852</v>
      </c>
      <c r="C3580" s="32">
        <v>43070.026504629626</v>
      </c>
    </row>
    <row r="3581" spans="1:3">
      <c r="A3581">
        <v>467247</v>
      </c>
      <c r="B3581">
        <v>3299155</v>
      </c>
      <c r="C3581" s="32">
        <v>43070.049467592595</v>
      </c>
    </row>
    <row r="3582" spans="1:3">
      <c r="A3582">
        <v>8962</v>
      </c>
      <c r="B3582">
        <v>3720767</v>
      </c>
      <c r="C3582" s="32">
        <v>43071.275555555556</v>
      </c>
    </row>
    <row r="3583" spans="1:3">
      <c r="A3583">
        <v>783998</v>
      </c>
      <c r="B3583">
        <v>2520771</v>
      </c>
      <c r="C3583" s="32">
        <v>43072.658402777779</v>
      </c>
    </row>
    <row r="3584" spans="1:3">
      <c r="A3584">
        <v>742621</v>
      </c>
      <c r="B3584">
        <v>3776866</v>
      </c>
      <c r="C3584" s="32">
        <v>43071.625960648147</v>
      </c>
    </row>
    <row r="3585" spans="1:3">
      <c r="A3585">
        <v>874780</v>
      </c>
      <c r="B3585">
        <v>4606718</v>
      </c>
      <c r="C3585" s="32">
        <v>43071.018125000002</v>
      </c>
    </row>
    <row r="3586" spans="1:3">
      <c r="A3586">
        <v>170246</v>
      </c>
      <c r="B3586">
        <v>3002561</v>
      </c>
      <c r="C3586" s="32">
        <v>43071.426689814813</v>
      </c>
    </row>
    <row r="3587" spans="1:3">
      <c r="A3587">
        <v>81604</v>
      </c>
      <c r="B3587">
        <v>3002561</v>
      </c>
      <c r="C3587" s="32">
        <v>43071.592453703706</v>
      </c>
    </row>
    <row r="3588" spans="1:3">
      <c r="A3588">
        <v>637529</v>
      </c>
      <c r="B3588">
        <v>4789432</v>
      </c>
      <c r="C3588" s="32">
        <v>43072.440474537034</v>
      </c>
    </row>
    <row r="3589" spans="1:3">
      <c r="A3589">
        <v>929797</v>
      </c>
      <c r="B3589">
        <v>4466876</v>
      </c>
      <c r="C3589" s="32">
        <v>43071.561840277776</v>
      </c>
    </row>
    <row r="3590" spans="1:3">
      <c r="A3590">
        <v>125633</v>
      </c>
      <c r="B3590">
        <v>2920476</v>
      </c>
      <c r="C3590" s="32">
        <v>43070.503877314812</v>
      </c>
    </row>
    <row r="3591" spans="1:3">
      <c r="A3591">
        <v>375406</v>
      </c>
      <c r="B3591">
        <v>72526</v>
      </c>
      <c r="C3591" s="32">
        <v>43071.653726851851</v>
      </c>
    </row>
    <row r="3592" spans="1:3">
      <c r="A3592">
        <v>940347</v>
      </c>
      <c r="B3592">
        <v>4801426</v>
      </c>
      <c r="C3592" s="32">
        <v>43072.176087962966</v>
      </c>
    </row>
    <row r="3593" spans="1:3">
      <c r="A3593">
        <v>256118</v>
      </c>
      <c r="B3593">
        <v>2858794</v>
      </c>
      <c r="C3593" s="32">
        <v>43070.529328703706</v>
      </c>
    </row>
    <row r="3594" spans="1:3">
      <c r="A3594">
        <v>884145</v>
      </c>
      <c r="B3594">
        <v>235534</v>
      </c>
      <c r="C3594" s="32">
        <v>43072.554872685185</v>
      </c>
    </row>
    <row r="3595" spans="1:3">
      <c r="A3595">
        <v>806050</v>
      </c>
      <c r="B3595">
        <v>2355072</v>
      </c>
      <c r="C3595" s="32">
        <v>43071.627986111111</v>
      </c>
    </row>
    <row r="3596" spans="1:3">
      <c r="A3596">
        <v>381221</v>
      </c>
      <c r="B3596">
        <v>4606718</v>
      </c>
      <c r="C3596" s="32">
        <v>43070.612083333333</v>
      </c>
    </row>
    <row r="3597" spans="1:3">
      <c r="A3597">
        <v>146446</v>
      </c>
      <c r="B3597">
        <v>4801426</v>
      </c>
      <c r="C3597" s="32">
        <v>43072.101006944446</v>
      </c>
    </row>
    <row r="3598" spans="1:3">
      <c r="A3598">
        <v>642403</v>
      </c>
      <c r="B3598">
        <v>2221749</v>
      </c>
      <c r="C3598" s="32">
        <v>43071.516006944446</v>
      </c>
    </row>
    <row r="3599" spans="1:3">
      <c r="A3599">
        <v>840903</v>
      </c>
      <c r="B3599">
        <v>876318</v>
      </c>
      <c r="C3599" s="32">
        <v>43070.154872685183</v>
      </c>
    </row>
    <row r="3600" spans="1:3">
      <c r="A3600">
        <v>984850</v>
      </c>
      <c r="B3600">
        <v>4882154</v>
      </c>
      <c r="C3600" s="32">
        <v>43071.021701388891</v>
      </c>
    </row>
    <row r="3601" spans="1:3">
      <c r="A3601">
        <v>739405</v>
      </c>
      <c r="B3601">
        <v>4181361</v>
      </c>
      <c r="C3601" s="32">
        <v>43070.591527777775</v>
      </c>
    </row>
    <row r="3602" spans="1:3">
      <c r="A3602">
        <v>47453</v>
      </c>
      <c r="B3602">
        <v>300699</v>
      </c>
      <c r="C3602" s="32">
        <v>43070.706863425927</v>
      </c>
    </row>
    <row r="3603" spans="1:3">
      <c r="A3603">
        <v>513601</v>
      </c>
      <c r="B3603">
        <v>1573465</v>
      </c>
      <c r="C3603" s="32">
        <v>43070.012743055559</v>
      </c>
    </row>
    <row r="3604" spans="1:3">
      <c r="A3604">
        <v>566747</v>
      </c>
      <c r="B3604">
        <v>4350978</v>
      </c>
      <c r="C3604" s="32">
        <v>43071.13008101852</v>
      </c>
    </row>
    <row r="3605" spans="1:3">
      <c r="A3605">
        <v>523435</v>
      </c>
      <c r="B3605">
        <v>753984</v>
      </c>
      <c r="C3605" s="32">
        <v>43071.569039351853</v>
      </c>
    </row>
    <row r="3606" spans="1:3">
      <c r="A3606">
        <v>821844</v>
      </c>
      <c r="B3606">
        <v>4217906</v>
      </c>
      <c r="C3606" s="32">
        <v>43070.139120370368</v>
      </c>
    </row>
    <row r="3607" spans="1:3">
      <c r="A3607">
        <v>675108</v>
      </c>
      <c r="B3607">
        <v>2885642</v>
      </c>
      <c r="C3607" s="32">
        <v>43070.552245370367</v>
      </c>
    </row>
    <row r="3608" spans="1:3">
      <c r="A3608">
        <v>879824</v>
      </c>
      <c r="B3608">
        <v>3002561</v>
      </c>
      <c r="C3608" s="32">
        <v>43071.300243055557</v>
      </c>
    </row>
    <row r="3609" spans="1:3">
      <c r="A3609">
        <v>139364</v>
      </c>
      <c r="B3609">
        <v>3747017</v>
      </c>
      <c r="C3609" s="32">
        <v>43069.927407407406</v>
      </c>
    </row>
    <row r="3610" spans="1:3">
      <c r="A3610">
        <v>291864</v>
      </c>
      <c r="B3610">
        <v>2735466</v>
      </c>
      <c r="C3610" s="32">
        <v>43072.61446759259</v>
      </c>
    </row>
    <row r="3611" spans="1:3">
      <c r="A3611">
        <v>427629</v>
      </c>
      <c r="B3611">
        <v>2735466</v>
      </c>
      <c r="C3611" s="32">
        <v>43070.643252314818</v>
      </c>
    </row>
    <row r="3612" spans="1:3">
      <c r="A3612">
        <v>541610</v>
      </c>
      <c r="B3612">
        <v>3736316</v>
      </c>
      <c r="C3612" s="32">
        <v>43070.462210648147</v>
      </c>
    </row>
    <row r="3613" spans="1:3">
      <c r="A3613">
        <v>124164</v>
      </c>
      <c r="B3613">
        <v>4672807</v>
      </c>
      <c r="C3613" s="32">
        <v>43070.445636574077</v>
      </c>
    </row>
    <row r="3614" spans="1:3">
      <c r="A3614">
        <v>639862</v>
      </c>
      <c r="B3614">
        <v>4818107</v>
      </c>
      <c r="C3614" s="32">
        <v>43072.434062499997</v>
      </c>
    </row>
    <row r="3615" spans="1:3">
      <c r="A3615">
        <v>93503</v>
      </c>
      <c r="B3615">
        <v>2465336</v>
      </c>
      <c r="C3615" s="32">
        <v>43071.065428240741</v>
      </c>
    </row>
    <row r="3616" spans="1:3">
      <c r="A3616">
        <v>1014613</v>
      </c>
      <c r="B3616">
        <v>1349561</v>
      </c>
      <c r="C3616" s="32">
        <v>43072.563414351855</v>
      </c>
    </row>
    <row r="3617" spans="1:3">
      <c r="A3617">
        <v>1006200</v>
      </c>
      <c r="B3617">
        <v>4006013</v>
      </c>
      <c r="C3617" s="32">
        <v>43072.562361111108</v>
      </c>
    </row>
    <row r="3618" spans="1:3">
      <c r="A3618">
        <v>64874</v>
      </c>
      <c r="B3618">
        <v>982926</v>
      </c>
      <c r="C3618" s="32">
        <v>43070.060682870368</v>
      </c>
    </row>
    <row r="3619" spans="1:3">
      <c r="A3619">
        <v>224072</v>
      </c>
      <c r="B3619">
        <v>4789432</v>
      </c>
      <c r="C3619" s="32">
        <v>43070.926192129627</v>
      </c>
    </row>
    <row r="3620" spans="1:3">
      <c r="A3620">
        <v>808819</v>
      </c>
      <c r="B3620">
        <v>2885642</v>
      </c>
      <c r="C3620" s="32">
        <v>43069.666678240741</v>
      </c>
    </row>
    <row r="3621" spans="1:3">
      <c r="A3621">
        <v>202112</v>
      </c>
      <c r="B3621">
        <v>2885642</v>
      </c>
      <c r="C3621" s="32">
        <v>43071.278634259259</v>
      </c>
    </row>
    <row r="3622" spans="1:3">
      <c r="A3622">
        <v>99065</v>
      </c>
      <c r="B3622">
        <v>3231861</v>
      </c>
      <c r="C3622" s="32">
        <v>43070.357418981483</v>
      </c>
    </row>
    <row r="3623" spans="1:3">
      <c r="A3623">
        <v>609838</v>
      </c>
      <c r="B3623">
        <v>739426</v>
      </c>
      <c r="C3623" s="32">
        <v>43072.608275462961</v>
      </c>
    </row>
    <row r="3624" spans="1:3">
      <c r="A3624">
        <v>26393</v>
      </c>
      <c r="B3624">
        <v>1914382</v>
      </c>
      <c r="C3624" s="32">
        <v>43070.081180555557</v>
      </c>
    </row>
    <row r="3625" spans="1:3">
      <c r="A3625">
        <v>911610</v>
      </c>
      <c r="B3625">
        <v>1397912</v>
      </c>
      <c r="C3625" s="32">
        <v>43071.621898148151</v>
      </c>
    </row>
    <row r="3626" spans="1:3">
      <c r="A3626">
        <v>964102</v>
      </c>
      <c r="B3626">
        <v>1089685</v>
      </c>
      <c r="C3626" s="32">
        <v>43071.202928240738</v>
      </c>
    </row>
    <row r="3627" spans="1:3">
      <c r="A3627">
        <v>968340</v>
      </c>
      <c r="B3627">
        <v>2131531</v>
      </c>
      <c r="C3627" s="32">
        <v>43071.051921296297</v>
      </c>
    </row>
    <row r="3628" spans="1:3">
      <c r="A3628">
        <v>82786</v>
      </c>
      <c r="B3628">
        <v>4217906</v>
      </c>
      <c r="C3628" s="32">
        <v>43071.188113425924</v>
      </c>
    </row>
    <row r="3629" spans="1:3">
      <c r="A3629">
        <v>630479</v>
      </c>
      <c r="B3629">
        <v>3776866</v>
      </c>
      <c r="C3629" s="32">
        <v>43070.635810185187</v>
      </c>
    </row>
    <row r="3630" spans="1:3">
      <c r="A3630">
        <v>773755</v>
      </c>
      <c r="B3630">
        <v>1023823</v>
      </c>
      <c r="C3630" s="32">
        <v>43072.373703703706</v>
      </c>
    </row>
    <row r="3631" spans="1:3">
      <c r="A3631">
        <v>418800</v>
      </c>
      <c r="B3631">
        <v>4756105</v>
      </c>
      <c r="C3631" s="32">
        <v>43072.621516203704</v>
      </c>
    </row>
    <row r="3632" spans="1:3">
      <c r="A3632">
        <v>170747</v>
      </c>
      <c r="B3632">
        <v>2465336</v>
      </c>
      <c r="C3632" s="32">
        <v>43070.365069444444</v>
      </c>
    </row>
    <row r="3633" spans="1:3">
      <c r="A3633">
        <v>99569</v>
      </c>
      <c r="B3633">
        <v>1834026</v>
      </c>
      <c r="C3633" s="32">
        <v>43072.610509259262</v>
      </c>
    </row>
    <row r="3634" spans="1:3">
      <c r="A3634">
        <v>549262</v>
      </c>
      <c r="B3634">
        <v>2650009</v>
      </c>
      <c r="C3634" s="32">
        <v>43071.582337962966</v>
      </c>
    </row>
    <row r="3635" spans="1:3">
      <c r="A3635">
        <v>734565</v>
      </c>
      <c r="B3635">
        <v>4924285</v>
      </c>
      <c r="C3635" s="32">
        <v>43072.076469907406</v>
      </c>
    </row>
    <row r="3636" spans="1:3">
      <c r="A3636">
        <v>270844</v>
      </c>
      <c r="B3636">
        <v>4145813</v>
      </c>
      <c r="C3636" s="32">
        <v>43070.676493055558</v>
      </c>
    </row>
    <row r="3637" spans="1:3">
      <c r="A3637">
        <v>561912</v>
      </c>
      <c r="B3637">
        <v>3461734</v>
      </c>
      <c r="C3637" s="32">
        <v>43071.310590277775</v>
      </c>
    </row>
    <row r="3638" spans="1:3">
      <c r="A3638">
        <v>865145</v>
      </c>
      <c r="B3638">
        <v>3767409</v>
      </c>
      <c r="C3638" s="32">
        <v>43071.563356481478</v>
      </c>
    </row>
    <row r="3639" spans="1:3">
      <c r="A3639">
        <v>60594</v>
      </c>
      <c r="B3639">
        <v>2815065</v>
      </c>
      <c r="C3639" s="32">
        <v>43071.122314814813</v>
      </c>
    </row>
    <row r="3640" spans="1:3">
      <c r="A3640">
        <v>87368</v>
      </c>
      <c r="B3640">
        <v>4602841</v>
      </c>
      <c r="C3640" s="32">
        <v>43071.361319444448</v>
      </c>
    </row>
    <row r="3641" spans="1:3">
      <c r="A3641">
        <v>785573</v>
      </c>
      <c r="B3641">
        <v>1986596</v>
      </c>
      <c r="C3641" s="32">
        <v>43072.651192129626</v>
      </c>
    </row>
    <row r="3642" spans="1:3">
      <c r="A3642">
        <v>897926</v>
      </c>
      <c r="B3642">
        <v>5066426</v>
      </c>
      <c r="C3642" s="32">
        <v>43070.578379629631</v>
      </c>
    </row>
    <row r="3643" spans="1:3">
      <c r="A3643">
        <v>597536</v>
      </c>
      <c r="B3643">
        <v>4242717</v>
      </c>
      <c r="C3643" s="32">
        <v>43072.546643518515</v>
      </c>
    </row>
    <row r="3644" spans="1:3">
      <c r="A3644">
        <v>758094</v>
      </c>
      <c r="B3644">
        <v>3604509</v>
      </c>
      <c r="C3644" s="32">
        <v>43071.774421296293</v>
      </c>
    </row>
    <row r="3645" spans="1:3">
      <c r="A3645">
        <v>417016</v>
      </c>
      <c r="B3645">
        <v>2885642</v>
      </c>
      <c r="C3645" s="32">
        <v>43071.00708333333</v>
      </c>
    </row>
    <row r="3646" spans="1:3">
      <c r="A3646">
        <v>650733</v>
      </c>
      <c r="B3646">
        <v>3002561</v>
      </c>
      <c r="C3646" s="32">
        <v>43071.293194444443</v>
      </c>
    </row>
    <row r="3647" spans="1:3">
      <c r="A3647">
        <v>62571</v>
      </c>
      <c r="B3647">
        <v>4718907</v>
      </c>
      <c r="C3647" s="32">
        <v>43071.149270833332</v>
      </c>
    </row>
    <row r="3648" spans="1:3">
      <c r="A3648">
        <v>339996</v>
      </c>
      <c r="B3648">
        <v>2272488</v>
      </c>
      <c r="C3648" s="32">
        <v>43072.315682870372</v>
      </c>
    </row>
    <row r="3649" spans="1:3">
      <c r="A3649">
        <v>439159</v>
      </c>
      <c r="B3649">
        <v>2520377</v>
      </c>
      <c r="C3649" s="32">
        <v>43071.348923611113</v>
      </c>
    </row>
    <row r="3650" spans="1:3">
      <c r="A3650">
        <v>443104</v>
      </c>
      <c r="B3650">
        <v>2839395</v>
      </c>
      <c r="C3650" s="32">
        <v>43072.254282407404</v>
      </c>
    </row>
    <row r="3651" spans="1:3">
      <c r="A3651">
        <v>815173</v>
      </c>
      <c r="B3651">
        <v>846990</v>
      </c>
      <c r="C3651" s="32">
        <v>43070.419328703705</v>
      </c>
    </row>
    <row r="3652" spans="1:3">
      <c r="A3652">
        <v>283514</v>
      </c>
      <c r="B3652">
        <v>2629787</v>
      </c>
      <c r="C3652" s="32">
        <v>43070.461342592593</v>
      </c>
    </row>
    <row r="3653" spans="1:3">
      <c r="A3653">
        <v>698859</v>
      </c>
      <c r="B3653">
        <v>2725426</v>
      </c>
      <c r="C3653" s="32">
        <v>43070.665729166663</v>
      </c>
    </row>
    <row r="3654" spans="1:3">
      <c r="A3654">
        <v>616683</v>
      </c>
      <c r="B3654">
        <v>982926</v>
      </c>
      <c r="C3654" s="32">
        <v>43072.591006944444</v>
      </c>
    </row>
    <row r="3655" spans="1:3">
      <c r="A3655">
        <v>360849</v>
      </c>
      <c r="B3655">
        <v>982926</v>
      </c>
      <c r="C3655" s="32">
        <v>43070.033506944441</v>
      </c>
    </row>
    <row r="3656" spans="1:3">
      <c r="A3656">
        <v>357405</v>
      </c>
      <c r="B3656">
        <v>4181361</v>
      </c>
      <c r="C3656" s="32">
        <v>43072.372129629628</v>
      </c>
    </row>
    <row r="3657" spans="1:3">
      <c r="A3657">
        <v>894331</v>
      </c>
      <c r="B3657">
        <v>4022701</v>
      </c>
      <c r="C3657" s="32">
        <v>43072.421539351853</v>
      </c>
    </row>
    <row r="3658" spans="1:3">
      <c r="A3658">
        <v>275968</v>
      </c>
      <c r="B3658">
        <v>3933554</v>
      </c>
      <c r="C3658" s="32">
        <v>43072.63177083333</v>
      </c>
    </row>
    <row r="3659" spans="1:3">
      <c r="A3659">
        <v>850158</v>
      </c>
      <c r="B3659">
        <v>1398739</v>
      </c>
      <c r="C3659" s="32">
        <v>43070.131203703706</v>
      </c>
    </row>
    <row r="3660" spans="1:3">
      <c r="A3660">
        <v>892912</v>
      </c>
      <c r="B3660">
        <v>1068933</v>
      </c>
      <c r="C3660" s="32">
        <v>43071.679224537038</v>
      </c>
    </row>
    <row r="3661" spans="1:3">
      <c r="A3661">
        <v>652602</v>
      </c>
      <c r="B3661">
        <v>1046047</v>
      </c>
      <c r="C3661" s="32">
        <v>43072.160185185188</v>
      </c>
    </row>
    <row r="3662" spans="1:3">
      <c r="A3662">
        <v>24052</v>
      </c>
      <c r="B3662">
        <v>384755</v>
      </c>
      <c r="C3662" s="32">
        <v>43070.534560185188</v>
      </c>
    </row>
    <row r="3663" spans="1:3">
      <c r="A3663">
        <v>397630</v>
      </c>
      <c r="B3663">
        <v>1928278</v>
      </c>
      <c r="C3663" s="32">
        <v>43071.711863425924</v>
      </c>
    </row>
    <row r="3664" spans="1:3">
      <c r="A3664">
        <v>130492</v>
      </c>
      <c r="B3664">
        <v>4145813</v>
      </c>
      <c r="C3664" s="32">
        <v>43071.624618055554</v>
      </c>
    </row>
    <row r="3665" spans="1:3">
      <c r="A3665">
        <v>708677</v>
      </c>
      <c r="B3665">
        <v>2096639</v>
      </c>
      <c r="C3665" s="32">
        <v>43071.224999999999</v>
      </c>
    </row>
    <row r="3666" spans="1:3">
      <c r="A3666">
        <v>351049</v>
      </c>
      <c r="B3666">
        <v>3299155</v>
      </c>
      <c r="C3666" s="32">
        <v>43072.088750000003</v>
      </c>
    </row>
    <row r="3667" spans="1:3">
      <c r="A3667">
        <v>83434</v>
      </c>
      <c r="B3667">
        <v>1615537</v>
      </c>
      <c r="C3667" s="32">
        <v>43072.606446759259</v>
      </c>
    </row>
    <row r="3668" spans="1:3">
      <c r="A3668">
        <v>739758</v>
      </c>
      <c r="B3668">
        <v>3738615</v>
      </c>
      <c r="C3668" s="32">
        <v>43072.433472222219</v>
      </c>
    </row>
    <row r="3669" spans="1:3">
      <c r="A3669">
        <v>586691</v>
      </c>
      <c r="B3669">
        <v>3002561</v>
      </c>
      <c r="C3669" s="32">
        <v>43071.050474537034</v>
      </c>
    </row>
    <row r="3670" spans="1:3">
      <c r="A3670">
        <v>129495</v>
      </c>
      <c r="B3670">
        <v>883960</v>
      </c>
      <c r="C3670" s="32">
        <v>43071.315578703703</v>
      </c>
    </row>
    <row r="3671" spans="1:3">
      <c r="A3671">
        <v>434078</v>
      </c>
      <c r="B3671">
        <v>633394</v>
      </c>
      <c r="C3671" s="32">
        <v>43072.571817129632</v>
      </c>
    </row>
    <row r="3672" spans="1:3">
      <c r="A3672">
        <v>788060</v>
      </c>
      <c r="B3672">
        <v>4756105</v>
      </c>
      <c r="C3672" s="32">
        <v>43071.100844907407</v>
      </c>
    </row>
    <row r="3673" spans="1:3">
      <c r="A3673">
        <v>947449</v>
      </c>
      <c r="B3673">
        <v>3902231</v>
      </c>
      <c r="C3673" s="32">
        <v>43069.675740740742</v>
      </c>
    </row>
    <row r="3674" spans="1:3">
      <c r="A3674">
        <v>559824</v>
      </c>
      <c r="B3674">
        <v>4643350</v>
      </c>
      <c r="C3674" s="32">
        <v>43072.60528935185</v>
      </c>
    </row>
    <row r="3675" spans="1:3">
      <c r="A3675">
        <v>48442</v>
      </c>
      <c r="B3675">
        <v>690811</v>
      </c>
      <c r="C3675" s="32">
        <v>43071.348981481482</v>
      </c>
    </row>
    <row r="3676" spans="1:3">
      <c r="A3676">
        <v>839235</v>
      </c>
      <c r="B3676">
        <v>4794845</v>
      </c>
      <c r="C3676" s="32">
        <v>43072.043773148151</v>
      </c>
    </row>
    <row r="3677" spans="1:3">
      <c r="A3677">
        <v>616962</v>
      </c>
      <c r="B3677">
        <v>2419332</v>
      </c>
      <c r="C3677" s="32">
        <v>43070.288923611108</v>
      </c>
    </row>
    <row r="3678" spans="1:3">
      <c r="A3678">
        <v>473798</v>
      </c>
      <c r="B3678">
        <v>4801426</v>
      </c>
      <c r="C3678" s="32">
        <v>43071.463530092595</v>
      </c>
    </row>
    <row r="3679" spans="1:3">
      <c r="A3679">
        <v>690297</v>
      </c>
      <c r="B3679">
        <v>4656948</v>
      </c>
      <c r="C3679" s="32">
        <v>43071.358124999999</v>
      </c>
    </row>
    <row r="3680" spans="1:3">
      <c r="A3680">
        <v>17493</v>
      </c>
      <c r="B3680">
        <v>3184456</v>
      </c>
      <c r="C3680" s="32">
        <v>43072.204305555555</v>
      </c>
    </row>
    <row r="3681" spans="1:3">
      <c r="A3681">
        <v>19298</v>
      </c>
      <c r="B3681">
        <v>4969568</v>
      </c>
      <c r="C3681" s="32">
        <v>43071.448900462965</v>
      </c>
    </row>
    <row r="3682" spans="1:3">
      <c r="A3682">
        <v>960749</v>
      </c>
      <c r="B3682">
        <v>4270314</v>
      </c>
      <c r="C3682" s="32">
        <v>43072.103819444441</v>
      </c>
    </row>
    <row r="3683" spans="1:3">
      <c r="A3683">
        <v>820412</v>
      </c>
      <c r="B3683">
        <v>4355436</v>
      </c>
      <c r="C3683" s="32">
        <v>43072.175532407404</v>
      </c>
    </row>
    <row r="3684" spans="1:3">
      <c r="A3684">
        <v>260550</v>
      </c>
      <c r="B3684">
        <v>4606718</v>
      </c>
      <c r="C3684" s="32">
        <v>43070.164965277778</v>
      </c>
    </row>
    <row r="3685" spans="1:3">
      <c r="A3685">
        <v>155677</v>
      </c>
      <c r="B3685">
        <v>72526</v>
      </c>
      <c r="C3685" s="32">
        <v>43071.351319444446</v>
      </c>
    </row>
    <row r="3686" spans="1:3">
      <c r="A3686">
        <v>1014517</v>
      </c>
      <c r="B3686">
        <v>2735466</v>
      </c>
      <c r="C3686" s="32">
        <v>43072.443425925929</v>
      </c>
    </row>
    <row r="3687" spans="1:3">
      <c r="A3687">
        <v>363025</v>
      </c>
      <c r="B3687">
        <v>1135708</v>
      </c>
      <c r="C3687" s="32">
        <v>43072.611990740741</v>
      </c>
    </row>
    <row r="3688" spans="1:3">
      <c r="A3688">
        <v>968838</v>
      </c>
      <c r="B3688">
        <v>2748804</v>
      </c>
      <c r="C3688" s="32">
        <v>43070.239745370367</v>
      </c>
    </row>
    <row r="3689" spans="1:3">
      <c r="A3689">
        <v>305017</v>
      </c>
      <c r="B3689">
        <v>4756105</v>
      </c>
      <c r="C3689" s="32">
        <v>43071.187685185185</v>
      </c>
    </row>
    <row r="3690" spans="1:3">
      <c r="A3690">
        <v>306642</v>
      </c>
      <c r="B3690">
        <v>4589142</v>
      </c>
      <c r="C3690" s="32">
        <v>43071.343148148146</v>
      </c>
    </row>
    <row r="3691" spans="1:3">
      <c r="A3691">
        <v>532285</v>
      </c>
      <c r="B3691">
        <v>3758209</v>
      </c>
      <c r="C3691" s="32">
        <v>43072.30059027778</v>
      </c>
    </row>
    <row r="3692" spans="1:3">
      <c r="A3692">
        <v>700884</v>
      </c>
      <c r="B3692">
        <v>4170419</v>
      </c>
      <c r="C3692" s="32">
        <v>43072.622534722221</v>
      </c>
    </row>
    <row r="3693" spans="1:3">
      <c r="A3693">
        <v>897868</v>
      </c>
      <c r="B3693">
        <v>381850</v>
      </c>
      <c r="C3693" s="32">
        <v>43070.170023148145</v>
      </c>
    </row>
    <row r="3694" spans="1:3">
      <c r="A3694">
        <v>727187</v>
      </c>
      <c r="B3694">
        <v>4181361</v>
      </c>
      <c r="C3694" s="32">
        <v>43072.510312500002</v>
      </c>
    </row>
    <row r="3695" spans="1:3">
      <c r="A3695">
        <v>50481</v>
      </c>
      <c r="B3695">
        <v>1464116</v>
      </c>
      <c r="C3695" s="32">
        <v>43071.690787037034</v>
      </c>
    </row>
    <row r="3696" spans="1:3">
      <c r="A3696">
        <v>259362</v>
      </c>
      <c r="B3696">
        <v>2735466</v>
      </c>
      <c r="C3696" s="32">
        <v>43071.955277777779</v>
      </c>
    </row>
    <row r="3697" spans="1:3">
      <c r="A3697">
        <v>525569</v>
      </c>
      <c r="B3697">
        <v>4919077</v>
      </c>
      <c r="C3697" s="32">
        <v>43072.568495370368</v>
      </c>
    </row>
    <row r="3698" spans="1:3">
      <c r="A3698">
        <v>599279</v>
      </c>
      <c r="B3698">
        <v>2827444</v>
      </c>
      <c r="C3698" s="32">
        <v>43072.336365740739</v>
      </c>
    </row>
    <row r="3699" spans="1:3">
      <c r="A3699">
        <v>124489</v>
      </c>
      <c r="B3699">
        <v>4993094</v>
      </c>
      <c r="C3699" s="32">
        <v>43071.279178240744</v>
      </c>
    </row>
    <row r="3700" spans="1:3">
      <c r="A3700">
        <v>574554</v>
      </c>
      <c r="B3700">
        <v>4217906</v>
      </c>
      <c r="C3700" s="32">
        <v>43072.109872685185</v>
      </c>
    </row>
    <row r="3701" spans="1:3">
      <c r="A3701">
        <v>959812</v>
      </c>
      <c r="B3701">
        <v>4524544</v>
      </c>
      <c r="C3701" s="32">
        <v>43071.539826388886</v>
      </c>
    </row>
    <row r="3702" spans="1:3">
      <c r="A3702">
        <v>13117</v>
      </c>
      <c r="B3702">
        <v>4170419</v>
      </c>
      <c r="C3702" s="32">
        <v>43072.653310185182</v>
      </c>
    </row>
    <row r="3703" spans="1:3">
      <c r="A3703">
        <v>454635</v>
      </c>
      <c r="B3703">
        <v>1943877</v>
      </c>
      <c r="C3703" s="32">
        <v>43072.489814814813</v>
      </c>
    </row>
    <row r="3704" spans="1:3">
      <c r="A3704">
        <v>501618</v>
      </c>
      <c r="B3704">
        <v>2465336</v>
      </c>
      <c r="C3704" s="32">
        <v>43071.581932870373</v>
      </c>
    </row>
    <row r="3705" spans="1:3">
      <c r="A3705">
        <v>780512</v>
      </c>
      <c r="B3705">
        <v>4015257</v>
      </c>
      <c r="C3705" s="32">
        <v>43071.683807870373</v>
      </c>
    </row>
    <row r="3706" spans="1:3">
      <c r="A3706">
        <v>943960</v>
      </c>
      <c r="B3706">
        <v>753984</v>
      </c>
      <c r="C3706" s="32">
        <v>43072.453402777777</v>
      </c>
    </row>
    <row r="3707" spans="1:3">
      <c r="A3707">
        <v>288073</v>
      </c>
      <c r="B3707">
        <v>1884568</v>
      </c>
      <c r="C3707" s="32">
        <v>43072.478333333333</v>
      </c>
    </row>
    <row r="3708" spans="1:3">
      <c r="A3708">
        <v>58077</v>
      </c>
      <c r="B3708">
        <v>3002561</v>
      </c>
      <c r="C3708" s="32">
        <v>43069.962361111109</v>
      </c>
    </row>
    <row r="3709" spans="1:3">
      <c r="A3709">
        <v>163656</v>
      </c>
      <c r="B3709">
        <v>4310023</v>
      </c>
      <c r="C3709" s="32">
        <v>43071.32309027778</v>
      </c>
    </row>
    <row r="3710" spans="1:3">
      <c r="A3710">
        <v>588941</v>
      </c>
      <c r="B3710">
        <v>3774512</v>
      </c>
      <c r="C3710" s="32">
        <v>43071.564027777778</v>
      </c>
    </row>
    <row r="3711" spans="1:3">
      <c r="A3711">
        <v>102742</v>
      </c>
      <c r="B3711">
        <v>4762182</v>
      </c>
      <c r="C3711" s="32">
        <v>43072.139363425929</v>
      </c>
    </row>
    <row r="3712" spans="1:3">
      <c r="A3712">
        <v>712322</v>
      </c>
      <c r="B3712">
        <v>2945933</v>
      </c>
      <c r="C3712" s="32">
        <v>43070.645972222221</v>
      </c>
    </row>
    <row r="3713" spans="1:3">
      <c r="A3713">
        <v>535832</v>
      </c>
      <c r="B3713">
        <v>2355072</v>
      </c>
      <c r="C3713" s="32">
        <v>43072.154074074075</v>
      </c>
    </row>
    <row r="3714" spans="1:3">
      <c r="A3714">
        <v>958212</v>
      </c>
      <c r="B3714">
        <v>2939262</v>
      </c>
      <c r="C3714" s="32">
        <v>43072.156608796293</v>
      </c>
    </row>
    <row r="3715" spans="1:3">
      <c r="A3715">
        <v>170874</v>
      </c>
      <c r="B3715">
        <v>2520377</v>
      </c>
      <c r="C3715" s="32">
        <v>43070.688055555554</v>
      </c>
    </row>
    <row r="3716" spans="1:3">
      <c r="A3716">
        <v>71194</v>
      </c>
      <c r="B3716">
        <v>1045172</v>
      </c>
      <c r="C3716" s="32">
        <v>43071.479664351849</v>
      </c>
    </row>
    <row r="3717" spans="1:3">
      <c r="A3717">
        <v>572451</v>
      </c>
      <c r="B3717">
        <v>3002561</v>
      </c>
      <c r="C3717" s="32">
        <v>43072.099745370368</v>
      </c>
    </row>
    <row r="3718" spans="1:3">
      <c r="A3718">
        <v>530489</v>
      </c>
      <c r="B3718">
        <v>898578</v>
      </c>
      <c r="C3718" s="32">
        <v>43069.728993055556</v>
      </c>
    </row>
    <row r="3719" spans="1:3">
      <c r="A3719">
        <v>786682</v>
      </c>
      <c r="B3719">
        <v>3381583</v>
      </c>
      <c r="C3719" s="32">
        <v>43070.583553240744</v>
      </c>
    </row>
    <row r="3720" spans="1:3">
      <c r="A3720">
        <v>816667</v>
      </c>
      <c r="B3720">
        <v>982926</v>
      </c>
      <c r="C3720" s="32">
        <v>43070.551377314812</v>
      </c>
    </row>
    <row r="3721" spans="1:3">
      <c r="A3721">
        <v>11821</v>
      </c>
      <c r="B3721">
        <v>4357323</v>
      </c>
      <c r="C3721" s="32">
        <v>43071.549733796295</v>
      </c>
    </row>
    <row r="3722" spans="1:3">
      <c r="A3722">
        <v>424298</v>
      </c>
      <c r="B3722">
        <v>285583</v>
      </c>
      <c r="C3722" s="32">
        <v>43070.041377314818</v>
      </c>
    </row>
    <row r="3723" spans="1:3">
      <c r="A3723">
        <v>468433</v>
      </c>
      <c r="B3723">
        <v>2640118</v>
      </c>
      <c r="C3723" s="32">
        <v>43072.539236111108</v>
      </c>
    </row>
    <row r="3724" spans="1:3">
      <c r="A3724">
        <v>183902</v>
      </c>
      <c r="B3724">
        <v>4145813</v>
      </c>
      <c r="C3724" s="32">
        <v>43070.747662037036</v>
      </c>
    </row>
    <row r="3725" spans="1:3">
      <c r="A3725">
        <v>448036</v>
      </c>
      <c r="B3725">
        <v>4690421</v>
      </c>
      <c r="C3725" s="32">
        <v>43071.56113425926</v>
      </c>
    </row>
    <row r="3726" spans="1:3">
      <c r="A3726">
        <v>905675</v>
      </c>
      <c r="B3726">
        <v>2465336</v>
      </c>
      <c r="C3726" s="32">
        <v>43071.681851851848</v>
      </c>
    </row>
    <row r="3727" spans="1:3">
      <c r="A3727">
        <v>939991</v>
      </c>
      <c r="B3727">
        <v>4170419</v>
      </c>
      <c r="C3727" s="32">
        <v>43069.767928240741</v>
      </c>
    </row>
    <row r="3728" spans="1:3">
      <c r="A3728">
        <v>590843</v>
      </c>
      <c r="B3728">
        <v>4576874</v>
      </c>
      <c r="C3728" s="32">
        <v>43071.488136574073</v>
      </c>
    </row>
    <row r="3729" spans="1:3">
      <c r="A3729">
        <v>695756</v>
      </c>
      <c r="B3729">
        <v>2920476</v>
      </c>
      <c r="C3729" s="32">
        <v>43070.592569444445</v>
      </c>
    </row>
    <row r="3730" spans="1:3">
      <c r="A3730">
        <v>485194</v>
      </c>
      <c r="B3730">
        <v>4022701</v>
      </c>
      <c r="C3730" s="32">
        <v>43072.490381944444</v>
      </c>
    </row>
    <row r="3731" spans="1:3">
      <c r="A3731">
        <v>500801</v>
      </c>
      <c r="B3731">
        <v>3004853</v>
      </c>
      <c r="C3731" s="32">
        <v>43072.411678240744</v>
      </c>
    </row>
    <row r="3732" spans="1:3">
      <c r="A3732">
        <v>980990</v>
      </c>
      <c r="B3732">
        <v>5046132</v>
      </c>
      <c r="C3732" s="32">
        <v>43072.394849537035</v>
      </c>
    </row>
    <row r="3733" spans="1:3">
      <c r="A3733">
        <v>560838</v>
      </c>
      <c r="B3733">
        <v>4756105</v>
      </c>
      <c r="C3733" s="32">
        <v>43070.582789351851</v>
      </c>
    </row>
    <row r="3734" spans="1:3">
      <c r="A3734">
        <v>173042</v>
      </c>
      <c r="B3734">
        <v>1568197</v>
      </c>
      <c r="C3734" s="32">
        <v>43071.585277777776</v>
      </c>
    </row>
    <row r="3735" spans="1:3">
      <c r="A3735">
        <v>761069</v>
      </c>
      <c r="B3735">
        <v>4756105</v>
      </c>
      <c r="C3735" s="32">
        <v>43071.140023148146</v>
      </c>
    </row>
    <row r="3736" spans="1:3">
      <c r="A3736">
        <v>663267</v>
      </c>
      <c r="B3736">
        <v>4801426</v>
      </c>
      <c r="C3736" s="32">
        <v>43072.555277777778</v>
      </c>
    </row>
    <row r="3737" spans="1:3">
      <c r="A3737">
        <v>423492</v>
      </c>
      <c r="B3737">
        <v>2355072</v>
      </c>
      <c r="C3737" s="32">
        <v>43071.628622685188</v>
      </c>
    </row>
    <row r="3738" spans="1:3">
      <c r="A3738">
        <v>431197</v>
      </c>
      <c r="B3738">
        <v>4145813</v>
      </c>
      <c r="C3738" s="32">
        <v>43071.357708333337</v>
      </c>
    </row>
    <row r="3739" spans="1:3">
      <c r="A3739">
        <v>434754</v>
      </c>
      <c r="B3739">
        <v>2355072</v>
      </c>
      <c r="C3739" s="32">
        <v>43072.007650462961</v>
      </c>
    </row>
    <row r="3740" spans="1:3">
      <c r="A3740">
        <v>615224</v>
      </c>
      <c r="B3740">
        <v>3407883</v>
      </c>
      <c r="C3740" s="32">
        <v>43072.509143518517</v>
      </c>
    </row>
    <row r="3741" spans="1:3">
      <c r="A3741">
        <v>961500</v>
      </c>
      <c r="B3741">
        <v>4756105</v>
      </c>
      <c r="C3741" s="32">
        <v>43070.45453703704</v>
      </c>
    </row>
    <row r="3742" spans="1:3">
      <c r="A3742">
        <v>380257</v>
      </c>
      <c r="B3742">
        <v>2355072</v>
      </c>
      <c r="C3742" s="32">
        <v>43072.065266203703</v>
      </c>
    </row>
    <row r="3743" spans="1:3">
      <c r="A3743">
        <v>164547</v>
      </c>
      <c r="B3743">
        <v>3160926</v>
      </c>
      <c r="C3743" s="32">
        <v>43071.88175925926</v>
      </c>
    </row>
    <row r="3744" spans="1:3">
      <c r="A3744">
        <v>322947</v>
      </c>
      <c r="B3744">
        <v>982926</v>
      </c>
      <c r="C3744" s="32">
        <v>43072.35769675926</v>
      </c>
    </row>
    <row r="3745" spans="1:3">
      <c r="A3745">
        <v>746042</v>
      </c>
      <c r="B3745">
        <v>2355072</v>
      </c>
      <c r="C3745" s="32">
        <v>43072.37740740741</v>
      </c>
    </row>
    <row r="3746" spans="1:3">
      <c r="A3746">
        <v>660530</v>
      </c>
      <c r="B3746">
        <v>2735466</v>
      </c>
      <c r="C3746" s="32">
        <v>43069.751469907409</v>
      </c>
    </row>
    <row r="3747" spans="1:3">
      <c r="A3747">
        <v>22837</v>
      </c>
      <c r="B3747">
        <v>4643350</v>
      </c>
      <c r="C3747" s="32">
        <v>43070.646851851852</v>
      </c>
    </row>
    <row r="3748" spans="1:3">
      <c r="A3748">
        <v>375519</v>
      </c>
      <c r="B3748">
        <v>753984</v>
      </c>
      <c r="C3748" s="32">
        <v>43071.340520833335</v>
      </c>
    </row>
    <row r="3749" spans="1:3">
      <c r="A3749">
        <v>176625</v>
      </c>
      <c r="B3749">
        <v>5053508</v>
      </c>
      <c r="C3749" s="32">
        <v>43071.084224537037</v>
      </c>
    </row>
    <row r="3750" spans="1:3">
      <c r="A3750">
        <v>493567</v>
      </c>
      <c r="B3750">
        <v>4145813</v>
      </c>
      <c r="C3750" s="32">
        <v>43069.958252314813</v>
      </c>
    </row>
    <row r="3751" spans="1:3">
      <c r="A3751">
        <v>305085</v>
      </c>
      <c r="B3751">
        <v>4242717</v>
      </c>
      <c r="C3751" s="32">
        <v>43070.658576388887</v>
      </c>
    </row>
    <row r="3752" spans="1:3">
      <c r="A3752">
        <v>440302</v>
      </c>
      <c r="B3752">
        <v>1464116</v>
      </c>
      <c r="C3752" s="32">
        <v>43071.290254629632</v>
      </c>
    </row>
    <row r="3753" spans="1:3">
      <c r="A3753">
        <v>445073</v>
      </c>
      <c r="B3753">
        <v>3299155</v>
      </c>
      <c r="C3753" s="32">
        <v>43071.249606481484</v>
      </c>
    </row>
    <row r="3754" spans="1:3">
      <c r="A3754">
        <v>383758</v>
      </c>
      <c r="B3754">
        <v>1697889</v>
      </c>
      <c r="C3754" s="32">
        <v>43071.245185185187</v>
      </c>
    </row>
    <row r="3755" spans="1:3">
      <c r="A3755">
        <v>996281</v>
      </c>
      <c r="B3755">
        <v>965809</v>
      </c>
      <c r="C3755" s="32">
        <v>43069.958726851852</v>
      </c>
    </row>
    <row r="3756" spans="1:3">
      <c r="A3756">
        <v>761824</v>
      </c>
      <c r="B3756">
        <v>5024228</v>
      </c>
      <c r="C3756" s="32">
        <v>43071.15457175926</v>
      </c>
    </row>
    <row r="3757" spans="1:3">
      <c r="A3757">
        <v>961437</v>
      </c>
      <c r="B3757">
        <v>2558244</v>
      </c>
      <c r="C3757" s="32">
        <v>43072.178414351853</v>
      </c>
    </row>
    <row r="3758" spans="1:3">
      <c r="A3758">
        <v>140564</v>
      </c>
      <c r="B3758">
        <v>982926</v>
      </c>
      <c r="C3758" s="32">
        <v>43071.645752314813</v>
      </c>
    </row>
    <row r="3759" spans="1:3">
      <c r="A3759">
        <v>292891</v>
      </c>
      <c r="B3759">
        <v>2157356</v>
      </c>
      <c r="C3759" s="32">
        <v>43069.675613425927</v>
      </c>
    </row>
    <row r="3760" spans="1:3">
      <c r="A3760">
        <v>364866</v>
      </c>
      <c r="B3760">
        <v>4756105</v>
      </c>
      <c r="C3760" s="32">
        <v>43071.346446759257</v>
      </c>
    </row>
    <row r="3761" spans="1:3">
      <c r="A3761">
        <v>541949</v>
      </c>
      <c r="B3761">
        <v>1074254</v>
      </c>
      <c r="C3761" s="32">
        <v>43071.394953703704</v>
      </c>
    </row>
    <row r="3762" spans="1:3">
      <c r="A3762">
        <v>420447</v>
      </c>
      <c r="B3762">
        <v>3132593</v>
      </c>
      <c r="C3762" s="32">
        <v>43071.223078703704</v>
      </c>
    </row>
    <row r="3763" spans="1:3">
      <c r="A3763">
        <v>809566</v>
      </c>
      <c r="B3763">
        <v>4896062</v>
      </c>
      <c r="C3763" s="32">
        <v>43071.500474537039</v>
      </c>
    </row>
    <row r="3764" spans="1:3">
      <c r="A3764">
        <v>939093</v>
      </c>
      <c r="B3764">
        <v>2629787</v>
      </c>
      <c r="C3764" s="32">
        <v>43070.652754629627</v>
      </c>
    </row>
    <row r="3765" spans="1:3">
      <c r="A3765">
        <v>493298</v>
      </c>
      <c r="B3765">
        <v>3774512</v>
      </c>
      <c r="C3765" s="32">
        <v>43071.628263888888</v>
      </c>
    </row>
    <row r="3766" spans="1:3">
      <c r="A3766">
        <v>534724</v>
      </c>
      <c r="B3766">
        <v>685988</v>
      </c>
      <c r="C3766" s="32">
        <v>43072.51798611111</v>
      </c>
    </row>
    <row r="3767" spans="1:3">
      <c r="A3767">
        <v>60571</v>
      </c>
      <c r="B3767">
        <v>800581</v>
      </c>
      <c r="C3767" s="32">
        <v>43072.223715277774</v>
      </c>
    </row>
    <row r="3768" spans="1:3">
      <c r="A3768">
        <v>281660</v>
      </c>
      <c r="B3768">
        <v>3177764</v>
      </c>
      <c r="C3768" s="32">
        <v>43071.18917824074</v>
      </c>
    </row>
    <row r="3769" spans="1:3">
      <c r="A3769">
        <v>507047</v>
      </c>
      <c r="B3769">
        <v>4398560</v>
      </c>
      <c r="C3769" s="32">
        <v>43072.270243055558</v>
      </c>
    </row>
    <row r="3770" spans="1:3">
      <c r="A3770">
        <v>970007</v>
      </c>
      <c r="B3770">
        <v>2667323</v>
      </c>
      <c r="C3770" s="32">
        <v>43072.366828703707</v>
      </c>
    </row>
    <row r="3771" spans="1:3">
      <c r="A3771">
        <v>383493</v>
      </c>
      <c r="B3771">
        <v>3425094</v>
      </c>
      <c r="C3771" s="32">
        <v>43071.035173611112</v>
      </c>
    </row>
    <row r="3772" spans="1:3">
      <c r="A3772">
        <v>178236</v>
      </c>
      <c r="B3772">
        <v>3673501</v>
      </c>
      <c r="C3772" s="32">
        <v>43072.447939814818</v>
      </c>
    </row>
    <row r="3773" spans="1:3">
      <c r="A3773">
        <v>28275</v>
      </c>
      <c r="B3773">
        <v>3681810</v>
      </c>
      <c r="C3773" s="32">
        <v>43071.584826388891</v>
      </c>
    </row>
    <row r="3774" spans="1:3">
      <c r="A3774">
        <v>503306</v>
      </c>
      <c r="B3774">
        <v>611849</v>
      </c>
      <c r="C3774" s="32">
        <v>43070.615763888891</v>
      </c>
    </row>
    <row r="3775" spans="1:3">
      <c r="A3775">
        <v>317321</v>
      </c>
      <c r="B3775">
        <v>2945933</v>
      </c>
      <c r="C3775" s="32">
        <v>43070.181527777779</v>
      </c>
    </row>
    <row r="3776" spans="1:3">
      <c r="A3776">
        <v>1002959</v>
      </c>
      <c r="B3776">
        <v>3112817</v>
      </c>
      <c r="C3776" s="32">
        <v>43072.299178240741</v>
      </c>
    </row>
    <row r="3777" spans="1:3">
      <c r="A3777">
        <v>611302</v>
      </c>
      <c r="B3777">
        <v>85955</v>
      </c>
      <c r="C3777" s="32">
        <v>43070.103437500002</v>
      </c>
    </row>
    <row r="3778" spans="1:3">
      <c r="A3778">
        <v>306770</v>
      </c>
      <c r="B3778">
        <v>2355072</v>
      </c>
      <c r="C3778" s="32">
        <v>43071.530173611114</v>
      </c>
    </row>
    <row r="3779" spans="1:3">
      <c r="A3779">
        <v>436304</v>
      </c>
      <c r="B3779">
        <v>2465336</v>
      </c>
      <c r="C3779" s="32">
        <v>43071.990624999999</v>
      </c>
    </row>
    <row r="3780" spans="1:3">
      <c r="A3780">
        <v>330002</v>
      </c>
      <c r="B3780">
        <v>3002561</v>
      </c>
      <c r="C3780" s="32">
        <v>43071.013124999998</v>
      </c>
    </row>
    <row r="3781" spans="1:3">
      <c r="A3781">
        <v>844111</v>
      </c>
      <c r="B3781">
        <v>3598912</v>
      </c>
      <c r="C3781" s="32">
        <v>43072.245185185187</v>
      </c>
    </row>
    <row r="3782" spans="1:3">
      <c r="A3782">
        <v>642347</v>
      </c>
      <c r="B3782">
        <v>1331853</v>
      </c>
      <c r="C3782" s="32">
        <v>43071.666261574072</v>
      </c>
    </row>
    <row r="3783" spans="1:3">
      <c r="A3783">
        <v>976774</v>
      </c>
      <c r="B3783">
        <v>2303546</v>
      </c>
      <c r="C3783" s="32">
        <v>43070.767812500002</v>
      </c>
    </row>
    <row r="3784" spans="1:3">
      <c r="A3784">
        <v>571666</v>
      </c>
      <c r="B3784">
        <v>4050612</v>
      </c>
      <c r="C3784" s="32">
        <v>43071.164606481485</v>
      </c>
    </row>
    <row r="3785" spans="1:3">
      <c r="A3785">
        <v>619525</v>
      </c>
      <c r="B3785">
        <v>2247787</v>
      </c>
      <c r="C3785" s="32">
        <v>43069.726446759261</v>
      </c>
    </row>
    <row r="3786" spans="1:3">
      <c r="A3786">
        <v>677382</v>
      </c>
      <c r="B3786">
        <v>235534</v>
      </c>
      <c r="C3786" s="32">
        <v>43071.638333333336</v>
      </c>
    </row>
    <row r="3787" spans="1:3">
      <c r="A3787">
        <v>382525</v>
      </c>
      <c r="B3787">
        <v>3673049</v>
      </c>
      <c r="C3787" s="32">
        <v>43071.558912037035</v>
      </c>
    </row>
    <row r="3788" spans="1:3">
      <c r="A3788">
        <v>165780</v>
      </c>
      <c r="B3788">
        <v>3189935</v>
      </c>
      <c r="C3788" s="32">
        <v>43071.27034722222</v>
      </c>
    </row>
    <row r="3789" spans="1:3">
      <c r="A3789">
        <v>727381</v>
      </c>
      <c r="B3789">
        <v>2885642</v>
      </c>
      <c r="C3789" s="32">
        <v>43071.530891203707</v>
      </c>
    </row>
    <row r="3790" spans="1:3">
      <c r="A3790">
        <v>457848</v>
      </c>
      <c r="B3790">
        <v>149192</v>
      </c>
      <c r="C3790" s="32">
        <v>43072.60565972222</v>
      </c>
    </row>
    <row r="3791" spans="1:3">
      <c r="A3791">
        <v>164745</v>
      </c>
      <c r="B3791">
        <v>757910</v>
      </c>
      <c r="C3791" s="32">
        <v>43071.005833333336</v>
      </c>
    </row>
    <row r="3792" spans="1:3">
      <c r="A3792">
        <v>11139</v>
      </c>
      <c r="B3792">
        <v>4069500</v>
      </c>
      <c r="C3792" s="32">
        <v>43070.712129629632</v>
      </c>
    </row>
    <row r="3793" spans="1:3">
      <c r="A3793">
        <v>205613</v>
      </c>
      <c r="B3793">
        <v>2342116</v>
      </c>
      <c r="C3793" s="32">
        <v>43070.573020833333</v>
      </c>
    </row>
    <row r="3794" spans="1:3">
      <c r="A3794">
        <v>914089</v>
      </c>
      <c r="B3794">
        <v>4145813</v>
      </c>
      <c r="C3794" s="32">
        <v>43070.485393518517</v>
      </c>
    </row>
    <row r="3795" spans="1:3">
      <c r="A3795">
        <v>741005</v>
      </c>
      <c r="B3795">
        <v>294562</v>
      </c>
      <c r="C3795" s="32">
        <v>43071.561539351853</v>
      </c>
    </row>
    <row r="3796" spans="1:3">
      <c r="A3796">
        <v>805069</v>
      </c>
      <c r="B3796">
        <v>4217906</v>
      </c>
      <c r="C3796" s="32">
        <v>43072.079479166663</v>
      </c>
    </row>
    <row r="3797" spans="1:3">
      <c r="A3797">
        <v>57338</v>
      </c>
      <c r="B3797">
        <v>810632</v>
      </c>
      <c r="C3797" s="32">
        <v>43072.515914351854</v>
      </c>
    </row>
    <row r="3798" spans="1:3">
      <c r="A3798">
        <v>220948</v>
      </c>
      <c r="B3798">
        <v>3340725</v>
      </c>
      <c r="C3798" s="32">
        <v>43071.225729166668</v>
      </c>
    </row>
    <row r="3799" spans="1:3">
      <c r="A3799">
        <v>522973</v>
      </c>
      <c r="B3799">
        <v>411153</v>
      </c>
      <c r="C3799" s="32">
        <v>43072.404826388891</v>
      </c>
    </row>
    <row r="3800" spans="1:3">
      <c r="A3800">
        <v>809687</v>
      </c>
      <c r="B3800">
        <v>2440115</v>
      </c>
      <c r="C3800" s="32">
        <v>43071.54550925926</v>
      </c>
    </row>
    <row r="3801" spans="1:3">
      <c r="A3801">
        <v>364838</v>
      </c>
      <c r="B3801">
        <v>2940518</v>
      </c>
      <c r="C3801" s="32">
        <v>43071.065567129626</v>
      </c>
    </row>
    <row r="3802" spans="1:3">
      <c r="A3802">
        <v>580225</v>
      </c>
      <c r="B3802">
        <v>1009182</v>
      </c>
      <c r="C3802" s="32">
        <v>43071.685798611114</v>
      </c>
    </row>
    <row r="3803" spans="1:3">
      <c r="A3803">
        <v>367531</v>
      </c>
      <c r="B3803">
        <v>2578647</v>
      </c>
      <c r="C3803" s="32">
        <v>43070.363483796296</v>
      </c>
    </row>
    <row r="3804" spans="1:3">
      <c r="A3804">
        <v>164287</v>
      </c>
      <c r="B3804">
        <v>2939262</v>
      </c>
      <c r="C3804" s="32">
        <v>43071.593368055554</v>
      </c>
    </row>
    <row r="3805" spans="1:3">
      <c r="A3805">
        <v>470439</v>
      </c>
      <c r="B3805">
        <v>4801426</v>
      </c>
      <c r="C3805" s="32">
        <v>43071.543402777781</v>
      </c>
    </row>
    <row r="3806" spans="1:3">
      <c r="A3806">
        <v>893268</v>
      </c>
      <c r="B3806">
        <v>1320293</v>
      </c>
      <c r="C3806" s="32">
        <v>43072.059259259258</v>
      </c>
    </row>
    <row r="3807" spans="1:3">
      <c r="A3807">
        <v>1017189</v>
      </c>
      <c r="B3807">
        <v>2948269</v>
      </c>
      <c r="C3807" s="32">
        <v>43070.559282407405</v>
      </c>
    </row>
    <row r="3808" spans="1:3">
      <c r="A3808">
        <v>366564</v>
      </c>
      <c r="B3808">
        <v>1464116</v>
      </c>
      <c r="C3808" s="32">
        <v>43071.516250000001</v>
      </c>
    </row>
    <row r="3809" spans="1:3">
      <c r="A3809">
        <v>292392</v>
      </c>
      <c r="B3809">
        <v>3720767</v>
      </c>
      <c r="C3809" s="32">
        <v>43070.345625000002</v>
      </c>
    </row>
    <row r="3810" spans="1:3">
      <c r="A3810">
        <v>154605</v>
      </c>
      <c r="B3810">
        <v>2891408</v>
      </c>
      <c r="C3810" s="32">
        <v>43071.545590277776</v>
      </c>
    </row>
    <row r="3811" spans="1:3">
      <c r="A3811">
        <v>523280</v>
      </c>
      <c r="B3811">
        <v>4217906</v>
      </c>
      <c r="C3811" s="32">
        <v>43070.272604166668</v>
      </c>
    </row>
    <row r="3812" spans="1:3">
      <c r="A3812">
        <v>696511</v>
      </c>
      <c r="B3812">
        <v>2920476</v>
      </c>
      <c r="C3812" s="32">
        <v>43071.288217592592</v>
      </c>
    </row>
    <row r="3813" spans="1:3">
      <c r="A3813">
        <v>771567</v>
      </c>
      <c r="B3813">
        <v>2651305</v>
      </c>
      <c r="C3813" s="32">
        <v>43070.539826388886</v>
      </c>
    </row>
    <row r="3814" spans="1:3">
      <c r="A3814">
        <v>923608</v>
      </c>
      <c r="B3814">
        <v>4664549</v>
      </c>
      <c r="C3814" s="32">
        <v>43072.476446759261</v>
      </c>
    </row>
    <row r="3815" spans="1:3">
      <c r="A3815">
        <v>903041</v>
      </c>
      <c r="B3815">
        <v>2361828</v>
      </c>
      <c r="C3815" s="32">
        <v>43071.672893518517</v>
      </c>
    </row>
    <row r="3816" spans="1:3">
      <c r="A3816">
        <v>799545</v>
      </c>
      <c r="B3816">
        <v>5071267</v>
      </c>
      <c r="C3816" s="32">
        <v>43070.601620370369</v>
      </c>
    </row>
    <row r="3817" spans="1:3">
      <c r="A3817">
        <v>107183</v>
      </c>
      <c r="B3817">
        <v>2304296</v>
      </c>
      <c r="C3817" s="32">
        <v>43071.67564814815</v>
      </c>
    </row>
    <row r="3818" spans="1:3">
      <c r="A3818">
        <v>195396</v>
      </c>
      <c r="B3818">
        <v>3015852</v>
      </c>
      <c r="C3818" s="32">
        <v>43070.588009259256</v>
      </c>
    </row>
    <row r="3819" spans="1:3">
      <c r="A3819">
        <v>475668</v>
      </c>
      <c r="B3819">
        <v>2640118</v>
      </c>
      <c r="C3819" s="32">
        <v>43071.445405092592</v>
      </c>
    </row>
    <row r="3820" spans="1:3">
      <c r="A3820">
        <v>468924</v>
      </c>
      <c r="B3820">
        <v>753984</v>
      </c>
      <c r="C3820" s="32">
        <v>43069.95140046296</v>
      </c>
    </row>
    <row r="3821" spans="1:3">
      <c r="A3821">
        <v>447245</v>
      </c>
      <c r="B3821">
        <v>2572604</v>
      </c>
      <c r="C3821" s="32">
        <v>43071.570740740739</v>
      </c>
    </row>
    <row r="3822" spans="1:3">
      <c r="A3822">
        <v>577372</v>
      </c>
      <c r="B3822">
        <v>2228184</v>
      </c>
      <c r="C3822" s="32">
        <v>43071.431284722225</v>
      </c>
    </row>
    <row r="3823" spans="1:3">
      <c r="A3823">
        <v>943305</v>
      </c>
      <c r="B3823">
        <v>1567637</v>
      </c>
      <c r="C3823" s="32">
        <v>43072.271805555552</v>
      </c>
    </row>
    <row r="3824" spans="1:3">
      <c r="A3824">
        <v>826236</v>
      </c>
      <c r="B3824">
        <v>1859277</v>
      </c>
      <c r="C3824" s="32">
        <v>43072.370659722219</v>
      </c>
    </row>
    <row r="3825" spans="1:3">
      <c r="A3825">
        <v>312760</v>
      </c>
      <c r="B3825">
        <v>4654786</v>
      </c>
      <c r="C3825" s="32">
        <v>43070.12699074074</v>
      </c>
    </row>
    <row r="3826" spans="1:3">
      <c r="A3826">
        <v>140329</v>
      </c>
      <c r="B3826">
        <v>1464116</v>
      </c>
      <c r="C3826" s="32">
        <v>43071.519236111111</v>
      </c>
    </row>
    <row r="3827" spans="1:3">
      <c r="A3827">
        <v>132902</v>
      </c>
      <c r="B3827">
        <v>1879194</v>
      </c>
      <c r="C3827" s="32">
        <v>43071.115983796299</v>
      </c>
    </row>
    <row r="3828" spans="1:3">
      <c r="A3828">
        <v>712024</v>
      </c>
      <c r="B3828">
        <v>4606718</v>
      </c>
      <c r="C3828" s="32">
        <v>43070.718819444446</v>
      </c>
    </row>
    <row r="3829" spans="1:3">
      <c r="A3829">
        <v>789334</v>
      </c>
      <c r="B3829">
        <v>2774299</v>
      </c>
      <c r="C3829" s="32">
        <v>43071.652800925927</v>
      </c>
    </row>
    <row r="3830" spans="1:3">
      <c r="A3830">
        <v>860382</v>
      </c>
      <c r="B3830">
        <v>1312642</v>
      </c>
      <c r="C3830" s="32">
        <v>43071.550208333334</v>
      </c>
    </row>
    <row r="3831" spans="1:3">
      <c r="A3831">
        <v>39986</v>
      </c>
      <c r="B3831">
        <v>171529</v>
      </c>
      <c r="C3831" s="32">
        <v>43072.065879629627</v>
      </c>
    </row>
    <row r="3832" spans="1:3">
      <c r="A3832">
        <v>737581</v>
      </c>
      <c r="B3832">
        <v>3758209</v>
      </c>
      <c r="C3832" s="32">
        <v>43072.494120370371</v>
      </c>
    </row>
    <row r="3833" spans="1:3">
      <c r="A3833">
        <v>861400</v>
      </c>
      <c r="B3833">
        <v>4357323</v>
      </c>
      <c r="C3833" s="32">
        <v>43071.266041666669</v>
      </c>
    </row>
    <row r="3834" spans="1:3">
      <c r="A3834">
        <v>527616</v>
      </c>
      <c r="B3834">
        <v>1265358</v>
      </c>
      <c r="C3834" s="32">
        <v>43072.607199074075</v>
      </c>
    </row>
    <row r="3835" spans="1:3">
      <c r="A3835">
        <v>529258</v>
      </c>
      <c r="B3835">
        <v>4357323</v>
      </c>
      <c r="C3835" s="32">
        <v>43072.533437500002</v>
      </c>
    </row>
    <row r="3836" spans="1:3">
      <c r="A3836">
        <v>744244</v>
      </c>
      <c r="B3836">
        <v>2157356</v>
      </c>
      <c r="C3836" s="32">
        <v>43072.356481481482</v>
      </c>
    </row>
    <row r="3837" spans="1:3">
      <c r="A3837">
        <v>823922</v>
      </c>
      <c r="B3837">
        <v>2640118</v>
      </c>
      <c r="C3837" s="32">
        <v>43070.202928240738</v>
      </c>
    </row>
    <row r="3838" spans="1:3">
      <c r="A3838">
        <v>340449</v>
      </c>
      <c r="B3838">
        <v>4145813</v>
      </c>
      <c r="C3838" s="32">
        <v>43071.387800925928</v>
      </c>
    </row>
    <row r="3839" spans="1:3">
      <c r="A3839">
        <v>364866</v>
      </c>
      <c r="B3839">
        <v>4145813</v>
      </c>
      <c r="C3839" s="32">
        <v>43071.754745370374</v>
      </c>
    </row>
    <row r="3840" spans="1:3">
      <c r="A3840">
        <v>437702</v>
      </c>
      <c r="B3840">
        <v>1288487</v>
      </c>
      <c r="C3840" s="32">
        <v>43072.54011574074</v>
      </c>
    </row>
    <row r="3841" spans="1:3">
      <c r="A3841">
        <v>531988</v>
      </c>
      <c r="B3841">
        <v>3706169</v>
      </c>
      <c r="C3841" s="32">
        <v>43072.507777777777</v>
      </c>
    </row>
    <row r="3842" spans="1:3">
      <c r="A3842">
        <v>734342</v>
      </c>
      <c r="B3842">
        <v>2072473</v>
      </c>
      <c r="C3842" s="32">
        <v>43069.974085648151</v>
      </c>
    </row>
    <row r="3843" spans="1:3">
      <c r="A3843">
        <v>281765</v>
      </c>
      <c r="B3843">
        <v>941949</v>
      </c>
      <c r="C3843" s="32">
        <v>43070.741782407407</v>
      </c>
    </row>
    <row r="3844" spans="1:3">
      <c r="A3844">
        <v>86876</v>
      </c>
      <c r="B3844">
        <v>3209590</v>
      </c>
      <c r="C3844" s="32">
        <v>43070.23940972222</v>
      </c>
    </row>
    <row r="3845" spans="1:3">
      <c r="A3845">
        <v>235859</v>
      </c>
      <c r="B3845">
        <v>1216617</v>
      </c>
      <c r="C3845" s="32">
        <v>43071.867407407408</v>
      </c>
    </row>
    <row r="3846" spans="1:3">
      <c r="A3846">
        <v>784901</v>
      </c>
      <c r="B3846">
        <v>622168</v>
      </c>
      <c r="C3846" s="32">
        <v>43071.643599537034</v>
      </c>
    </row>
    <row r="3847" spans="1:3">
      <c r="A3847">
        <v>920174</v>
      </c>
      <c r="B3847">
        <v>174239</v>
      </c>
      <c r="C3847" s="32">
        <v>43070.866608796299</v>
      </c>
    </row>
    <row r="3848" spans="1:3">
      <c r="A3848">
        <v>528315</v>
      </c>
      <c r="B3848">
        <v>2440115</v>
      </c>
      <c r="C3848" s="32">
        <v>43070.590717592589</v>
      </c>
    </row>
    <row r="3849" spans="1:3">
      <c r="A3849">
        <v>772347</v>
      </c>
      <c r="B3849">
        <v>3160926</v>
      </c>
      <c r="C3849" s="32">
        <v>43072.441493055558</v>
      </c>
    </row>
    <row r="3850" spans="1:3">
      <c r="A3850">
        <v>288941</v>
      </c>
      <c r="B3850">
        <v>965809</v>
      </c>
      <c r="C3850" s="32">
        <v>43071.401284722226</v>
      </c>
    </row>
    <row r="3851" spans="1:3">
      <c r="A3851">
        <v>244828</v>
      </c>
      <c r="B3851">
        <v>411153</v>
      </c>
      <c r="C3851" s="32">
        <v>43072.458553240744</v>
      </c>
    </row>
    <row r="3852" spans="1:3">
      <c r="A3852">
        <v>668758</v>
      </c>
      <c r="B3852">
        <v>2627103</v>
      </c>
      <c r="C3852" s="32">
        <v>43071.081932870373</v>
      </c>
    </row>
    <row r="3853" spans="1:3">
      <c r="A3853">
        <v>337154</v>
      </c>
      <c r="B3853">
        <v>2355072</v>
      </c>
      <c r="C3853" s="32">
        <v>43071.59302083333</v>
      </c>
    </row>
    <row r="3854" spans="1:3">
      <c r="A3854">
        <v>169581</v>
      </c>
      <c r="B3854">
        <v>4731191</v>
      </c>
      <c r="C3854" s="32">
        <v>43071.590474537035</v>
      </c>
    </row>
    <row r="3855" spans="1:3">
      <c r="A3855">
        <v>483894</v>
      </c>
      <c r="B3855">
        <v>4756105</v>
      </c>
      <c r="C3855" s="32">
        <v>43072.051087962966</v>
      </c>
    </row>
    <row r="3856" spans="1:3">
      <c r="A3856">
        <v>280498</v>
      </c>
      <c r="B3856">
        <v>542584</v>
      </c>
      <c r="C3856" s="32">
        <v>43071.626493055555</v>
      </c>
    </row>
    <row r="3857" spans="1:3">
      <c r="A3857">
        <v>990473</v>
      </c>
      <c r="B3857">
        <v>982926</v>
      </c>
      <c r="C3857" s="32">
        <v>43071.005312499998</v>
      </c>
    </row>
    <row r="3858" spans="1:3">
      <c r="A3858">
        <v>664242</v>
      </c>
      <c r="B3858">
        <v>800581</v>
      </c>
      <c r="C3858" s="32">
        <v>43070.642523148148</v>
      </c>
    </row>
    <row r="3859" spans="1:3">
      <c r="A3859">
        <v>581096</v>
      </c>
      <c r="B3859">
        <v>2798696</v>
      </c>
      <c r="C3859" s="32">
        <v>43069.794016203705</v>
      </c>
    </row>
    <row r="3860" spans="1:3">
      <c r="A3860">
        <v>734729</v>
      </c>
      <c r="B3860">
        <v>4756105</v>
      </c>
      <c r="C3860" s="32">
        <v>43070.735138888886</v>
      </c>
    </row>
    <row r="3861" spans="1:3">
      <c r="A3861">
        <v>675322</v>
      </c>
      <c r="B3861">
        <v>1216617</v>
      </c>
      <c r="C3861" s="32">
        <v>43070.302372685182</v>
      </c>
    </row>
    <row r="3862" spans="1:3">
      <c r="A3862">
        <v>19303</v>
      </c>
      <c r="B3862">
        <v>2459106</v>
      </c>
      <c r="C3862" s="32">
        <v>43070.442141203705</v>
      </c>
    </row>
    <row r="3863" spans="1:3">
      <c r="A3863">
        <v>20092</v>
      </c>
      <c r="B3863">
        <v>611849</v>
      </c>
      <c r="C3863" s="32">
        <v>43070.619375000002</v>
      </c>
    </row>
    <row r="3864" spans="1:3">
      <c r="A3864">
        <v>319216</v>
      </c>
      <c r="B3864">
        <v>4756105</v>
      </c>
      <c r="C3864" s="32">
        <v>43070.599409722221</v>
      </c>
    </row>
    <row r="3865" spans="1:3">
      <c r="A3865">
        <v>527069</v>
      </c>
      <c r="B3865">
        <v>3361496</v>
      </c>
      <c r="C3865" s="32">
        <v>43071.299085648148</v>
      </c>
    </row>
    <row r="3866" spans="1:3">
      <c r="A3866">
        <v>725149</v>
      </c>
      <c r="B3866">
        <v>1320293</v>
      </c>
      <c r="C3866" s="32">
        <v>43071.540868055556</v>
      </c>
    </row>
    <row r="3867" spans="1:3">
      <c r="A3867">
        <v>307344</v>
      </c>
      <c r="B3867">
        <v>2465336</v>
      </c>
      <c r="C3867" s="32">
        <v>43071.180833333332</v>
      </c>
    </row>
    <row r="3868" spans="1:3">
      <c r="A3868">
        <v>333819</v>
      </c>
      <c r="B3868">
        <v>1467750</v>
      </c>
      <c r="C3868" s="32">
        <v>43072.498240740744</v>
      </c>
    </row>
    <row r="3869" spans="1:3">
      <c r="A3869">
        <v>232390</v>
      </c>
      <c r="B3869">
        <v>982926</v>
      </c>
      <c r="C3869" s="32">
        <v>43069.863692129627</v>
      </c>
    </row>
    <row r="3870" spans="1:3">
      <c r="A3870">
        <v>58711</v>
      </c>
      <c r="B3870">
        <v>2210612</v>
      </c>
      <c r="C3870" s="32">
        <v>43072.160092592596</v>
      </c>
    </row>
    <row r="3871" spans="1:3">
      <c r="A3871">
        <v>148065</v>
      </c>
      <c r="B3871">
        <v>2640118</v>
      </c>
      <c r="C3871" s="32">
        <v>43070.624918981484</v>
      </c>
    </row>
    <row r="3872" spans="1:3">
      <c r="A3872">
        <v>279073</v>
      </c>
      <c r="B3872">
        <v>2547494</v>
      </c>
      <c r="C3872" s="32">
        <v>43072.640601851854</v>
      </c>
    </row>
    <row r="3873" spans="1:3">
      <c r="A3873">
        <v>717939</v>
      </c>
      <c r="B3873">
        <v>3702593</v>
      </c>
      <c r="C3873" s="32">
        <v>43071.331817129627</v>
      </c>
    </row>
    <row r="3874" spans="1:3">
      <c r="A3874">
        <v>693874</v>
      </c>
      <c r="B3874">
        <v>3002561</v>
      </c>
      <c r="C3874" s="32">
        <v>43072.137754629628</v>
      </c>
    </row>
    <row r="3875" spans="1:3">
      <c r="A3875">
        <v>777661</v>
      </c>
      <c r="B3875">
        <v>1320293</v>
      </c>
      <c r="C3875" s="32">
        <v>43071.431655092594</v>
      </c>
    </row>
    <row r="3876" spans="1:3">
      <c r="A3876">
        <v>445349</v>
      </c>
      <c r="B3876">
        <v>4308141</v>
      </c>
      <c r="C3876" s="32">
        <v>43072.388148148151</v>
      </c>
    </row>
    <row r="3877" spans="1:3">
      <c r="A3877">
        <v>306535</v>
      </c>
      <c r="B3877">
        <v>2020240</v>
      </c>
      <c r="C3877" s="32">
        <v>43071.392812500002</v>
      </c>
    </row>
    <row r="3878" spans="1:3">
      <c r="A3878">
        <v>618584</v>
      </c>
      <c r="B3878">
        <v>2891408</v>
      </c>
      <c r="C3878" s="32">
        <v>43072.3362037037</v>
      </c>
    </row>
    <row r="3879" spans="1:3">
      <c r="A3879">
        <v>719859</v>
      </c>
      <c r="B3879">
        <v>1297992</v>
      </c>
      <c r="C3879" s="32">
        <v>43071.014745370368</v>
      </c>
    </row>
    <row r="3880" spans="1:3">
      <c r="A3880">
        <v>909989</v>
      </c>
      <c r="B3880">
        <v>1776295</v>
      </c>
      <c r="C3880" s="32">
        <v>43070.856620370374</v>
      </c>
    </row>
    <row r="3881" spans="1:3">
      <c r="A3881">
        <v>829275</v>
      </c>
      <c r="B3881">
        <v>2465336</v>
      </c>
      <c r="C3881" s="32">
        <v>43071.62704861111</v>
      </c>
    </row>
    <row r="3882" spans="1:3">
      <c r="A3882">
        <v>562859</v>
      </c>
      <c r="B3882">
        <v>3607361</v>
      </c>
      <c r="C3882" s="32">
        <v>43070.442696759259</v>
      </c>
    </row>
    <row r="3883" spans="1:3">
      <c r="A3883">
        <v>672770</v>
      </c>
      <c r="B3883">
        <v>4138583</v>
      </c>
      <c r="C3883" s="32">
        <v>43071.26902777778</v>
      </c>
    </row>
    <row r="3884" spans="1:3">
      <c r="A3884">
        <v>8718</v>
      </c>
      <c r="B3884">
        <v>1567637</v>
      </c>
      <c r="C3884" s="32">
        <v>43072.533888888887</v>
      </c>
    </row>
    <row r="3885" spans="1:3">
      <c r="A3885">
        <v>975473</v>
      </c>
      <c r="B3885">
        <v>3607361</v>
      </c>
      <c r="C3885" s="32">
        <v>43071.504953703705</v>
      </c>
    </row>
    <row r="3886" spans="1:3">
      <c r="A3886">
        <v>658806</v>
      </c>
      <c r="B3886">
        <v>4159072</v>
      </c>
      <c r="C3886" s="32">
        <v>43072.170011574075</v>
      </c>
    </row>
    <row r="3887" spans="1:3">
      <c r="A3887">
        <v>68861</v>
      </c>
      <c r="B3887">
        <v>3002561</v>
      </c>
      <c r="C3887" s="32">
        <v>43071.271504629629</v>
      </c>
    </row>
    <row r="3888" spans="1:3">
      <c r="A3888">
        <v>274191</v>
      </c>
      <c r="B3888">
        <v>52368</v>
      </c>
      <c r="C3888" s="32">
        <v>43071.640127314815</v>
      </c>
    </row>
    <row r="3889" spans="1:3">
      <c r="A3889">
        <v>734989</v>
      </c>
      <c r="B3889">
        <v>1574064</v>
      </c>
      <c r="C3889" s="32">
        <v>43072.603796296295</v>
      </c>
    </row>
    <row r="3890" spans="1:3">
      <c r="A3890">
        <v>957200</v>
      </c>
      <c r="B3890">
        <v>200278</v>
      </c>
      <c r="C3890" s="32">
        <v>43071.98333333333</v>
      </c>
    </row>
    <row r="3891" spans="1:3">
      <c r="A3891">
        <v>852342</v>
      </c>
      <c r="B3891">
        <v>2640118</v>
      </c>
      <c r="C3891" s="32">
        <v>43070.021435185183</v>
      </c>
    </row>
    <row r="3892" spans="1:3">
      <c r="A3892">
        <v>756503</v>
      </c>
      <c r="B3892">
        <v>2891509</v>
      </c>
      <c r="C3892" s="32">
        <v>43071.535011574073</v>
      </c>
    </row>
    <row r="3893" spans="1:3">
      <c r="A3893">
        <v>587395</v>
      </c>
      <c r="B3893">
        <v>1609467</v>
      </c>
      <c r="C3893" s="32">
        <v>43071.494803240741</v>
      </c>
    </row>
    <row r="3894" spans="1:3">
      <c r="A3894">
        <v>785999</v>
      </c>
      <c r="B3894">
        <v>2885642</v>
      </c>
      <c r="C3894" s="32">
        <v>43071.370393518519</v>
      </c>
    </row>
    <row r="3895" spans="1:3">
      <c r="A3895">
        <v>138491</v>
      </c>
      <c r="B3895">
        <v>1575622</v>
      </c>
      <c r="C3895" s="32">
        <v>43071.355254629627</v>
      </c>
    </row>
    <row r="3896" spans="1:3">
      <c r="A3896">
        <v>528928</v>
      </c>
      <c r="B3896">
        <v>1320293</v>
      </c>
      <c r="C3896" s="32">
        <v>43071.20171296296</v>
      </c>
    </row>
    <row r="3897" spans="1:3">
      <c r="A3897">
        <v>917564</v>
      </c>
      <c r="B3897">
        <v>3975787</v>
      </c>
      <c r="C3897" s="32">
        <v>43072.666319444441</v>
      </c>
    </row>
    <row r="3898" spans="1:3">
      <c r="A3898">
        <v>80198</v>
      </c>
      <c r="B3898">
        <v>5071267</v>
      </c>
      <c r="C3898" s="32">
        <v>43070.321203703701</v>
      </c>
    </row>
    <row r="3899" spans="1:3">
      <c r="A3899">
        <v>368579</v>
      </c>
      <c r="B3899">
        <v>4301450</v>
      </c>
      <c r="C3899" s="32">
        <v>43071.651516203703</v>
      </c>
    </row>
    <row r="3900" spans="1:3">
      <c r="A3900">
        <v>439354</v>
      </c>
      <c r="B3900">
        <v>1879194</v>
      </c>
      <c r="C3900" s="32">
        <v>43070.980231481481</v>
      </c>
    </row>
    <row r="3901" spans="1:3">
      <c r="A3901">
        <v>568572</v>
      </c>
      <c r="B3901">
        <v>570735</v>
      </c>
      <c r="C3901" s="32">
        <v>43070.116226851853</v>
      </c>
    </row>
    <row r="3902" spans="1:3">
      <c r="A3902">
        <v>6093</v>
      </c>
      <c r="B3902">
        <v>3108044</v>
      </c>
      <c r="C3902" s="32">
        <v>43072.421261574076</v>
      </c>
    </row>
    <row r="3903" spans="1:3">
      <c r="A3903">
        <v>17068</v>
      </c>
      <c r="B3903">
        <v>2772071</v>
      </c>
      <c r="C3903" s="32">
        <v>43070.44809027778</v>
      </c>
    </row>
    <row r="3904" spans="1:3">
      <c r="A3904">
        <v>142921</v>
      </c>
      <c r="B3904">
        <v>3231625</v>
      </c>
      <c r="C3904" s="32">
        <v>43071.941655092596</v>
      </c>
    </row>
    <row r="3905" spans="1:3">
      <c r="A3905">
        <v>885925</v>
      </c>
      <c r="B3905">
        <v>886203</v>
      </c>
      <c r="C3905" s="32">
        <v>43071.562476851854</v>
      </c>
    </row>
    <row r="3906" spans="1:3">
      <c r="A3906">
        <v>792393</v>
      </c>
      <c r="B3906">
        <v>1216617</v>
      </c>
      <c r="C3906" s="32">
        <v>43070.574907407405</v>
      </c>
    </row>
    <row r="3907" spans="1:3">
      <c r="A3907">
        <v>530634</v>
      </c>
      <c r="B3907">
        <v>1859277</v>
      </c>
      <c r="C3907" s="32">
        <v>43071.590567129628</v>
      </c>
    </row>
    <row r="3908" spans="1:3">
      <c r="A3908">
        <v>435031</v>
      </c>
      <c r="B3908">
        <v>1299190</v>
      </c>
      <c r="C3908" s="32">
        <v>43071.411840277775</v>
      </c>
    </row>
    <row r="3909" spans="1:3">
      <c r="A3909">
        <v>919618</v>
      </c>
      <c r="B3909">
        <v>4818107</v>
      </c>
      <c r="C3909" s="32">
        <v>43071.55296296296</v>
      </c>
    </row>
    <row r="3910" spans="1:3">
      <c r="A3910">
        <v>44263</v>
      </c>
      <c r="B3910">
        <v>4051859</v>
      </c>
      <c r="C3910" s="32">
        <v>43071.583310185182</v>
      </c>
    </row>
    <row r="3911" spans="1:3">
      <c r="A3911">
        <v>270592</v>
      </c>
      <c r="B3911">
        <v>3579754</v>
      </c>
      <c r="C3911" s="32">
        <v>43070.444178240738</v>
      </c>
    </row>
    <row r="3912" spans="1:3">
      <c r="A3912">
        <v>580148</v>
      </c>
      <c r="B3912">
        <v>4801426</v>
      </c>
      <c r="C3912" s="32">
        <v>43071.367442129631</v>
      </c>
    </row>
    <row r="3913" spans="1:3">
      <c r="A3913">
        <v>844518</v>
      </c>
      <c r="B3913">
        <v>1464116</v>
      </c>
      <c r="C3913" s="32">
        <v>43072.100543981483</v>
      </c>
    </row>
    <row r="3914" spans="1:3">
      <c r="A3914">
        <v>215514</v>
      </c>
      <c r="B3914">
        <v>4993094</v>
      </c>
      <c r="C3914" s="32">
        <v>43072.647696759261</v>
      </c>
    </row>
    <row r="3915" spans="1:3">
      <c r="A3915">
        <v>399358</v>
      </c>
      <c r="B3915">
        <v>2940518</v>
      </c>
      <c r="C3915" s="32">
        <v>43071.594166666669</v>
      </c>
    </row>
    <row r="3916" spans="1:3">
      <c r="A3916">
        <v>404652</v>
      </c>
      <c r="B3916">
        <v>4756105</v>
      </c>
      <c r="C3916" s="32">
        <v>43070.429872685185</v>
      </c>
    </row>
    <row r="3917" spans="1:3">
      <c r="A3917">
        <v>406660</v>
      </c>
      <c r="B3917">
        <v>4267003</v>
      </c>
      <c r="C3917" s="32">
        <v>43071.446435185186</v>
      </c>
    </row>
    <row r="3918" spans="1:3">
      <c r="A3918">
        <v>907059</v>
      </c>
      <c r="B3918">
        <v>4244487</v>
      </c>
      <c r="C3918" s="32">
        <v>43071.572974537034</v>
      </c>
    </row>
    <row r="3919" spans="1:3">
      <c r="A3919">
        <v>158574</v>
      </c>
      <c r="B3919">
        <v>2355072</v>
      </c>
      <c r="C3919" s="32">
        <v>43071.707152777781</v>
      </c>
    </row>
    <row r="3920" spans="1:3">
      <c r="A3920">
        <v>642378</v>
      </c>
      <c r="B3920">
        <v>4672807</v>
      </c>
      <c r="C3920" s="32">
        <v>43069.668900462966</v>
      </c>
    </row>
    <row r="3921" spans="1:3">
      <c r="A3921">
        <v>992369</v>
      </c>
      <c r="B3921">
        <v>4697972</v>
      </c>
      <c r="C3921" s="32">
        <v>43070.725335648145</v>
      </c>
    </row>
    <row r="3922" spans="1:3">
      <c r="A3922">
        <v>387133</v>
      </c>
      <c r="B3922">
        <v>1973012</v>
      </c>
      <c r="C3922" s="32">
        <v>43071.643587962964</v>
      </c>
    </row>
    <row r="3923" spans="1:3">
      <c r="A3923">
        <v>399448</v>
      </c>
      <c r="B3923">
        <v>1678374</v>
      </c>
      <c r="C3923" s="32">
        <v>43070.269490740742</v>
      </c>
    </row>
    <row r="3924" spans="1:3">
      <c r="A3924">
        <v>360048</v>
      </c>
      <c r="B3924">
        <v>2590256</v>
      </c>
      <c r="C3924" s="32">
        <v>43071.16909722222</v>
      </c>
    </row>
    <row r="3925" spans="1:3">
      <c r="A3925">
        <v>846139</v>
      </c>
      <c r="B3925">
        <v>4217906</v>
      </c>
      <c r="C3925" s="32">
        <v>43071.347569444442</v>
      </c>
    </row>
    <row r="3926" spans="1:3">
      <c r="A3926">
        <v>108652</v>
      </c>
      <c r="B3926">
        <v>389704</v>
      </c>
      <c r="C3926" s="32">
        <v>43071.664525462962</v>
      </c>
    </row>
    <row r="3927" spans="1:3">
      <c r="A3927">
        <v>190770</v>
      </c>
      <c r="B3927">
        <v>3607361</v>
      </c>
      <c r="C3927" s="32">
        <v>43070.614247685182</v>
      </c>
    </row>
    <row r="3928" spans="1:3">
      <c r="A3928">
        <v>283021</v>
      </c>
      <c r="B3928">
        <v>366112</v>
      </c>
      <c r="C3928" s="32">
        <v>43071.445416666669</v>
      </c>
    </row>
    <row r="3929" spans="1:3">
      <c r="A3929">
        <v>240553</v>
      </c>
      <c r="B3929">
        <v>2735466</v>
      </c>
      <c r="C3929" s="32">
        <v>43072.657118055555</v>
      </c>
    </row>
    <row r="3930" spans="1:3">
      <c r="A3930">
        <v>299432</v>
      </c>
      <c r="B3930">
        <v>4606718</v>
      </c>
      <c r="C3930" s="32">
        <v>43072.400578703702</v>
      </c>
    </row>
    <row r="3931" spans="1:3">
      <c r="A3931">
        <v>334114</v>
      </c>
      <c r="B3931">
        <v>4267003</v>
      </c>
      <c r="C3931" s="32">
        <v>43071.374976851854</v>
      </c>
    </row>
    <row r="3932" spans="1:3">
      <c r="A3932">
        <v>526012</v>
      </c>
      <c r="B3932">
        <v>3738615</v>
      </c>
      <c r="C3932" s="32">
        <v>43072.556076388886</v>
      </c>
    </row>
    <row r="3933" spans="1:3">
      <c r="A3933">
        <v>743148</v>
      </c>
      <c r="B3933">
        <v>2735466</v>
      </c>
      <c r="C3933" s="32">
        <v>43070.885416666664</v>
      </c>
    </row>
    <row r="3934" spans="1:3">
      <c r="A3934">
        <v>535267</v>
      </c>
      <c r="B3934">
        <v>4697972</v>
      </c>
      <c r="C3934" s="32">
        <v>43071.560439814813</v>
      </c>
    </row>
    <row r="3935" spans="1:3">
      <c r="A3935">
        <v>660593</v>
      </c>
      <c r="B3935">
        <v>4181361</v>
      </c>
      <c r="C3935" s="32">
        <v>43072.629710648151</v>
      </c>
    </row>
    <row r="3936" spans="1:3">
      <c r="A3936">
        <v>612682</v>
      </c>
      <c r="B3936">
        <v>4583884</v>
      </c>
      <c r="C3936" s="32">
        <v>43070.544988425929</v>
      </c>
    </row>
    <row r="3937" spans="1:3">
      <c r="A3937">
        <v>556528</v>
      </c>
      <c r="B3937">
        <v>2247787</v>
      </c>
      <c r="C3937" s="32">
        <v>43072.532743055555</v>
      </c>
    </row>
    <row r="3938" spans="1:3">
      <c r="A3938">
        <v>995149</v>
      </c>
      <c r="B3938">
        <v>1165503</v>
      </c>
      <c r="C3938" s="32">
        <v>43072.185208333336</v>
      </c>
    </row>
    <row r="3939" spans="1:3">
      <c r="A3939">
        <v>497660</v>
      </c>
      <c r="B3939">
        <v>1879194</v>
      </c>
      <c r="C3939" s="32">
        <v>43071.667951388888</v>
      </c>
    </row>
    <row r="3940" spans="1:3">
      <c r="A3940">
        <v>687711</v>
      </c>
      <c r="B3940">
        <v>874415</v>
      </c>
      <c r="C3940" s="32">
        <v>43070.579548611109</v>
      </c>
    </row>
    <row r="3941" spans="1:3">
      <c r="A3941">
        <v>288516</v>
      </c>
      <c r="B3941">
        <v>1025720</v>
      </c>
      <c r="C3941" s="32">
        <v>43070.437326388892</v>
      </c>
    </row>
    <row r="3942" spans="1:3">
      <c r="A3942">
        <v>301970</v>
      </c>
      <c r="B3942">
        <v>2096639</v>
      </c>
      <c r="C3942" s="32">
        <v>43072.472245370373</v>
      </c>
    </row>
    <row r="3943" spans="1:3">
      <c r="A3943">
        <v>521312</v>
      </c>
      <c r="B3943">
        <v>4784134</v>
      </c>
      <c r="C3943" s="32">
        <v>43070.253819444442</v>
      </c>
    </row>
    <row r="3944" spans="1:3">
      <c r="A3944">
        <v>730828</v>
      </c>
      <c r="B3944">
        <v>2629787</v>
      </c>
      <c r="C3944" s="32">
        <v>43071.285601851851</v>
      </c>
    </row>
    <row r="3945" spans="1:3">
      <c r="A3945">
        <v>934554</v>
      </c>
      <c r="B3945">
        <v>4756105</v>
      </c>
      <c r="C3945" s="32">
        <v>43071.119768518518</v>
      </c>
    </row>
    <row r="3946" spans="1:3">
      <c r="A3946">
        <v>653573</v>
      </c>
      <c r="B3946">
        <v>2578647</v>
      </c>
      <c r="C3946" s="32">
        <v>43071.546736111108</v>
      </c>
    </row>
    <row r="3947" spans="1:3">
      <c r="A3947">
        <v>772019</v>
      </c>
      <c r="B3947">
        <v>611849</v>
      </c>
      <c r="C3947" s="32">
        <v>43071.231354166666</v>
      </c>
    </row>
    <row r="3948" spans="1:3">
      <c r="A3948">
        <v>775154</v>
      </c>
      <c r="B3948">
        <v>4606718</v>
      </c>
      <c r="C3948" s="32">
        <v>43071.497557870367</v>
      </c>
    </row>
    <row r="3949" spans="1:3">
      <c r="A3949">
        <v>737873</v>
      </c>
      <c r="B3949">
        <v>5052842</v>
      </c>
      <c r="C3949" s="32">
        <v>43070.694837962961</v>
      </c>
    </row>
    <row r="3950" spans="1:3">
      <c r="A3950">
        <v>785357</v>
      </c>
      <c r="B3950">
        <v>2877672</v>
      </c>
      <c r="C3950" s="32">
        <v>43072.659953703704</v>
      </c>
    </row>
    <row r="3951" spans="1:3">
      <c r="A3951">
        <v>719526</v>
      </c>
      <c r="B3951">
        <v>526781</v>
      </c>
      <c r="C3951" s="32">
        <v>43071.346655092595</v>
      </c>
    </row>
    <row r="3952" spans="1:3">
      <c r="A3952">
        <v>966449</v>
      </c>
      <c r="B3952">
        <v>411153</v>
      </c>
      <c r="C3952" s="32">
        <v>43071.51934027778</v>
      </c>
    </row>
    <row r="3953" spans="1:3">
      <c r="A3953">
        <v>328001</v>
      </c>
      <c r="B3953">
        <v>149192</v>
      </c>
      <c r="C3953" s="32">
        <v>43071.55363425926</v>
      </c>
    </row>
    <row r="3954" spans="1:3">
      <c r="A3954">
        <v>597022</v>
      </c>
      <c r="B3954">
        <v>1868423</v>
      </c>
      <c r="C3954" s="32">
        <v>43070.698113425926</v>
      </c>
    </row>
    <row r="3955" spans="1:3">
      <c r="A3955">
        <v>840327</v>
      </c>
      <c r="B3955">
        <v>2342116</v>
      </c>
      <c r="C3955" s="32">
        <v>43072.100011574075</v>
      </c>
    </row>
    <row r="3956" spans="1:3">
      <c r="A3956">
        <v>437665</v>
      </c>
      <c r="B3956">
        <v>1884322</v>
      </c>
      <c r="C3956" s="32">
        <v>43071.185868055552</v>
      </c>
    </row>
    <row r="3957" spans="1:3">
      <c r="A3957">
        <v>101853</v>
      </c>
      <c r="B3957">
        <v>3598912</v>
      </c>
      <c r="C3957" s="32">
        <v>43070.216157407405</v>
      </c>
    </row>
    <row r="3958" spans="1:3">
      <c r="A3958">
        <v>704219</v>
      </c>
      <c r="B3958">
        <v>1787510</v>
      </c>
      <c r="C3958" s="32">
        <v>43072.653506944444</v>
      </c>
    </row>
    <row r="3959" spans="1:3">
      <c r="A3959">
        <v>22243</v>
      </c>
      <c r="B3959">
        <v>2082734</v>
      </c>
      <c r="C3959" s="32">
        <v>43072.444861111115</v>
      </c>
    </row>
    <row r="3960" spans="1:3">
      <c r="A3960">
        <v>869489</v>
      </c>
      <c r="B3960">
        <v>4145813</v>
      </c>
      <c r="C3960" s="32">
        <v>43072.144988425927</v>
      </c>
    </row>
    <row r="3961" spans="1:3">
      <c r="A3961">
        <v>874265</v>
      </c>
      <c r="B3961">
        <v>982926</v>
      </c>
      <c r="C3961" s="32">
        <v>43070.530752314815</v>
      </c>
    </row>
    <row r="3962" spans="1:3">
      <c r="A3962">
        <v>298094</v>
      </c>
      <c r="B3962">
        <v>1349561</v>
      </c>
      <c r="C3962" s="32">
        <v>43071.23940972222</v>
      </c>
    </row>
    <row r="3963" spans="1:3">
      <c r="A3963">
        <v>746207</v>
      </c>
      <c r="B3963">
        <v>4152994</v>
      </c>
      <c r="C3963" s="32">
        <v>43072.650879629633</v>
      </c>
    </row>
    <row r="3964" spans="1:3">
      <c r="A3964">
        <v>22172</v>
      </c>
      <c r="B3964">
        <v>1288487</v>
      </c>
      <c r="C3964" s="32">
        <v>43072.417928240742</v>
      </c>
    </row>
    <row r="3965" spans="1:3">
      <c r="A3965">
        <v>395152</v>
      </c>
      <c r="B3965">
        <v>4181361</v>
      </c>
      <c r="C3965" s="32">
        <v>43072.482870370368</v>
      </c>
    </row>
    <row r="3966" spans="1:3">
      <c r="A3966">
        <v>221939</v>
      </c>
      <c r="B3966">
        <v>4640311</v>
      </c>
      <c r="C3966" s="32">
        <v>43071.307118055556</v>
      </c>
    </row>
    <row r="3967" spans="1:3">
      <c r="A3967">
        <v>944391</v>
      </c>
      <c r="B3967">
        <v>135038</v>
      </c>
      <c r="C3967" s="32">
        <v>43070.284363425926</v>
      </c>
    </row>
    <row r="3968" spans="1:3">
      <c r="A3968">
        <v>761879</v>
      </c>
      <c r="B3968">
        <v>841696</v>
      </c>
      <c r="C3968" s="32">
        <v>43070.333993055552</v>
      </c>
    </row>
    <row r="3969" spans="1:3">
      <c r="A3969">
        <v>476615</v>
      </c>
      <c r="B3969">
        <v>2735466</v>
      </c>
      <c r="C3969" s="32">
        <v>43071.543912037036</v>
      </c>
    </row>
    <row r="3970" spans="1:3">
      <c r="A3970">
        <v>37171</v>
      </c>
      <c r="B3970">
        <v>2465336</v>
      </c>
      <c r="C3970" s="32">
        <v>43072.535115740742</v>
      </c>
    </row>
    <row r="3971" spans="1:3">
      <c r="A3971">
        <v>12051</v>
      </c>
      <c r="B3971">
        <v>4784134</v>
      </c>
      <c r="C3971" s="32">
        <v>43072.611331018517</v>
      </c>
    </row>
    <row r="3972" spans="1:3">
      <c r="A3972">
        <v>461289</v>
      </c>
      <c r="B3972">
        <v>2640118</v>
      </c>
      <c r="C3972" s="32">
        <v>43071.327291666668</v>
      </c>
    </row>
    <row r="3973" spans="1:3">
      <c r="A3973">
        <v>109815</v>
      </c>
      <c r="B3973">
        <v>1080785</v>
      </c>
      <c r="C3973" s="32">
        <v>43072.466597222221</v>
      </c>
    </row>
    <row r="3974" spans="1:3">
      <c r="A3974">
        <v>261628</v>
      </c>
      <c r="B3974">
        <v>1575622</v>
      </c>
      <c r="C3974" s="32">
        <v>43070.319652777776</v>
      </c>
    </row>
    <row r="3975" spans="1:3">
      <c r="A3975">
        <v>442158</v>
      </c>
      <c r="B3975">
        <v>2520377</v>
      </c>
      <c r="C3975" s="32">
        <v>43070.570439814815</v>
      </c>
    </row>
    <row r="3976" spans="1:3">
      <c r="A3976">
        <v>580733</v>
      </c>
      <c r="B3976">
        <v>1646753</v>
      </c>
      <c r="C3976" s="32">
        <v>43071.233657407407</v>
      </c>
    </row>
    <row r="3977" spans="1:3">
      <c r="A3977">
        <v>532512</v>
      </c>
      <c r="B3977">
        <v>4217906</v>
      </c>
      <c r="C3977" s="32">
        <v>43071.625706018516</v>
      </c>
    </row>
    <row r="3978" spans="1:3">
      <c r="A3978">
        <v>403271</v>
      </c>
      <c r="B3978">
        <v>2578647</v>
      </c>
      <c r="C3978" s="32">
        <v>43071.239386574074</v>
      </c>
    </row>
    <row r="3979" spans="1:3">
      <c r="A3979">
        <v>557402</v>
      </c>
      <c r="B3979">
        <v>4801426</v>
      </c>
      <c r="C3979" s="32">
        <v>43071.534259259257</v>
      </c>
    </row>
    <row r="3980" spans="1:3">
      <c r="A3980">
        <v>833648</v>
      </c>
      <c r="B3980">
        <v>2520377</v>
      </c>
      <c r="C3980" s="32">
        <v>43072.34710648148</v>
      </c>
    </row>
    <row r="3981" spans="1:3">
      <c r="A3981">
        <v>866556</v>
      </c>
      <c r="B3981">
        <v>2462567</v>
      </c>
      <c r="C3981" s="32">
        <v>43072.338726851849</v>
      </c>
    </row>
    <row r="3982" spans="1:3">
      <c r="A3982">
        <v>362518</v>
      </c>
      <c r="B3982">
        <v>4145813</v>
      </c>
      <c r="C3982" s="32">
        <v>43070.364641203705</v>
      </c>
    </row>
    <row r="3983" spans="1:3">
      <c r="A3983">
        <v>104938</v>
      </c>
      <c r="B3983">
        <v>2465336</v>
      </c>
      <c r="C3983" s="32">
        <v>43070.61309027778</v>
      </c>
    </row>
    <row r="3984" spans="1:3">
      <c r="A3984">
        <v>524970</v>
      </c>
      <c r="B3984">
        <v>4339722</v>
      </c>
      <c r="C3984" s="32">
        <v>43071.214560185188</v>
      </c>
    </row>
    <row r="3985" spans="1:3">
      <c r="A3985">
        <v>883688</v>
      </c>
      <c r="B3985">
        <v>4462359</v>
      </c>
      <c r="C3985" s="32">
        <v>43071.720925925925</v>
      </c>
    </row>
    <row r="3986" spans="1:3">
      <c r="A3986">
        <v>858613</v>
      </c>
      <c r="B3986">
        <v>3299155</v>
      </c>
      <c r="C3986" s="32">
        <v>43071.483715277776</v>
      </c>
    </row>
    <row r="3987" spans="1:3">
      <c r="A3987">
        <v>601487</v>
      </c>
      <c r="B3987">
        <v>2675427</v>
      </c>
      <c r="C3987" s="32">
        <v>43072.375069444446</v>
      </c>
    </row>
    <row r="3988" spans="1:3">
      <c r="A3988">
        <v>804650</v>
      </c>
      <c r="B3988">
        <v>2885642</v>
      </c>
      <c r="C3988" s="32">
        <v>43072.532673611109</v>
      </c>
    </row>
    <row r="3989" spans="1:3">
      <c r="A3989">
        <v>347297</v>
      </c>
      <c r="B3989">
        <v>3879308</v>
      </c>
      <c r="C3989" s="32">
        <v>43071.56759259259</v>
      </c>
    </row>
    <row r="3990" spans="1:3">
      <c r="A3990">
        <v>84773</v>
      </c>
      <c r="B3990">
        <v>3002561</v>
      </c>
      <c r="C3990" s="32">
        <v>43070.667997685188</v>
      </c>
    </row>
    <row r="3991" spans="1:3">
      <c r="A3991">
        <v>625884</v>
      </c>
      <c r="B3991">
        <v>982926</v>
      </c>
      <c r="C3991" s="32">
        <v>43071.398275462961</v>
      </c>
    </row>
    <row r="3992" spans="1:3">
      <c r="A3992">
        <v>936835</v>
      </c>
      <c r="B3992">
        <v>2465336</v>
      </c>
      <c r="C3992" s="32">
        <v>43071.484467592592</v>
      </c>
    </row>
    <row r="3993" spans="1:3">
      <c r="A3993">
        <v>172059</v>
      </c>
      <c r="B3993">
        <v>982926</v>
      </c>
      <c r="C3993" s="32">
        <v>43071.34034722222</v>
      </c>
    </row>
    <row r="3994" spans="1:3">
      <c r="A3994">
        <v>362947</v>
      </c>
      <c r="B3994">
        <v>4022701</v>
      </c>
      <c r="C3994" s="32">
        <v>43070.454293981478</v>
      </c>
    </row>
    <row r="3995" spans="1:3">
      <c r="A3995">
        <v>169986</v>
      </c>
      <c r="B3995">
        <v>4173315</v>
      </c>
      <c r="C3995" s="32">
        <v>43072.144849537035</v>
      </c>
    </row>
    <row r="3996" spans="1:3">
      <c r="A3996">
        <v>1012425</v>
      </c>
      <c r="B3996">
        <v>4672807</v>
      </c>
      <c r="C3996" s="32">
        <v>43070.246446759258</v>
      </c>
    </row>
    <row r="3997" spans="1:3">
      <c r="A3997">
        <v>463276</v>
      </c>
      <c r="B3997">
        <v>4145813</v>
      </c>
      <c r="C3997" s="32">
        <v>43070.130185185182</v>
      </c>
    </row>
    <row r="3998" spans="1:3">
      <c r="A3998">
        <v>434668</v>
      </c>
      <c r="B3998">
        <v>2945933</v>
      </c>
      <c r="C3998" s="32">
        <v>43071.62394675926</v>
      </c>
    </row>
    <row r="3999" spans="1:3">
      <c r="A3999">
        <v>648467</v>
      </c>
      <c r="B3999">
        <v>4449178</v>
      </c>
      <c r="C3999" s="32">
        <v>43070.611875000002</v>
      </c>
    </row>
    <row r="4000" spans="1:3">
      <c r="A4000">
        <v>793156</v>
      </c>
      <c r="B4000">
        <v>3015852</v>
      </c>
      <c r="C4000" s="32">
        <v>43070.815069444441</v>
      </c>
    </row>
    <row r="4001" spans="1:3">
      <c r="A4001">
        <v>871170</v>
      </c>
      <c r="B4001">
        <v>3607361</v>
      </c>
      <c r="C4001" s="32">
        <v>43072.550381944442</v>
      </c>
    </row>
    <row r="4002" spans="1:3">
      <c r="A4002">
        <v>411726</v>
      </c>
      <c r="B4002">
        <v>2578647</v>
      </c>
      <c r="C4002" s="32">
        <v>43071.578622685185</v>
      </c>
    </row>
    <row r="4003" spans="1:3">
      <c r="A4003">
        <v>59720</v>
      </c>
      <c r="B4003">
        <v>4170419</v>
      </c>
      <c r="C4003" s="32">
        <v>43072.526377314818</v>
      </c>
    </row>
    <row r="4004" spans="1:3">
      <c r="A4004">
        <v>74998</v>
      </c>
      <c r="B4004">
        <v>4145813</v>
      </c>
      <c r="C4004" s="32">
        <v>43072.349039351851</v>
      </c>
    </row>
    <row r="4005" spans="1:3">
      <c r="A4005">
        <v>260774</v>
      </c>
      <c r="B4005">
        <v>4756105</v>
      </c>
      <c r="C4005" s="32">
        <v>43072.159155092595</v>
      </c>
    </row>
    <row r="4006" spans="1:3">
      <c r="A4006">
        <v>172843</v>
      </c>
      <c r="B4006">
        <v>2176263</v>
      </c>
      <c r="C4006" s="32">
        <v>43070.505104166667</v>
      </c>
    </row>
    <row r="4007" spans="1:3">
      <c r="A4007">
        <v>247507</v>
      </c>
      <c r="B4007">
        <v>661759</v>
      </c>
      <c r="C4007" s="32">
        <v>43071.460752314815</v>
      </c>
    </row>
    <row r="4008" spans="1:3">
      <c r="A4008">
        <v>931600</v>
      </c>
      <c r="B4008">
        <v>1994940</v>
      </c>
      <c r="C4008" s="32">
        <v>43070.303946759261</v>
      </c>
    </row>
    <row r="4009" spans="1:3">
      <c r="A4009">
        <v>915489</v>
      </c>
      <c r="B4009">
        <v>285583</v>
      </c>
      <c r="C4009" s="32">
        <v>43072.352129629631</v>
      </c>
    </row>
    <row r="4010" spans="1:3">
      <c r="A4010">
        <v>535519</v>
      </c>
      <c r="B4010">
        <v>149192</v>
      </c>
      <c r="C4010" s="32">
        <v>43072.023182870369</v>
      </c>
    </row>
    <row r="4011" spans="1:3">
      <c r="A4011">
        <v>953064</v>
      </c>
      <c r="B4011">
        <v>4159072</v>
      </c>
      <c r="C4011" s="32">
        <v>43071.631249999999</v>
      </c>
    </row>
    <row r="4012" spans="1:3">
      <c r="A4012">
        <v>482957</v>
      </c>
      <c r="B4012">
        <v>1089685</v>
      </c>
      <c r="C4012" s="32">
        <v>43071.584814814814</v>
      </c>
    </row>
    <row r="4013" spans="1:3">
      <c r="A4013">
        <v>317093</v>
      </c>
      <c r="B4013">
        <v>1299190</v>
      </c>
      <c r="C4013" s="32">
        <v>43071.158206018517</v>
      </c>
    </row>
    <row r="4014" spans="1:3">
      <c r="A4014">
        <v>807444</v>
      </c>
      <c r="B4014">
        <v>3607361</v>
      </c>
      <c r="C4014" s="32">
        <v>43071.590509259258</v>
      </c>
    </row>
    <row r="4015" spans="1:3">
      <c r="A4015">
        <v>651929</v>
      </c>
      <c r="B4015">
        <v>4801426</v>
      </c>
      <c r="C4015" s="32">
        <v>43071.575231481482</v>
      </c>
    </row>
    <row r="4016" spans="1:3">
      <c r="A4016">
        <v>692897</v>
      </c>
      <c r="B4016">
        <v>3607361</v>
      </c>
      <c r="C4016" s="32">
        <v>43070.547118055554</v>
      </c>
    </row>
    <row r="4017" spans="1:3">
      <c r="A4017">
        <v>777608</v>
      </c>
      <c r="B4017">
        <v>2735466</v>
      </c>
      <c r="C4017" s="32">
        <v>43072.486342592594</v>
      </c>
    </row>
    <row r="4018" spans="1:3">
      <c r="A4018">
        <v>499138</v>
      </c>
      <c r="B4018">
        <v>1691699</v>
      </c>
      <c r="C4018" s="32">
        <v>43072.383148148147</v>
      </c>
    </row>
    <row r="4019" spans="1:3">
      <c r="A4019">
        <v>434060</v>
      </c>
      <c r="B4019">
        <v>982926</v>
      </c>
      <c r="C4019" s="32">
        <v>43072.337800925925</v>
      </c>
    </row>
    <row r="4020" spans="1:3">
      <c r="A4020">
        <v>340449</v>
      </c>
      <c r="B4020">
        <v>883960</v>
      </c>
      <c r="C4020" s="32">
        <v>43072.324675925927</v>
      </c>
    </row>
    <row r="4021" spans="1:3">
      <c r="A4021">
        <v>301474</v>
      </c>
      <c r="B4021">
        <v>3303026</v>
      </c>
      <c r="C4021" s="32">
        <v>43070.61515046296</v>
      </c>
    </row>
    <row r="4022" spans="1:3">
      <c r="A4022">
        <v>504817</v>
      </c>
      <c r="B4022">
        <v>2940518</v>
      </c>
      <c r="C4022" s="32">
        <v>43072.245057870372</v>
      </c>
    </row>
    <row r="4023" spans="1:3">
      <c r="A4023">
        <v>986369</v>
      </c>
      <c r="B4023">
        <v>3975787</v>
      </c>
      <c r="C4023" s="32">
        <v>43071.54351851852</v>
      </c>
    </row>
    <row r="4024" spans="1:3">
      <c r="A4024">
        <v>10320</v>
      </c>
      <c r="B4024">
        <v>1299190</v>
      </c>
      <c r="C4024" s="32">
        <v>43072.549143518518</v>
      </c>
    </row>
    <row r="4025" spans="1:3">
      <c r="A4025">
        <v>73650</v>
      </c>
      <c r="B4025">
        <v>1089685</v>
      </c>
      <c r="C4025" s="32">
        <v>43071.450046296297</v>
      </c>
    </row>
    <row r="4026" spans="1:3">
      <c r="A4026">
        <v>489692</v>
      </c>
      <c r="B4026">
        <v>149192</v>
      </c>
      <c r="C4026" s="32">
        <v>43071.348506944443</v>
      </c>
    </row>
    <row r="4027" spans="1:3">
      <c r="A4027">
        <v>146994</v>
      </c>
      <c r="B4027">
        <v>4756105</v>
      </c>
      <c r="C4027" s="32">
        <v>43072.543923611112</v>
      </c>
    </row>
    <row r="4028" spans="1:3">
      <c r="A4028">
        <v>769848</v>
      </c>
      <c r="B4028">
        <v>3916967</v>
      </c>
      <c r="C4028" s="32">
        <v>43071.662222222221</v>
      </c>
    </row>
    <row r="4029" spans="1:3">
      <c r="A4029">
        <v>268760</v>
      </c>
      <c r="B4029">
        <v>2355072</v>
      </c>
      <c r="C4029" s="32">
        <v>43072.107222222221</v>
      </c>
    </row>
    <row r="4030" spans="1:3">
      <c r="A4030">
        <v>819409</v>
      </c>
      <c r="B4030">
        <v>4284875</v>
      </c>
      <c r="C4030" s="32">
        <v>43071.189050925925</v>
      </c>
    </row>
    <row r="4031" spans="1:3">
      <c r="A4031">
        <v>108364</v>
      </c>
      <c r="B4031">
        <v>4825728</v>
      </c>
      <c r="C4031" s="32">
        <v>43070.120937500003</v>
      </c>
    </row>
    <row r="4032" spans="1:3">
      <c r="A4032">
        <v>535968</v>
      </c>
      <c r="B4032">
        <v>3607361</v>
      </c>
      <c r="C4032" s="32">
        <v>43071.009328703702</v>
      </c>
    </row>
    <row r="4033" spans="1:3">
      <c r="A4033">
        <v>707328</v>
      </c>
      <c r="B4033">
        <v>3819363</v>
      </c>
      <c r="C4033" s="32">
        <v>43071.074108796296</v>
      </c>
    </row>
    <row r="4034" spans="1:3">
      <c r="A4034">
        <v>987687</v>
      </c>
      <c r="B4034">
        <v>4284875</v>
      </c>
      <c r="C4034" s="32">
        <v>43071.078958333332</v>
      </c>
    </row>
    <row r="4035" spans="1:3">
      <c r="A4035">
        <v>859194</v>
      </c>
      <c r="B4035">
        <v>965809</v>
      </c>
      <c r="C4035" s="32">
        <v>43071.92528935185</v>
      </c>
    </row>
    <row r="4036" spans="1:3">
      <c r="A4036">
        <v>938469</v>
      </c>
      <c r="B4036">
        <v>4339722</v>
      </c>
      <c r="C4036" s="32">
        <v>43071.638796296298</v>
      </c>
    </row>
    <row r="4037" spans="1:3">
      <c r="A4037">
        <v>646929</v>
      </c>
      <c r="B4037">
        <v>1299190</v>
      </c>
      <c r="C4037" s="32">
        <v>43072.345856481479</v>
      </c>
    </row>
    <row r="4038" spans="1:3">
      <c r="A4038">
        <v>616226</v>
      </c>
      <c r="B4038">
        <v>954435</v>
      </c>
      <c r="C4038" s="32">
        <v>43071.240104166667</v>
      </c>
    </row>
    <row r="4039" spans="1:3">
      <c r="A4039">
        <v>842162</v>
      </c>
      <c r="B4039">
        <v>982926</v>
      </c>
      <c r="C4039" s="32">
        <v>43070.546550925923</v>
      </c>
    </row>
    <row r="4040" spans="1:3">
      <c r="A4040">
        <v>828635</v>
      </c>
      <c r="B4040">
        <v>1029459</v>
      </c>
      <c r="C4040" s="32">
        <v>43071.178379629629</v>
      </c>
    </row>
    <row r="4041" spans="1:3">
      <c r="A4041">
        <v>630334</v>
      </c>
      <c r="B4041">
        <v>2355072</v>
      </c>
      <c r="C4041" s="32">
        <v>43070.725497685184</v>
      </c>
    </row>
    <row r="4042" spans="1:3">
      <c r="A4042">
        <v>689036</v>
      </c>
      <c r="B4042">
        <v>1451814</v>
      </c>
      <c r="C4042" s="32">
        <v>43072.524826388886</v>
      </c>
    </row>
    <row r="4043" spans="1:3">
      <c r="A4043">
        <v>336996</v>
      </c>
      <c r="B4043">
        <v>4758477</v>
      </c>
      <c r="C4043" s="32">
        <v>43072.182754629626</v>
      </c>
    </row>
    <row r="4044" spans="1:3">
      <c r="A4044">
        <v>38818</v>
      </c>
      <c r="B4044">
        <v>4006013</v>
      </c>
      <c r="C4044" s="32">
        <v>43071.682002314818</v>
      </c>
    </row>
    <row r="4045" spans="1:3">
      <c r="A4045">
        <v>568372</v>
      </c>
      <c r="B4045">
        <v>1029459</v>
      </c>
      <c r="C4045" s="32">
        <v>43072.109791666669</v>
      </c>
    </row>
    <row r="4046" spans="1:3">
      <c r="A4046">
        <v>979215</v>
      </c>
      <c r="B4046">
        <v>4362740</v>
      </c>
      <c r="C4046" s="32">
        <v>43072.569652777776</v>
      </c>
    </row>
    <row r="4047" spans="1:3">
      <c r="A4047">
        <v>447735</v>
      </c>
      <c r="B4047">
        <v>4148053</v>
      </c>
      <c r="C4047" s="32">
        <v>43072.624108796299</v>
      </c>
    </row>
    <row r="4048" spans="1:3">
      <c r="A4048">
        <v>574763</v>
      </c>
      <c r="B4048">
        <v>5053648</v>
      </c>
      <c r="C4048" s="32">
        <v>43072.637650462966</v>
      </c>
    </row>
    <row r="4049" spans="1:3">
      <c r="A4049">
        <v>306146</v>
      </c>
      <c r="B4049">
        <v>1691699</v>
      </c>
      <c r="C4049" s="32">
        <v>43070.612546296295</v>
      </c>
    </row>
    <row r="4050" spans="1:3">
      <c r="A4050">
        <v>178555</v>
      </c>
      <c r="B4050">
        <v>753984</v>
      </c>
      <c r="C4050" s="32">
        <v>43069.732175925928</v>
      </c>
    </row>
    <row r="4051" spans="1:3">
      <c r="A4051">
        <v>298184</v>
      </c>
      <c r="B4051">
        <v>2465336</v>
      </c>
      <c r="C4051" s="32">
        <v>43071.170451388891</v>
      </c>
    </row>
    <row r="4052" spans="1:3">
      <c r="A4052">
        <v>451786</v>
      </c>
      <c r="B4052">
        <v>883960</v>
      </c>
      <c r="C4052" s="32">
        <v>43071.550856481481</v>
      </c>
    </row>
    <row r="4053" spans="1:3">
      <c r="A4053">
        <v>65862</v>
      </c>
      <c r="B4053">
        <v>883960</v>
      </c>
      <c r="C4053" s="32">
        <v>43072.640787037039</v>
      </c>
    </row>
    <row r="4054" spans="1:3">
      <c r="A4054">
        <v>656827</v>
      </c>
      <c r="B4054">
        <v>3611944</v>
      </c>
      <c r="C4054" s="32">
        <v>43070.610983796294</v>
      </c>
    </row>
    <row r="4055" spans="1:3">
      <c r="A4055">
        <v>590633</v>
      </c>
      <c r="B4055">
        <v>883960</v>
      </c>
      <c r="C4055" s="32">
        <v>43072.11755787037</v>
      </c>
    </row>
    <row r="4056" spans="1:3">
      <c r="A4056">
        <v>138758</v>
      </c>
      <c r="B4056">
        <v>2885642</v>
      </c>
      <c r="C4056" s="32">
        <v>43069.696666666663</v>
      </c>
    </row>
    <row r="4057" spans="1:3">
      <c r="A4057">
        <v>288366</v>
      </c>
      <c r="B4057">
        <v>1051370</v>
      </c>
      <c r="C4057" s="32">
        <v>43070.289155092592</v>
      </c>
    </row>
    <row r="4058" spans="1:3">
      <c r="A4058">
        <v>473411</v>
      </c>
      <c r="B4058">
        <v>1050007</v>
      </c>
      <c r="C4058" s="32">
        <v>43071.076122685183</v>
      </c>
    </row>
    <row r="4059" spans="1:3">
      <c r="A4059">
        <v>144097</v>
      </c>
      <c r="B4059">
        <v>235534</v>
      </c>
      <c r="C4059" s="32">
        <v>43071.167696759258</v>
      </c>
    </row>
    <row r="4060" spans="1:3">
      <c r="A4060">
        <v>655612</v>
      </c>
      <c r="B4060">
        <v>2137141</v>
      </c>
      <c r="C4060" s="32">
        <v>43070.49490740741</v>
      </c>
    </row>
    <row r="4061" spans="1:3">
      <c r="A4061">
        <v>119944</v>
      </c>
      <c r="B4061">
        <v>4418144</v>
      </c>
      <c r="C4061" s="32">
        <v>43072.278287037036</v>
      </c>
    </row>
    <row r="4062" spans="1:3">
      <c r="A4062">
        <v>214031</v>
      </c>
      <c r="B4062">
        <v>257909</v>
      </c>
      <c r="C4062" s="32">
        <v>43072.245208333334</v>
      </c>
    </row>
    <row r="4063" spans="1:3">
      <c r="A4063">
        <v>401986</v>
      </c>
      <c r="B4063">
        <v>2465336</v>
      </c>
      <c r="C4063" s="32">
        <v>43071.570775462962</v>
      </c>
    </row>
    <row r="4064" spans="1:3">
      <c r="A4064">
        <v>329824</v>
      </c>
      <c r="B4064">
        <v>1464116</v>
      </c>
      <c r="C4064" s="32">
        <v>43072.545798611114</v>
      </c>
    </row>
    <row r="4065" spans="1:3">
      <c r="A4065">
        <v>526969</v>
      </c>
      <c r="B4065">
        <v>3361496</v>
      </c>
      <c r="C4065" s="32">
        <v>43071.584918981483</v>
      </c>
    </row>
    <row r="4066" spans="1:3">
      <c r="A4066">
        <v>432838</v>
      </c>
      <c r="B4066">
        <v>4690421</v>
      </c>
      <c r="C4066" s="32">
        <v>43072.306469907409</v>
      </c>
    </row>
    <row r="4067" spans="1:3">
      <c r="A4067">
        <v>627371</v>
      </c>
      <c r="B4067">
        <v>149192</v>
      </c>
      <c r="C4067" s="32">
        <v>43071.602337962962</v>
      </c>
    </row>
    <row r="4068" spans="1:3">
      <c r="A4068">
        <v>389559</v>
      </c>
      <c r="B4068">
        <v>3673501</v>
      </c>
      <c r="C4068" s="32">
        <v>43071.188692129632</v>
      </c>
    </row>
    <row r="4069" spans="1:3">
      <c r="A4069">
        <v>560209</v>
      </c>
      <c r="B4069">
        <v>3002561</v>
      </c>
      <c r="C4069" s="32">
        <v>43071.498171296298</v>
      </c>
    </row>
    <row r="4070" spans="1:3">
      <c r="A4070">
        <v>914087</v>
      </c>
      <c r="B4070">
        <v>569703</v>
      </c>
      <c r="C4070" s="32">
        <v>43071.678414351853</v>
      </c>
    </row>
    <row r="4071" spans="1:3">
      <c r="A4071">
        <v>734080</v>
      </c>
      <c r="B4071">
        <v>4181361</v>
      </c>
      <c r="C4071" s="32">
        <v>43071.281412037039</v>
      </c>
    </row>
    <row r="4072" spans="1:3">
      <c r="A4072">
        <v>942455</v>
      </c>
      <c r="B4072">
        <v>1216617</v>
      </c>
      <c r="C4072" s="32">
        <v>43071.505844907406</v>
      </c>
    </row>
    <row r="4073" spans="1:3">
      <c r="A4073">
        <v>315375</v>
      </c>
      <c r="B4073">
        <v>1320293</v>
      </c>
      <c r="C4073" s="32">
        <v>43070.673518518517</v>
      </c>
    </row>
    <row r="4074" spans="1:3">
      <c r="A4074">
        <v>619784</v>
      </c>
      <c r="B4074">
        <v>2176263</v>
      </c>
      <c r="C4074" s="32">
        <v>43070.226759259262</v>
      </c>
    </row>
    <row r="4075" spans="1:3">
      <c r="A4075">
        <v>254332</v>
      </c>
      <c r="B4075">
        <v>3102419</v>
      </c>
      <c r="C4075" s="32">
        <v>43072.589918981481</v>
      </c>
    </row>
    <row r="4076" spans="1:3">
      <c r="A4076">
        <v>274541</v>
      </c>
      <c r="B4076">
        <v>1299190</v>
      </c>
      <c r="C4076" s="32">
        <v>43071.472777777781</v>
      </c>
    </row>
    <row r="4077" spans="1:3">
      <c r="A4077">
        <v>356304</v>
      </c>
      <c r="B4077">
        <v>2629787</v>
      </c>
      <c r="C4077" s="32">
        <v>43072.212118055555</v>
      </c>
    </row>
    <row r="4078" spans="1:3">
      <c r="A4078">
        <v>870012</v>
      </c>
      <c r="B4078">
        <v>3175480</v>
      </c>
      <c r="C4078" s="32">
        <v>43072.511620370373</v>
      </c>
    </row>
    <row r="4079" spans="1:3">
      <c r="A4079">
        <v>369765</v>
      </c>
      <c r="B4079">
        <v>2520771</v>
      </c>
      <c r="C4079" s="32">
        <v>43070.545069444444</v>
      </c>
    </row>
    <row r="4080" spans="1:3">
      <c r="A4080">
        <v>176620</v>
      </c>
      <c r="B4080">
        <v>982926</v>
      </c>
      <c r="C4080" s="32">
        <v>43070.682905092595</v>
      </c>
    </row>
    <row r="4081" spans="1:3">
      <c r="A4081">
        <v>420474</v>
      </c>
      <c r="B4081">
        <v>146830</v>
      </c>
      <c r="C4081" s="32">
        <v>43072.539918981478</v>
      </c>
    </row>
    <row r="4082" spans="1:3">
      <c r="A4082">
        <v>726512</v>
      </c>
      <c r="B4082">
        <v>2520771</v>
      </c>
      <c r="C4082" s="32">
        <v>43070.333148148151</v>
      </c>
    </row>
    <row r="4083" spans="1:3">
      <c r="A4083">
        <v>670659</v>
      </c>
      <c r="B4083">
        <v>1973012</v>
      </c>
      <c r="C4083" s="32">
        <v>43071.498437499999</v>
      </c>
    </row>
    <row r="4084" spans="1:3">
      <c r="A4084">
        <v>800193</v>
      </c>
      <c r="B4084">
        <v>1464116</v>
      </c>
      <c r="C4084" s="32">
        <v>43072.589178240742</v>
      </c>
    </row>
    <row r="4085" spans="1:3">
      <c r="A4085">
        <v>199722</v>
      </c>
      <c r="B4085">
        <v>4801426</v>
      </c>
      <c r="C4085" s="32">
        <v>43072.558275462965</v>
      </c>
    </row>
    <row r="4086" spans="1:3">
      <c r="A4086">
        <v>74998</v>
      </c>
      <c r="B4086">
        <v>4756105</v>
      </c>
      <c r="C4086" s="32">
        <v>43070.610266203701</v>
      </c>
    </row>
    <row r="4087" spans="1:3">
      <c r="A4087">
        <v>795527</v>
      </c>
      <c r="B4087">
        <v>243423</v>
      </c>
      <c r="C4087" s="32">
        <v>43070.032187500001</v>
      </c>
    </row>
    <row r="4088" spans="1:3">
      <c r="A4088">
        <v>190774</v>
      </c>
      <c r="B4088">
        <v>4533189</v>
      </c>
      <c r="C4088" s="32">
        <v>43072.327488425923</v>
      </c>
    </row>
    <row r="4089" spans="1:3">
      <c r="A4089">
        <v>802311</v>
      </c>
      <c r="B4089">
        <v>4145813</v>
      </c>
      <c r="C4089" s="32">
        <v>43070.43445601852</v>
      </c>
    </row>
    <row r="4090" spans="1:3">
      <c r="A4090">
        <v>96747</v>
      </c>
      <c r="B4090">
        <v>1464116</v>
      </c>
      <c r="C4090" s="32">
        <v>43071.685914351852</v>
      </c>
    </row>
    <row r="4091" spans="1:3">
      <c r="A4091">
        <v>159638</v>
      </c>
      <c r="B4091">
        <v>2520771</v>
      </c>
      <c r="C4091" s="32">
        <v>43072.436689814815</v>
      </c>
    </row>
    <row r="4092" spans="1:3">
      <c r="A4092">
        <v>698425</v>
      </c>
      <c r="B4092">
        <v>1994940</v>
      </c>
      <c r="C4092" s="32">
        <v>43071.351504629631</v>
      </c>
    </row>
    <row r="4093" spans="1:3">
      <c r="A4093">
        <v>957437</v>
      </c>
      <c r="B4093">
        <v>4145813</v>
      </c>
      <c r="C4093" s="32">
        <v>43071.324930555558</v>
      </c>
    </row>
    <row r="4094" spans="1:3">
      <c r="A4094">
        <v>796030</v>
      </c>
      <c r="B4094">
        <v>982926</v>
      </c>
      <c r="C4094" s="32">
        <v>43071.988344907404</v>
      </c>
    </row>
    <row r="4095" spans="1:3">
      <c r="A4095">
        <v>518124</v>
      </c>
      <c r="B4095">
        <v>4756105</v>
      </c>
      <c r="C4095" s="32">
        <v>43071.586099537039</v>
      </c>
    </row>
    <row r="4096" spans="1:3">
      <c r="A4096">
        <v>567412</v>
      </c>
      <c r="B4096">
        <v>1464116</v>
      </c>
      <c r="C4096" s="32">
        <v>43072.540879629632</v>
      </c>
    </row>
    <row r="4097" spans="1:3">
      <c r="A4097">
        <v>946596</v>
      </c>
      <c r="B4097">
        <v>2028981</v>
      </c>
      <c r="C4097" s="32">
        <v>43071.390543981484</v>
      </c>
    </row>
    <row r="4098" spans="1:3">
      <c r="A4098">
        <v>954959</v>
      </c>
      <c r="B4098">
        <v>1320293</v>
      </c>
      <c r="C4098" s="32">
        <v>43072.511354166665</v>
      </c>
    </row>
    <row r="4099" spans="1:3">
      <c r="A4099">
        <v>729433</v>
      </c>
      <c r="B4099">
        <v>570735</v>
      </c>
      <c r="C4099" s="32">
        <v>43071.579629629632</v>
      </c>
    </row>
    <row r="4100" spans="1:3">
      <c r="A4100">
        <v>861720</v>
      </c>
      <c r="B4100">
        <v>1020087</v>
      </c>
      <c r="C4100" s="32">
        <v>43071.494062500002</v>
      </c>
    </row>
    <row r="4101" spans="1:3">
      <c r="A4101">
        <v>980331</v>
      </c>
      <c r="B4101">
        <v>3702593</v>
      </c>
      <c r="C4101" s="32">
        <v>43072.463576388887</v>
      </c>
    </row>
    <row r="4102" spans="1:3">
      <c r="A4102">
        <v>736387</v>
      </c>
      <c r="B4102">
        <v>963285</v>
      </c>
      <c r="C4102" s="32">
        <v>43070.193807870368</v>
      </c>
    </row>
    <row r="4103" spans="1:3">
      <c r="A4103">
        <v>324940</v>
      </c>
      <c r="B4103">
        <v>2735466</v>
      </c>
      <c r="C4103" s="32">
        <v>43070.092048611114</v>
      </c>
    </row>
    <row r="4104" spans="1:3">
      <c r="A4104">
        <v>782632</v>
      </c>
      <c r="B4104">
        <v>1231891</v>
      </c>
      <c r="C4104" s="32">
        <v>43070.129421296297</v>
      </c>
    </row>
    <row r="4105" spans="1:3">
      <c r="A4105">
        <v>804970</v>
      </c>
      <c r="B4105">
        <v>4801426</v>
      </c>
      <c r="C4105" s="32">
        <v>43070.161145833335</v>
      </c>
    </row>
    <row r="4106" spans="1:3">
      <c r="A4106">
        <v>45313</v>
      </c>
      <c r="B4106">
        <v>2667323</v>
      </c>
      <c r="C4106" s="32">
        <v>43071.027465277781</v>
      </c>
    </row>
    <row r="4107" spans="1:3">
      <c r="A4107">
        <v>945105</v>
      </c>
      <c r="B4107">
        <v>3645362</v>
      </c>
      <c r="C4107" s="32">
        <v>43071.625439814816</v>
      </c>
    </row>
    <row r="4108" spans="1:3">
      <c r="A4108">
        <v>16954</v>
      </c>
      <c r="B4108">
        <v>2394030</v>
      </c>
      <c r="C4108" s="32">
        <v>43071.29965277778</v>
      </c>
    </row>
    <row r="4109" spans="1:3">
      <c r="A4109">
        <v>802159</v>
      </c>
      <c r="B4109">
        <v>1299190</v>
      </c>
      <c r="C4109" s="32">
        <v>43069.742523148147</v>
      </c>
    </row>
    <row r="4110" spans="1:3">
      <c r="A4110">
        <v>248806</v>
      </c>
      <c r="B4110">
        <v>149192</v>
      </c>
      <c r="C4110" s="32">
        <v>43072.044131944444</v>
      </c>
    </row>
    <row r="4111" spans="1:3">
      <c r="A4111">
        <v>906648</v>
      </c>
      <c r="B4111">
        <v>122524</v>
      </c>
      <c r="C4111" s="32">
        <v>43072.045081018521</v>
      </c>
    </row>
    <row r="4112" spans="1:3">
      <c r="A4112">
        <v>987612</v>
      </c>
      <c r="B4112">
        <v>4756105</v>
      </c>
      <c r="C4112" s="32">
        <v>43071.539317129631</v>
      </c>
    </row>
    <row r="4113" spans="1:3">
      <c r="A4113">
        <v>212757</v>
      </c>
      <c r="B4113">
        <v>2735466</v>
      </c>
      <c r="C4113" s="32">
        <v>43070.602372685185</v>
      </c>
    </row>
    <row r="4114" spans="1:3">
      <c r="A4114">
        <v>231830</v>
      </c>
      <c r="B4114">
        <v>3002561</v>
      </c>
      <c r="C4114" s="32">
        <v>43071.411435185182</v>
      </c>
    </row>
    <row r="4115" spans="1:3">
      <c r="A4115">
        <v>681324</v>
      </c>
      <c r="B4115">
        <v>960102</v>
      </c>
      <c r="C4115" s="32">
        <v>43071.102164351854</v>
      </c>
    </row>
    <row r="4116" spans="1:3">
      <c r="A4116">
        <v>108113</v>
      </c>
      <c r="B4116">
        <v>2355072</v>
      </c>
      <c r="C4116" s="32">
        <v>43072.356157407405</v>
      </c>
    </row>
    <row r="4117" spans="1:3">
      <c r="A4117">
        <v>1011506</v>
      </c>
      <c r="B4117">
        <v>4022701</v>
      </c>
      <c r="C4117" s="32">
        <v>43071.007060185184</v>
      </c>
    </row>
    <row r="4118" spans="1:3">
      <c r="A4118">
        <v>877701</v>
      </c>
      <c r="B4118">
        <v>2465336</v>
      </c>
      <c r="C4118" s="32">
        <v>43072.505659722221</v>
      </c>
    </row>
    <row r="4119" spans="1:3">
      <c r="A4119">
        <v>340243</v>
      </c>
      <c r="B4119">
        <v>4284875</v>
      </c>
      <c r="C4119" s="32">
        <v>43071.456875000003</v>
      </c>
    </row>
    <row r="4120" spans="1:3">
      <c r="A4120">
        <v>444709</v>
      </c>
      <c r="B4120">
        <v>982926</v>
      </c>
      <c r="C4120" s="32">
        <v>43070.427928240744</v>
      </c>
    </row>
    <row r="4121" spans="1:3">
      <c r="A4121">
        <v>3552</v>
      </c>
      <c r="B4121">
        <v>2101190</v>
      </c>
      <c r="C4121" s="32">
        <v>43070.92628472222</v>
      </c>
    </row>
    <row r="4122" spans="1:3">
      <c r="A4122">
        <v>631898</v>
      </c>
      <c r="B4122">
        <v>3738615</v>
      </c>
      <c r="C4122" s="32">
        <v>43070.867812500001</v>
      </c>
    </row>
    <row r="4123" spans="1:3">
      <c r="A4123">
        <v>519773</v>
      </c>
      <c r="B4123">
        <v>4163659</v>
      </c>
      <c r="C4123" s="32">
        <v>43070.340856481482</v>
      </c>
    </row>
    <row r="4124" spans="1:3">
      <c r="A4124">
        <v>455846</v>
      </c>
      <c r="B4124">
        <v>235534</v>
      </c>
      <c r="C4124" s="32">
        <v>43070.514039351852</v>
      </c>
    </row>
    <row r="4125" spans="1:3">
      <c r="A4125">
        <v>89014</v>
      </c>
      <c r="B4125">
        <v>2465336</v>
      </c>
      <c r="C4125" s="32">
        <v>43072.448240740741</v>
      </c>
    </row>
    <row r="4126" spans="1:3">
      <c r="A4126">
        <v>745021</v>
      </c>
      <c r="B4126">
        <v>883960</v>
      </c>
      <c r="C4126" s="32">
        <v>43072.408750000002</v>
      </c>
    </row>
    <row r="4127" spans="1:3">
      <c r="A4127">
        <v>99998</v>
      </c>
      <c r="B4127">
        <v>2355072</v>
      </c>
      <c r="C4127" s="32">
        <v>43070.316851851851</v>
      </c>
    </row>
    <row r="4128" spans="1:3">
      <c r="A4128">
        <v>526929</v>
      </c>
      <c r="B4128">
        <v>2355072</v>
      </c>
      <c r="C4128" s="32">
        <v>43072.116770833331</v>
      </c>
    </row>
    <row r="4129" spans="1:3">
      <c r="A4129">
        <v>287687</v>
      </c>
      <c r="B4129">
        <v>5045733</v>
      </c>
      <c r="C4129" s="32">
        <v>43071.511400462965</v>
      </c>
    </row>
    <row r="4130" spans="1:3">
      <c r="A4130">
        <v>767691</v>
      </c>
      <c r="B4130">
        <v>4238676</v>
      </c>
      <c r="C4130" s="32">
        <v>43072.225949074076</v>
      </c>
    </row>
    <row r="4131" spans="1:3">
      <c r="A4131">
        <v>777880</v>
      </c>
      <c r="B4131">
        <v>4255953</v>
      </c>
      <c r="C4131" s="32">
        <v>43071.308553240742</v>
      </c>
    </row>
    <row r="4132" spans="1:3">
      <c r="A4132">
        <v>21215</v>
      </c>
      <c r="B4132">
        <v>982926</v>
      </c>
      <c r="C4132" s="32">
        <v>43070.183078703703</v>
      </c>
    </row>
    <row r="4133" spans="1:3">
      <c r="A4133">
        <v>781491</v>
      </c>
      <c r="B4133">
        <v>4358294</v>
      </c>
      <c r="C4133" s="32">
        <v>43070.957592592589</v>
      </c>
    </row>
    <row r="4134" spans="1:3">
      <c r="A4134">
        <v>973111</v>
      </c>
      <c r="B4134">
        <v>3108044</v>
      </c>
      <c r="C4134" s="32">
        <v>43072.654085648152</v>
      </c>
    </row>
    <row r="4135" spans="1:3">
      <c r="A4135">
        <v>754001</v>
      </c>
      <c r="B4135">
        <v>3776866</v>
      </c>
      <c r="C4135" s="32">
        <v>43071.357546296298</v>
      </c>
    </row>
    <row r="4136" spans="1:3">
      <c r="A4136">
        <v>939189</v>
      </c>
      <c r="B4136">
        <v>1689352</v>
      </c>
      <c r="C4136" s="32">
        <v>43070.37190972222</v>
      </c>
    </row>
    <row r="4137" spans="1:3">
      <c r="A4137">
        <v>254620</v>
      </c>
      <c r="B4137">
        <v>1530704</v>
      </c>
      <c r="C4137" s="32">
        <v>43071.619606481479</v>
      </c>
    </row>
    <row r="4138" spans="1:3">
      <c r="A4138">
        <v>737996</v>
      </c>
      <c r="B4138">
        <v>3554917</v>
      </c>
      <c r="C4138" s="32">
        <v>43071.660150462965</v>
      </c>
    </row>
    <row r="4139" spans="1:3">
      <c r="A4139">
        <v>752593</v>
      </c>
      <c r="B4139">
        <v>3975787</v>
      </c>
      <c r="C4139" s="32">
        <v>43071.946284722224</v>
      </c>
    </row>
    <row r="4140" spans="1:3">
      <c r="A4140">
        <v>823508</v>
      </c>
      <c r="B4140">
        <v>883960</v>
      </c>
      <c r="C4140" s="32">
        <v>43071.547754629632</v>
      </c>
    </row>
    <row r="4141" spans="1:3">
      <c r="A4141">
        <v>334338</v>
      </c>
      <c r="B4141">
        <v>2926020</v>
      </c>
      <c r="C4141" s="32">
        <v>43071.569872685184</v>
      </c>
    </row>
    <row r="4142" spans="1:3">
      <c r="A4142">
        <v>24623</v>
      </c>
      <c r="B4142">
        <v>982926</v>
      </c>
      <c r="C4142" s="32">
        <v>43071.526076388887</v>
      </c>
    </row>
    <row r="4143" spans="1:3">
      <c r="A4143">
        <v>378281</v>
      </c>
      <c r="B4143">
        <v>4145813</v>
      </c>
      <c r="C4143" s="32">
        <v>43071.543749999997</v>
      </c>
    </row>
    <row r="4144" spans="1:3">
      <c r="A4144">
        <v>571211</v>
      </c>
      <c r="B4144">
        <v>4756105</v>
      </c>
      <c r="C4144" s="32">
        <v>43070.572152777779</v>
      </c>
    </row>
    <row r="4145" spans="1:3">
      <c r="A4145">
        <v>207662</v>
      </c>
      <c r="B4145">
        <v>2342116</v>
      </c>
      <c r="C4145" s="32">
        <v>43072.551192129627</v>
      </c>
    </row>
    <row r="4146" spans="1:3">
      <c r="A4146">
        <v>103945</v>
      </c>
      <c r="B4146">
        <v>4985275</v>
      </c>
      <c r="C4146" s="32">
        <v>43072.20721064815</v>
      </c>
    </row>
    <row r="4147" spans="1:3">
      <c r="A4147">
        <v>847358</v>
      </c>
      <c r="B4147">
        <v>3975787</v>
      </c>
      <c r="C4147" s="32">
        <v>43070.074918981481</v>
      </c>
    </row>
    <row r="4148" spans="1:3">
      <c r="A4148">
        <v>297706</v>
      </c>
      <c r="B4148">
        <v>1379146</v>
      </c>
      <c r="C4148" s="32">
        <v>43071.53701388889</v>
      </c>
    </row>
    <row r="4149" spans="1:3">
      <c r="A4149">
        <v>844357</v>
      </c>
      <c r="B4149">
        <v>1320293</v>
      </c>
      <c r="C4149" s="32">
        <v>43070.598368055558</v>
      </c>
    </row>
    <row r="4150" spans="1:3">
      <c r="A4150">
        <v>890036</v>
      </c>
      <c r="B4150">
        <v>3002561</v>
      </c>
      <c r="C4150" s="32">
        <v>43071.373912037037</v>
      </c>
    </row>
    <row r="4151" spans="1:3">
      <c r="A4151">
        <v>607011</v>
      </c>
      <c r="B4151">
        <v>4145813</v>
      </c>
      <c r="C4151" s="32">
        <v>43069.815162037034</v>
      </c>
    </row>
    <row r="4152" spans="1:3">
      <c r="A4152">
        <v>777640</v>
      </c>
      <c r="B4152">
        <v>2520377</v>
      </c>
      <c r="C4152" s="32">
        <v>43071.647256944445</v>
      </c>
    </row>
    <row r="4153" spans="1:3">
      <c r="A4153">
        <v>444855</v>
      </c>
      <c r="B4153">
        <v>3430419</v>
      </c>
      <c r="C4153" s="32">
        <v>43071.316388888888</v>
      </c>
    </row>
    <row r="4154" spans="1:3">
      <c r="A4154">
        <v>251458</v>
      </c>
      <c r="B4154">
        <v>4756105</v>
      </c>
      <c r="C4154" s="32">
        <v>43072.564212962963</v>
      </c>
    </row>
    <row r="4155" spans="1:3">
      <c r="A4155">
        <v>186331</v>
      </c>
      <c r="B4155">
        <v>4801426</v>
      </c>
      <c r="C4155" s="32">
        <v>43072.075787037036</v>
      </c>
    </row>
    <row r="4156" spans="1:3">
      <c r="A4156">
        <v>350656</v>
      </c>
      <c r="B4156">
        <v>4801426</v>
      </c>
      <c r="C4156" s="32">
        <v>43072.555972222224</v>
      </c>
    </row>
    <row r="4157" spans="1:3">
      <c r="A4157">
        <v>997584</v>
      </c>
      <c r="B4157">
        <v>982926</v>
      </c>
      <c r="C4157" s="32">
        <v>43071.489201388889</v>
      </c>
    </row>
    <row r="4158" spans="1:3">
      <c r="A4158">
        <v>811489</v>
      </c>
      <c r="B4158">
        <v>4046054</v>
      </c>
      <c r="C4158" s="32">
        <v>43072.197858796295</v>
      </c>
    </row>
    <row r="4159" spans="1:3">
      <c r="A4159">
        <v>498311</v>
      </c>
      <c r="B4159">
        <v>4756105</v>
      </c>
      <c r="C4159" s="32">
        <v>43070.43241898148</v>
      </c>
    </row>
    <row r="4160" spans="1:3">
      <c r="A4160">
        <v>1004792</v>
      </c>
      <c r="B4160">
        <v>4145813</v>
      </c>
      <c r="C4160" s="32">
        <v>43072.257534722223</v>
      </c>
    </row>
    <row r="4161" spans="1:3">
      <c r="A4161">
        <v>926453</v>
      </c>
      <c r="B4161">
        <v>4145813</v>
      </c>
      <c r="C4161" s="32">
        <v>43070.248217592591</v>
      </c>
    </row>
    <row r="4162" spans="1:3">
      <c r="A4162">
        <v>265615</v>
      </c>
      <c r="B4162">
        <v>344833</v>
      </c>
      <c r="C4162" s="32">
        <v>43070.640567129631</v>
      </c>
    </row>
    <row r="4163" spans="1:3">
      <c r="A4163">
        <v>654695</v>
      </c>
      <c r="B4163">
        <v>154040</v>
      </c>
      <c r="C4163" s="32">
        <v>43070.527175925927</v>
      </c>
    </row>
    <row r="4164" spans="1:3">
      <c r="A4164">
        <v>581783</v>
      </c>
      <c r="B4164">
        <v>982926</v>
      </c>
      <c r="C4164" s="32">
        <v>43072.603067129632</v>
      </c>
    </row>
    <row r="4165" spans="1:3">
      <c r="A4165">
        <v>979437</v>
      </c>
      <c r="B4165">
        <v>350402</v>
      </c>
      <c r="C4165" s="32">
        <v>43072.115474537037</v>
      </c>
    </row>
    <row r="4166" spans="1:3">
      <c r="A4166">
        <v>879343</v>
      </c>
      <c r="B4166">
        <v>4082778</v>
      </c>
      <c r="C4166" s="32">
        <v>43070.202499999999</v>
      </c>
    </row>
    <row r="4167" spans="1:3">
      <c r="A4167">
        <v>959722</v>
      </c>
      <c r="B4167">
        <v>2355072</v>
      </c>
      <c r="C4167" s="32">
        <v>43071.576261574075</v>
      </c>
    </row>
    <row r="4168" spans="1:3">
      <c r="A4168">
        <v>67588</v>
      </c>
      <c r="B4168">
        <v>4145813</v>
      </c>
      <c r="C4168" s="32">
        <v>43071.438287037039</v>
      </c>
    </row>
    <row r="4169" spans="1:3">
      <c r="A4169">
        <v>568529</v>
      </c>
      <c r="B4169">
        <v>3607361</v>
      </c>
      <c r="C4169" s="32">
        <v>43070.349664351852</v>
      </c>
    </row>
    <row r="4170" spans="1:3">
      <c r="A4170">
        <v>883636</v>
      </c>
      <c r="B4170">
        <v>1575622</v>
      </c>
      <c r="C4170" s="32">
        <v>43070.513402777775</v>
      </c>
    </row>
    <row r="4171" spans="1:3">
      <c r="A4171">
        <v>92388</v>
      </c>
      <c r="B4171">
        <v>2640118</v>
      </c>
      <c r="C4171" s="32">
        <v>43071.603310185186</v>
      </c>
    </row>
    <row r="4172" spans="1:3">
      <c r="A4172">
        <v>277931</v>
      </c>
      <c r="B4172">
        <v>4901188</v>
      </c>
      <c r="C4172" s="32">
        <v>43070.069143518522</v>
      </c>
    </row>
    <row r="4173" spans="1:3">
      <c r="A4173">
        <v>430926</v>
      </c>
      <c r="B4173">
        <v>1787510</v>
      </c>
      <c r="C4173" s="32">
        <v>43071.515833333331</v>
      </c>
    </row>
    <row r="4174" spans="1:3">
      <c r="A4174">
        <v>511451</v>
      </c>
      <c r="B4174">
        <v>2885642</v>
      </c>
      <c r="C4174" s="32">
        <v>43072.619328703702</v>
      </c>
    </row>
    <row r="4175" spans="1:3">
      <c r="A4175">
        <v>119619</v>
      </c>
      <c r="B4175">
        <v>903809</v>
      </c>
      <c r="C4175" s="32">
        <v>43070.454756944448</v>
      </c>
    </row>
    <row r="4176" spans="1:3">
      <c r="A4176">
        <v>192262</v>
      </c>
      <c r="B4176">
        <v>2311290</v>
      </c>
      <c r="C4176" s="32">
        <v>43071.135717592595</v>
      </c>
    </row>
    <row r="4177" spans="1:3">
      <c r="A4177">
        <v>850553</v>
      </c>
      <c r="B4177">
        <v>982926</v>
      </c>
      <c r="C4177" s="32">
        <v>43072.514062499999</v>
      </c>
    </row>
    <row r="4178" spans="1:3">
      <c r="A4178">
        <v>786705</v>
      </c>
      <c r="B4178">
        <v>149192</v>
      </c>
      <c r="C4178" s="32">
        <v>43071.129282407404</v>
      </c>
    </row>
    <row r="4179" spans="1:3">
      <c r="A4179">
        <v>140017</v>
      </c>
      <c r="B4179">
        <v>634390</v>
      </c>
      <c r="C4179" s="32">
        <v>43072.486238425925</v>
      </c>
    </row>
    <row r="4180" spans="1:3">
      <c r="A4180">
        <v>422145</v>
      </c>
      <c r="B4180">
        <v>982926</v>
      </c>
      <c r="C4180" s="32">
        <v>43071.576331018521</v>
      </c>
    </row>
    <row r="4181" spans="1:3">
      <c r="A4181">
        <v>649767</v>
      </c>
      <c r="B4181">
        <v>4993094</v>
      </c>
      <c r="C4181" s="32">
        <v>43071.127442129633</v>
      </c>
    </row>
    <row r="4182" spans="1:3">
      <c r="A4182">
        <v>905837</v>
      </c>
      <c r="B4182">
        <v>690811</v>
      </c>
      <c r="C4182" s="32">
        <v>43071.170949074076</v>
      </c>
    </row>
    <row r="4183" spans="1:3">
      <c r="A4183">
        <v>211499</v>
      </c>
      <c r="B4183">
        <v>2355072</v>
      </c>
      <c r="C4183" s="32">
        <v>43072.61515046296</v>
      </c>
    </row>
    <row r="4184" spans="1:3">
      <c r="A4184">
        <v>710516</v>
      </c>
      <c r="B4184">
        <v>5048062</v>
      </c>
      <c r="C4184" s="32">
        <v>43070.392060185186</v>
      </c>
    </row>
    <row r="4185" spans="1:3">
      <c r="A4185">
        <v>777410</v>
      </c>
      <c r="B4185">
        <v>2576484</v>
      </c>
      <c r="C4185" s="32">
        <v>43070.266608796293</v>
      </c>
    </row>
    <row r="4186" spans="1:3">
      <c r="A4186">
        <v>264783</v>
      </c>
      <c r="B4186">
        <v>200278</v>
      </c>
      <c r="C4186" s="32">
        <v>43072.549004629633</v>
      </c>
    </row>
    <row r="4187" spans="1:3">
      <c r="A4187">
        <v>102559</v>
      </c>
      <c r="B4187">
        <v>1080785</v>
      </c>
      <c r="C4187" s="32">
        <v>43072.532442129632</v>
      </c>
    </row>
    <row r="4188" spans="1:3">
      <c r="A4188">
        <v>792943</v>
      </c>
      <c r="B4188">
        <v>846990</v>
      </c>
      <c r="C4188" s="32">
        <v>43071.460625</v>
      </c>
    </row>
    <row r="4189" spans="1:3">
      <c r="A4189">
        <v>160690</v>
      </c>
      <c r="B4189">
        <v>4969568</v>
      </c>
      <c r="C4189" s="32">
        <v>43070.442800925928</v>
      </c>
    </row>
    <row r="4190" spans="1:3">
      <c r="A4190">
        <v>237518</v>
      </c>
      <c r="B4190">
        <v>4022701</v>
      </c>
      <c r="C4190" s="32">
        <v>43071.67015046296</v>
      </c>
    </row>
    <row r="4191" spans="1:3">
      <c r="A4191">
        <v>563043</v>
      </c>
      <c r="B4191">
        <v>4217906</v>
      </c>
      <c r="C4191" s="32">
        <v>43070.348217592589</v>
      </c>
    </row>
    <row r="4192" spans="1:3">
      <c r="A4192">
        <v>71166</v>
      </c>
      <c r="B4192">
        <v>4756105</v>
      </c>
      <c r="C4192" s="32">
        <v>43072.583240740743</v>
      </c>
    </row>
    <row r="4193" spans="1:3">
      <c r="A4193">
        <v>430291</v>
      </c>
      <c r="B4193">
        <v>411153</v>
      </c>
      <c r="C4193" s="32">
        <v>43071.000821759262</v>
      </c>
    </row>
    <row r="4194" spans="1:3">
      <c r="A4194">
        <v>173598</v>
      </c>
      <c r="B4194">
        <v>1464116</v>
      </c>
      <c r="C4194" s="32">
        <v>43070.284803240742</v>
      </c>
    </row>
    <row r="4195" spans="1:3">
      <c r="A4195">
        <v>385923</v>
      </c>
      <c r="B4195">
        <v>4217906</v>
      </c>
      <c r="C4195" s="32">
        <v>43071.668645833335</v>
      </c>
    </row>
    <row r="4196" spans="1:3">
      <c r="A4196">
        <v>884616</v>
      </c>
      <c r="B4196">
        <v>1530704</v>
      </c>
      <c r="C4196" s="32">
        <v>43072.527326388888</v>
      </c>
    </row>
    <row r="4197" spans="1:3">
      <c r="A4197">
        <v>976293</v>
      </c>
      <c r="B4197">
        <v>3354571</v>
      </c>
      <c r="C4197" s="32">
        <v>43070.281354166669</v>
      </c>
    </row>
    <row r="4198" spans="1:3">
      <c r="A4198">
        <v>164979</v>
      </c>
      <c r="B4198">
        <v>2131531</v>
      </c>
      <c r="C4198" s="32">
        <v>43071.199224537035</v>
      </c>
    </row>
    <row r="4199" spans="1:3">
      <c r="A4199">
        <v>846683</v>
      </c>
      <c r="B4199">
        <v>2465336</v>
      </c>
      <c r="C4199" s="32">
        <v>43071.379942129628</v>
      </c>
    </row>
    <row r="4200" spans="1:3">
      <c r="A4200">
        <v>612629</v>
      </c>
      <c r="B4200">
        <v>4696710</v>
      </c>
      <c r="C4200" s="32">
        <v>43071.431180555555</v>
      </c>
    </row>
    <row r="4201" spans="1:3">
      <c r="A4201">
        <v>73729</v>
      </c>
      <c r="B4201">
        <v>3814016</v>
      </c>
      <c r="C4201" s="32">
        <v>43072.583425925928</v>
      </c>
    </row>
    <row r="4202" spans="1:3">
      <c r="A4202">
        <v>494188</v>
      </c>
      <c r="B4202">
        <v>2158079</v>
      </c>
      <c r="C4202" s="32">
        <v>43072.09412037037</v>
      </c>
    </row>
    <row r="4203" spans="1:3">
      <c r="A4203">
        <v>887111</v>
      </c>
      <c r="B4203">
        <v>4756105</v>
      </c>
      <c r="C4203" s="32">
        <v>43072.470960648148</v>
      </c>
    </row>
    <row r="4204" spans="1:3">
      <c r="A4204">
        <v>946261</v>
      </c>
      <c r="B4204">
        <v>2253970</v>
      </c>
      <c r="C4204" s="32">
        <v>43072.384918981479</v>
      </c>
    </row>
    <row r="4205" spans="1:3">
      <c r="A4205">
        <v>797394</v>
      </c>
      <c r="B4205">
        <v>2885642</v>
      </c>
      <c r="C4205" s="32">
        <v>43071.612175925926</v>
      </c>
    </row>
    <row r="4206" spans="1:3">
      <c r="A4206">
        <v>866737</v>
      </c>
      <c r="B4206">
        <v>2465336</v>
      </c>
      <c r="C4206" s="32">
        <v>43071.554189814815</v>
      </c>
    </row>
    <row r="4207" spans="1:3">
      <c r="A4207">
        <v>293722</v>
      </c>
      <c r="B4207">
        <v>1080785</v>
      </c>
      <c r="C4207" s="32">
        <v>43072.60292824074</v>
      </c>
    </row>
    <row r="4208" spans="1:3">
      <c r="A4208">
        <v>514793</v>
      </c>
      <c r="B4208">
        <v>2877672</v>
      </c>
      <c r="C4208" s="32">
        <v>43071.448101851849</v>
      </c>
    </row>
    <row r="4209" spans="1:3">
      <c r="A4209">
        <v>462993</v>
      </c>
      <c r="B4209">
        <v>982926</v>
      </c>
      <c r="C4209" s="32">
        <v>43071.609849537039</v>
      </c>
    </row>
    <row r="4210" spans="1:3">
      <c r="A4210">
        <v>38760</v>
      </c>
      <c r="B4210">
        <v>149192</v>
      </c>
      <c r="C4210" s="32">
        <v>43072.49491898148</v>
      </c>
    </row>
    <row r="4211" spans="1:3">
      <c r="A4211">
        <v>632011</v>
      </c>
      <c r="B4211">
        <v>411153</v>
      </c>
      <c r="C4211" s="32">
        <v>43071.565405092595</v>
      </c>
    </row>
    <row r="4212" spans="1:3">
      <c r="A4212">
        <v>176464</v>
      </c>
      <c r="B4212">
        <v>2735466</v>
      </c>
      <c r="C4212" s="32">
        <v>43072.241770833331</v>
      </c>
    </row>
    <row r="4213" spans="1:3">
      <c r="A4213">
        <v>414225</v>
      </c>
      <c r="B4213">
        <v>982926</v>
      </c>
      <c r="C4213" s="32">
        <v>43070.575324074074</v>
      </c>
    </row>
    <row r="4214" spans="1:3">
      <c r="A4214">
        <v>38123</v>
      </c>
      <c r="B4214">
        <v>3002561</v>
      </c>
      <c r="C4214" s="32">
        <v>43071.576851851853</v>
      </c>
    </row>
    <row r="4215" spans="1:3">
      <c r="A4215">
        <v>504290</v>
      </c>
      <c r="B4215">
        <v>3299155</v>
      </c>
      <c r="C4215" s="32">
        <v>43071.946574074071</v>
      </c>
    </row>
    <row r="4216" spans="1:3">
      <c r="A4216">
        <v>359468</v>
      </c>
      <c r="B4216">
        <v>1575622</v>
      </c>
      <c r="C4216" s="32">
        <v>43071.347800925927</v>
      </c>
    </row>
    <row r="4217" spans="1:3">
      <c r="A4217">
        <v>308251</v>
      </c>
      <c r="B4217">
        <v>235534</v>
      </c>
      <c r="C4217" s="32">
        <v>43071.992048611108</v>
      </c>
    </row>
    <row r="4218" spans="1:3">
      <c r="A4218">
        <v>881374</v>
      </c>
      <c r="B4218">
        <v>2355072</v>
      </c>
      <c r="C4218" s="32">
        <v>43071.510983796295</v>
      </c>
    </row>
    <row r="4219" spans="1:3">
      <c r="A4219">
        <v>194902</v>
      </c>
      <c r="B4219">
        <v>399287</v>
      </c>
      <c r="C4219" s="32">
        <v>43072.518263888887</v>
      </c>
    </row>
    <row r="4220" spans="1:3">
      <c r="A4220">
        <v>190741</v>
      </c>
      <c r="B4220">
        <v>876318</v>
      </c>
      <c r="C4220" s="32">
        <v>43072.151932870373</v>
      </c>
    </row>
    <row r="4221" spans="1:3">
      <c r="A4221">
        <v>270487</v>
      </c>
      <c r="B4221">
        <v>411153</v>
      </c>
      <c r="C4221" s="32">
        <v>43071.966238425928</v>
      </c>
    </row>
    <row r="4222" spans="1:3">
      <c r="A4222">
        <v>921242</v>
      </c>
      <c r="B4222">
        <v>903809</v>
      </c>
      <c r="C4222" s="32">
        <v>43072.51635416667</v>
      </c>
    </row>
    <row r="4223" spans="1:3">
      <c r="A4223">
        <v>1004496</v>
      </c>
      <c r="B4223">
        <v>2578647</v>
      </c>
      <c r="C4223" s="32">
        <v>43071.125879629632</v>
      </c>
    </row>
    <row r="4224" spans="1:3">
      <c r="A4224">
        <v>696720</v>
      </c>
      <c r="B4224">
        <v>381850</v>
      </c>
      <c r="C4224" s="32">
        <v>43071.463252314818</v>
      </c>
    </row>
    <row r="4225" spans="1:3">
      <c r="A4225">
        <v>677980</v>
      </c>
      <c r="B4225">
        <v>1464116</v>
      </c>
      <c r="C4225" s="32">
        <v>43072.205231481479</v>
      </c>
    </row>
    <row r="4226" spans="1:3">
      <c r="A4226">
        <v>313152</v>
      </c>
      <c r="B4226">
        <v>2355072</v>
      </c>
      <c r="C4226" s="32">
        <v>43070.558587962965</v>
      </c>
    </row>
    <row r="4227" spans="1:3">
      <c r="A4227">
        <v>16895</v>
      </c>
      <c r="B4227">
        <v>2885642</v>
      </c>
      <c r="C4227" s="32">
        <v>43071.601122685184</v>
      </c>
    </row>
    <row r="4228" spans="1:3">
      <c r="A4228">
        <v>942611</v>
      </c>
      <c r="B4228">
        <v>2966276</v>
      </c>
      <c r="C4228" s="32">
        <v>43071.844780092593</v>
      </c>
    </row>
    <row r="4229" spans="1:3">
      <c r="A4229">
        <v>43315</v>
      </c>
      <c r="B4229">
        <v>4181361</v>
      </c>
      <c r="C4229" s="32">
        <v>43071.319976851853</v>
      </c>
    </row>
    <row r="4230" spans="1:3">
      <c r="A4230">
        <v>381956</v>
      </c>
      <c r="B4230">
        <v>2664522</v>
      </c>
      <c r="C4230" s="32">
        <v>43070.485462962963</v>
      </c>
    </row>
    <row r="4231" spans="1:3">
      <c r="A4231">
        <v>298972</v>
      </c>
      <c r="B4231">
        <v>2925160</v>
      </c>
      <c r="C4231" s="32">
        <v>43071.627488425926</v>
      </c>
    </row>
    <row r="4232" spans="1:3">
      <c r="A4232">
        <v>249735</v>
      </c>
      <c r="B4232">
        <v>2885642</v>
      </c>
      <c r="C4232" s="32">
        <v>43070.65966435185</v>
      </c>
    </row>
    <row r="4233" spans="1:3">
      <c r="A4233">
        <v>166856</v>
      </c>
      <c r="B4233">
        <v>4606718</v>
      </c>
      <c r="C4233" s="32">
        <v>43071.015543981484</v>
      </c>
    </row>
    <row r="4234" spans="1:3">
      <c r="A4234">
        <v>905086</v>
      </c>
      <c r="B4234">
        <v>4145813</v>
      </c>
      <c r="C4234" s="32">
        <v>43071.371030092596</v>
      </c>
    </row>
    <row r="4235" spans="1:3">
      <c r="A4235">
        <v>688257</v>
      </c>
      <c r="B4235">
        <v>2735466</v>
      </c>
      <c r="C4235" s="32">
        <v>43070.575023148151</v>
      </c>
    </row>
    <row r="4236" spans="1:3">
      <c r="A4236">
        <v>449141</v>
      </c>
      <c r="B4236">
        <v>405755</v>
      </c>
      <c r="C4236" s="32">
        <v>43071.509432870371</v>
      </c>
    </row>
    <row r="4237" spans="1:3">
      <c r="A4237">
        <v>369833</v>
      </c>
      <c r="B4237">
        <v>2495340</v>
      </c>
      <c r="C4237" s="32">
        <v>43072.135833333334</v>
      </c>
    </row>
    <row r="4238" spans="1:3">
      <c r="A4238">
        <v>554771</v>
      </c>
      <c r="B4238">
        <v>4170419</v>
      </c>
      <c r="C4238" s="32">
        <v>43072.073981481481</v>
      </c>
    </row>
    <row r="4239" spans="1:3">
      <c r="A4239">
        <v>321230</v>
      </c>
      <c r="B4239">
        <v>2939262</v>
      </c>
      <c r="C4239" s="32">
        <v>43071.551747685182</v>
      </c>
    </row>
    <row r="4240" spans="1:3">
      <c r="A4240">
        <v>557220</v>
      </c>
      <c r="B4240">
        <v>223690</v>
      </c>
      <c r="C4240" s="32">
        <v>43072.100543981483</v>
      </c>
    </row>
    <row r="4241" spans="1:3">
      <c r="A4241">
        <v>149957</v>
      </c>
      <c r="B4241">
        <v>4756105</v>
      </c>
      <c r="C4241" s="32">
        <v>43072.279120370367</v>
      </c>
    </row>
    <row r="4242" spans="1:3">
      <c r="A4242">
        <v>641334</v>
      </c>
      <c r="B4242">
        <v>1029459</v>
      </c>
      <c r="C4242" s="32">
        <v>43072.56925925926</v>
      </c>
    </row>
    <row r="4243" spans="1:3">
      <c r="A4243">
        <v>927463</v>
      </c>
      <c r="B4243">
        <v>2667323</v>
      </c>
      <c r="C4243" s="32">
        <v>43071.979930555557</v>
      </c>
    </row>
    <row r="4244" spans="1:3">
      <c r="A4244">
        <v>586481</v>
      </c>
      <c r="B4244">
        <v>3597057</v>
      </c>
      <c r="C4244" s="32">
        <v>43072.517754629633</v>
      </c>
    </row>
    <row r="4245" spans="1:3">
      <c r="A4245">
        <v>43849</v>
      </c>
      <c r="B4245">
        <v>902556</v>
      </c>
      <c r="C4245" s="32">
        <v>43071.123483796298</v>
      </c>
    </row>
    <row r="4246" spans="1:3">
      <c r="A4246">
        <v>787754</v>
      </c>
      <c r="B4246">
        <v>3002561</v>
      </c>
      <c r="C4246" s="32">
        <v>43072.664050925923</v>
      </c>
    </row>
    <row r="4247" spans="1:3">
      <c r="A4247">
        <v>820263</v>
      </c>
      <c r="B4247">
        <v>2452793</v>
      </c>
      <c r="C4247" s="32">
        <v>43071.606030092589</v>
      </c>
    </row>
    <row r="4248" spans="1:3">
      <c r="A4248">
        <v>995021</v>
      </c>
      <c r="B4248">
        <v>1792277</v>
      </c>
      <c r="C4248" s="32">
        <v>43072.595127314817</v>
      </c>
    </row>
    <row r="4249" spans="1:3">
      <c r="A4249">
        <v>528085</v>
      </c>
      <c r="B4249">
        <v>2735466</v>
      </c>
      <c r="C4249" s="32">
        <v>43070.525462962964</v>
      </c>
    </row>
    <row r="4250" spans="1:3">
      <c r="A4250">
        <v>721306</v>
      </c>
      <c r="B4250">
        <v>2181935</v>
      </c>
      <c r="C4250" s="32">
        <v>43071.583136574074</v>
      </c>
    </row>
    <row r="4251" spans="1:3">
      <c r="A4251">
        <v>837196</v>
      </c>
      <c r="B4251">
        <v>4756105</v>
      </c>
      <c r="C4251" s="32">
        <v>43072.60765046296</v>
      </c>
    </row>
    <row r="4252" spans="1:3">
      <c r="A4252">
        <v>758907</v>
      </c>
      <c r="B4252">
        <v>1461887</v>
      </c>
      <c r="C4252" s="32">
        <v>43071.623425925929</v>
      </c>
    </row>
    <row r="4253" spans="1:3">
      <c r="A4253">
        <v>964692</v>
      </c>
      <c r="B4253">
        <v>35290</v>
      </c>
      <c r="C4253" s="32">
        <v>43072.555138888885</v>
      </c>
    </row>
    <row r="4254" spans="1:3">
      <c r="A4254">
        <v>669042</v>
      </c>
      <c r="B4254">
        <v>3776866</v>
      </c>
      <c r="C4254" s="32">
        <v>43072.431134259263</v>
      </c>
    </row>
    <row r="4255" spans="1:3">
      <c r="A4255">
        <v>459764</v>
      </c>
      <c r="B4255">
        <v>4894095</v>
      </c>
      <c r="C4255" s="32">
        <v>43072.662905092591</v>
      </c>
    </row>
    <row r="4256" spans="1:3">
      <c r="A4256">
        <v>26708</v>
      </c>
      <c r="B4256">
        <v>2640118</v>
      </c>
      <c r="C4256" s="32">
        <v>43070.277939814812</v>
      </c>
    </row>
    <row r="4257" spans="1:3">
      <c r="A4257">
        <v>110449</v>
      </c>
      <c r="B4257">
        <v>4145813</v>
      </c>
      <c r="C4257" s="32">
        <v>43071.203981481478</v>
      </c>
    </row>
    <row r="4258" spans="1:3">
      <c r="A4258">
        <v>603396</v>
      </c>
      <c r="B4258">
        <v>2520377</v>
      </c>
      <c r="C4258" s="32">
        <v>43070.930763888886</v>
      </c>
    </row>
    <row r="4259" spans="1:3">
      <c r="A4259">
        <v>186129</v>
      </c>
      <c r="B4259">
        <v>1879194</v>
      </c>
      <c r="C4259" s="32">
        <v>43070.999305555553</v>
      </c>
    </row>
    <row r="4260" spans="1:3">
      <c r="A4260">
        <v>362618</v>
      </c>
      <c r="B4260">
        <v>2355072</v>
      </c>
      <c r="C4260" s="32">
        <v>43071.031087962961</v>
      </c>
    </row>
    <row r="4261" spans="1:3">
      <c r="A4261">
        <v>411867</v>
      </c>
      <c r="B4261">
        <v>1575622</v>
      </c>
      <c r="C4261" s="32">
        <v>43070.72515046296</v>
      </c>
    </row>
    <row r="4262" spans="1:3">
      <c r="A4262">
        <v>442687</v>
      </c>
      <c r="B4262">
        <v>2805193</v>
      </c>
      <c r="C4262" s="32">
        <v>43071.665254629632</v>
      </c>
    </row>
    <row r="4263" spans="1:3">
      <c r="A4263">
        <v>916475</v>
      </c>
      <c r="B4263">
        <v>4244487</v>
      </c>
      <c r="C4263" s="32">
        <v>43071.359398148146</v>
      </c>
    </row>
    <row r="4264" spans="1:3">
      <c r="A4264">
        <v>453272</v>
      </c>
      <c r="B4264">
        <v>235534</v>
      </c>
      <c r="C4264" s="32">
        <v>43069.672372685185</v>
      </c>
    </row>
    <row r="4265" spans="1:3">
      <c r="A4265">
        <v>198329</v>
      </c>
      <c r="B4265">
        <v>1029459</v>
      </c>
      <c r="C4265" s="32">
        <v>43070.273715277777</v>
      </c>
    </row>
    <row r="4266" spans="1:3">
      <c r="A4266">
        <v>911075</v>
      </c>
      <c r="B4266">
        <v>1045172</v>
      </c>
      <c r="C4266" s="32">
        <v>43071.534895833334</v>
      </c>
    </row>
    <row r="4267" spans="1:3">
      <c r="A4267">
        <v>181255</v>
      </c>
      <c r="B4267">
        <v>3351726</v>
      </c>
      <c r="C4267" s="32">
        <v>43070.122777777775</v>
      </c>
    </row>
    <row r="4268" spans="1:3">
      <c r="A4268">
        <v>59354</v>
      </c>
      <c r="B4268">
        <v>1464116</v>
      </c>
      <c r="C4268" s="32">
        <v>43070.102905092594</v>
      </c>
    </row>
    <row r="4269" spans="1:3">
      <c r="A4269">
        <v>324303</v>
      </c>
      <c r="B4269">
        <v>4145813</v>
      </c>
      <c r="C4269" s="32">
        <v>43071.376180555555</v>
      </c>
    </row>
    <row r="4270" spans="1:3">
      <c r="A4270">
        <v>948889</v>
      </c>
      <c r="B4270">
        <v>4801426</v>
      </c>
      <c r="C4270" s="32">
        <v>43071.196157407408</v>
      </c>
    </row>
    <row r="4271" spans="1:3">
      <c r="A4271">
        <v>880981</v>
      </c>
      <c r="B4271">
        <v>634390</v>
      </c>
      <c r="C4271" s="32">
        <v>43071.252500000002</v>
      </c>
    </row>
    <row r="4272" spans="1:3">
      <c r="A4272">
        <v>201617</v>
      </c>
      <c r="B4272">
        <v>2465336</v>
      </c>
      <c r="C4272" s="32">
        <v>43071.450057870374</v>
      </c>
    </row>
    <row r="4273" spans="1:3">
      <c r="A4273">
        <v>77754</v>
      </c>
      <c r="B4273">
        <v>2520377</v>
      </c>
      <c r="C4273" s="32">
        <v>43070.639050925929</v>
      </c>
    </row>
    <row r="4274" spans="1:3">
      <c r="A4274">
        <v>710207</v>
      </c>
      <c r="B4274">
        <v>4339722</v>
      </c>
      <c r="C4274" s="32">
        <v>43070.236134259256</v>
      </c>
    </row>
    <row r="4275" spans="1:3">
      <c r="A4275">
        <v>770304</v>
      </c>
      <c r="B4275">
        <v>4177144</v>
      </c>
      <c r="C4275" s="32">
        <v>43071.262361111112</v>
      </c>
    </row>
    <row r="4276" spans="1:3">
      <c r="A4276">
        <v>444337</v>
      </c>
      <c r="B4276">
        <v>1884322</v>
      </c>
      <c r="C4276" s="32">
        <v>43071.119942129626</v>
      </c>
    </row>
    <row r="4277" spans="1:3">
      <c r="A4277">
        <v>719908</v>
      </c>
      <c r="B4277">
        <v>4357323</v>
      </c>
      <c r="C4277" s="32">
        <v>43071.655925925923</v>
      </c>
    </row>
    <row r="4278" spans="1:3">
      <c r="A4278">
        <v>932738</v>
      </c>
      <c r="B4278">
        <v>2735466</v>
      </c>
      <c r="C4278" s="32">
        <v>43072.198530092595</v>
      </c>
    </row>
    <row r="4279" spans="1:3">
      <c r="A4279">
        <v>873772</v>
      </c>
      <c r="B4279">
        <v>4498047</v>
      </c>
      <c r="C4279" s="32">
        <v>43071.188599537039</v>
      </c>
    </row>
    <row r="4280" spans="1:3">
      <c r="A4280">
        <v>789423</v>
      </c>
      <c r="B4280">
        <v>2131531</v>
      </c>
      <c r="C4280" s="32">
        <v>43071.454317129632</v>
      </c>
    </row>
    <row r="4281" spans="1:3">
      <c r="A4281">
        <v>75832</v>
      </c>
      <c r="B4281">
        <v>149192</v>
      </c>
      <c r="C4281" s="32">
        <v>43071.615613425929</v>
      </c>
    </row>
    <row r="4282" spans="1:3">
      <c r="A4282">
        <v>527082</v>
      </c>
      <c r="B4282">
        <v>643645</v>
      </c>
      <c r="C4282" s="32">
        <v>43072.374027777776</v>
      </c>
    </row>
    <row r="4283" spans="1:3">
      <c r="A4283">
        <v>596340</v>
      </c>
      <c r="B4283">
        <v>1851156</v>
      </c>
      <c r="C4283" s="32">
        <v>43071.065717592595</v>
      </c>
    </row>
    <row r="4284" spans="1:3">
      <c r="A4284">
        <v>850040</v>
      </c>
      <c r="B4284">
        <v>154040</v>
      </c>
      <c r="C4284" s="32">
        <v>43072.492731481485</v>
      </c>
    </row>
    <row r="4285" spans="1:3">
      <c r="A4285">
        <v>364355</v>
      </c>
      <c r="B4285">
        <v>2296439</v>
      </c>
      <c r="C4285" s="32">
        <v>43071.577743055554</v>
      </c>
    </row>
    <row r="4286" spans="1:3">
      <c r="A4286">
        <v>421777</v>
      </c>
      <c r="B4286">
        <v>4801426</v>
      </c>
      <c r="C4286" s="32">
        <v>43070.339189814818</v>
      </c>
    </row>
    <row r="4287" spans="1:3">
      <c r="A4287">
        <v>755764</v>
      </c>
      <c r="B4287">
        <v>1068933</v>
      </c>
      <c r="C4287" s="32">
        <v>43072.314733796295</v>
      </c>
    </row>
    <row r="4288" spans="1:3">
      <c r="A4288">
        <v>15392</v>
      </c>
      <c r="B4288">
        <v>2735466</v>
      </c>
      <c r="C4288" s="32">
        <v>43070.553969907407</v>
      </c>
    </row>
    <row r="4289" spans="1:3">
      <c r="A4289">
        <v>309120</v>
      </c>
      <c r="B4289">
        <v>2465336</v>
      </c>
      <c r="C4289" s="32">
        <v>43072.029050925928</v>
      </c>
    </row>
    <row r="4290" spans="1:3">
      <c r="A4290">
        <v>592389</v>
      </c>
      <c r="B4290">
        <v>1467750</v>
      </c>
      <c r="C4290" s="32">
        <v>43071.705497685187</v>
      </c>
    </row>
    <row r="4291" spans="1:3">
      <c r="A4291">
        <v>408565</v>
      </c>
      <c r="B4291">
        <v>1080785</v>
      </c>
      <c r="C4291" s="32">
        <v>43071.126608796294</v>
      </c>
    </row>
    <row r="4292" spans="1:3">
      <c r="A4292">
        <v>408565</v>
      </c>
      <c r="B4292">
        <v>4756105</v>
      </c>
      <c r="C4292" s="32">
        <v>43071.341921296298</v>
      </c>
    </row>
    <row r="4293" spans="1:3">
      <c r="A4293">
        <v>779436</v>
      </c>
      <c r="B4293">
        <v>1216617</v>
      </c>
      <c r="C4293" s="32">
        <v>43070.154479166667</v>
      </c>
    </row>
    <row r="4294" spans="1:3">
      <c r="A4294">
        <v>67115</v>
      </c>
      <c r="B4294">
        <v>1851156</v>
      </c>
      <c r="C4294" s="32">
        <v>43072.453553240739</v>
      </c>
    </row>
    <row r="4295" spans="1:3">
      <c r="A4295">
        <v>61415</v>
      </c>
      <c r="B4295">
        <v>4145813</v>
      </c>
      <c r="C4295" s="32">
        <v>43070.665625000001</v>
      </c>
    </row>
    <row r="4296" spans="1:3">
      <c r="A4296">
        <v>730744</v>
      </c>
      <c r="B4296">
        <v>4217906</v>
      </c>
      <c r="C4296" s="32">
        <v>43071.206145833334</v>
      </c>
    </row>
    <row r="4297" spans="1:3">
      <c r="A4297">
        <v>287616</v>
      </c>
      <c r="B4297">
        <v>4801426</v>
      </c>
      <c r="C4297" s="32">
        <v>43070.696585648147</v>
      </c>
    </row>
    <row r="4298" spans="1:3">
      <c r="A4298">
        <v>73225</v>
      </c>
      <c r="B4298">
        <v>200278</v>
      </c>
      <c r="C4298" s="32">
        <v>43071.243344907409</v>
      </c>
    </row>
    <row r="4299" spans="1:3">
      <c r="A4299">
        <v>110934</v>
      </c>
      <c r="B4299">
        <v>3607361</v>
      </c>
      <c r="C4299" s="32">
        <v>43072.463912037034</v>
      </c>
    </row>
    <row r="4300" spans="1:3">
      <c r="A4300">
        <v>35239</v>
      </c>
      <c r="B4300">
        <v>2520771</v>
      </c>
      <c r="C4300" s="32">
        <v>43071.566817129627</v>
      </c>
    </row>
    <row r="4301" spans="1:3">
      <c r="A4301">
        <v>765609</v>
      </c>
      <c r="B4301">
        <v>4145813</v>
      </c>
      <c r="C4301" s="32">
        <v>43072.371770833335</v>
      </c>
    </row>
    <row r="4302" spans="1:3">
      <c r="A4302">
        <v>674727</v>
      </c>
      <c r="B4302">
        <v>2892802</v>
      </c>
      <c r="C4302" s="32">
        <v>43070.163576388892</v>
      </c>
    </row>
    <row r="4303" spans="1:3">
      <c r="A4303">
        <v>536525</v>
      </c>
      <c r="B4303">
        <v>1653613</v>
      </c>
      <c r="C4303" s="32">
        <v>43072.092662037037</v>
      </c>
    </row>
    <row r="4304" spans="1:3">
      <c r="A4304">
        <v>301389</v>
      </c>
      <c r="B4304">
        <v>4173315</v>
      </c>
      <c r="C4304" s="32">
        <v>43072.525856481479</v>
      </c>
    </row>
    <row r="4305" spans="1:3">
      <c r="A4305">
        <v>143715</v>
      </c>
      <c r="B4305">
        <v>4801426</v>
      </c>
      <c r="C4305" s="32">
        <v>43071.373622685183</v>
      </c>
    </row>
    <row r="4306" spans="1:3">
      <c r="A4306">
        <v>568248</v>
      </c>
      <c r="B4306">
        <v>3645362</v>
      </c>
      <c r="C4306" s="32">
        <v>43070.393078703702</v>
      </c>
    </row>
    <row r="4307" spans="1:3">
      <c r="A4307">
        <v>807944</v>
      </c>
      <c r="B4307">
        <v>3002561</v>
      </c>
      <c r="C4307" s="32">
        <v>43072.433715277781</v>
      </c>
    </row>
    <row r="4308" spans="1:3">
      <c r="A4308">
        <v>958803</v>
      </c>
      <c r="B4308">
        <v>3738615</v>
      </c>
      <c r="C4308" s="32">
        <v>43072.616307870368</v>
      </c>
    </row>
    <row r="4309" spans="1:3">
      <c r="A4309">
        <v>940244</v>
      </c>
      <c r="B4309">
        <v>4276787</v>
      </c>
      <c r="C4309" s="32">
        <v>43070.380254629628</v>
      </c>
    </row>
    <row r="4310" spans="1:3">
      <c r="A4310">
        <v>557136</v>
      </c>
      <c r="B4310">
        <v>154040</v>
      </c>
      <c r="C4310" s="32">
        <v>43071.614942129629</v>
      </c>
    </row>
    <row r="4311" spans="1:3">
      <c r="A4311">
        <v>301607</v>
      </c>
      <c r="B4311">
        <v>102272</v>
      </c>
      <c r="C4311" s="32">
        <v>43072.543379629627</v>
      </c>
    </row>
    <row r="4312" spans="1:3">
      <c r="A4312">
        <v>840742</v>
      </c>
      <c r="B4312">
        <v>3500710</v>
      </c>
      <c r="C4312" s="32">
        <v>43071.150925925926</v>
      </c>
    </row>
    <row r="4313" spans="1:3">
      <c r="A4313">
        <v>1009411</v>
      </c>
      <c r="B4313">
        <v>4242717</v>
      </c>
      <c r="C4313" s="32">
        <v>43072.379803240743</v>
      </c>
    </row>
    <row r="4314" spans="1:3">
      <c r="A4314">
        <v>283986</v>
      </c>
      <c r="B4314">
        <v>3400167</v>
      </c>
      <c r="C4314" s="32">
        <v>43072.116747685184</v>
      </c>
    </row>
    <row r="4315" spans="1:3">
      <c r="A4315">
        <v>189099</v>
      </c>
      <c r="B4315">
        <v>1474371</v>
      </c>
      <c r="C4315" s="32">
        <v>43071.026956018519</v>
      </c>
    </row>
    <row r="4316" spans="1:3">
      <c r="A4316">
        <v>318063</v>
      </c>
      <c r="B4316">
        <v>2982027</v>
      </c>
      <c r="C4316" s="32">
        <v>43071.694201388891</v>
      </c>
    </row>
    <row r="4317" spans="1:3">
      <c r="A4317">
        <v>764996</v>
      </c>
      <c r="B4317">
        <v>1158475</v>
      </c>
      <c r="C4317" s="32">
        <v>43070.013124999998</v>
      </c>
    </row>
    <row r="4318" spans="1:3">
      <c r="A4318">
        <v>552875</v>
      </c>
      <c r="B4318">
        <v>2020240</v>
      </c>
      <c r="C4318" s="32">
        <v>43071.262615740743</v>
      </c>
    </row>
    <row r="4319" spans="1:3">
      <c r="A4319">
        <v>154452</v>
      </c>
      <c r="B4319">
        <v>2440115</v>
      </c>
      <c r="C4319" s="32">
        <v>43071.541967592595</v>
      </c>
    </row>
    <row r="4320" spans="1:3">
      <c r="A4320">
        <v>366484</v>
      </c>
      <c r="B4320">
        <v>4358294</v>
      </c>
      <c r="C4320" s="32">
        <v>43071.282488425924</v>
      </c>
    </row>
    <row r="4321" spans="1:3">
      <c r="A4321">
        <v>460639</v>
      </c>
      <c r="B4321">
        <v>4993094</v>
      </c>
      <c r="C4321" s="32">
        <v>43072.338101851848</v>
      </c>
    </row>
    <row r="4322" spans="1:3">
      <c r="A4322">
        <v>703950</v>
      </c>
      <c r="B4322">
        <v>3191556</v>
      </c>
      <c r="C4322" s="32">
        <v>43071.330324074072</v>
      </c>
    </row>
    <row r="4323" spans="1:3">
      <c r="A4323">
        <v>288170</v>
      </c>
      <c r="B4323">
        <v>1673021</v>
      </c>
      <c r="C4323" s="32">
        <v>43070.916944444441</v>
      </c>
    </row>
    <row r="4324" spans="1:3">
      <c r="A4324">
        <v>491138</v>
      </c>
      <c r="B4324">
        <v>4357323</v>
      </c>
      <c r="C4324" s="32">
        <v>43071.706493055557</v>
      </c>
    </row>
    <row r="4325" spans="1:3">
      <c r="A4325">
        <v>716350</v>
      </c>
      <c r="B4325">
        <v>3102419</v>
      </c>
      <c r="C4325" s="32">
        <v>43072.583796296298</v>
      </c>
    </row>
    <row r="4326" spans="1:3">
      <c r="A4326">
        <v>894986</v>
      </c>
      <c r="B4326">
        <v>570735</v>
      </c>
      <c r="C4326" s="32">
        <v>43071.553032407406</v>
      </c>
    </row>
    <row r="4327" spans="1:3">
      <c r="A4327">
        <v>229172</v>
      </c>
      <c r="B4327">
        <v>1994940</v>
      </c>
      <c r="C4327" s="32">
        <v>43070.699247685188</v>
      </c>
    </row>
    <row r="4328" spans="1:3">
      <c r="A4328">
        <v>518858</v>
      </c>
      <c r="B4328">
        <v>1029459</v>
      </c>
      <c r="C4328" s="32">
        <v>43071.511331018519</v>
      </c>
    </row>
    <row r="4329" spans="1:3">
      <c r="A4329">
        <v>218020</v>
      </c>
      <c r="B4329">
        <v>2052526</v>
      </c>
      <c r="C4329" s="32">
        <v>43070.648599537039</v>
      </c>
    </row>
    <row r="4330" spans="1:3">
      <c r="A4330">
        <v>277687</v>
      </c>
      <c r="B4330">
        <v>2355072</v>
      </c>
      <c r="C4330" s="32">
        <v>43070.539918981478</v>
      </c>
    </row>
    <row r="4331" spans="1:3">
      <c r="A4331">
        <v>576827</v>
      </c>
      <c r="B4331">
        <v>2735466</v>
      </c>
      <c r="C4331" s="32">
        <v>43070.099062499998</v>
      </c>
    </row>
    <row r="4332" spans="1:3">
      <c r="A4332">
        <v>984978</v>
      </c>
      <c r="B4332">
        <v>4462359</v>
      </c>
      <c r="C4332" s="32">
        <v>43071.159849537034</v>
      </c>
    </row>
    <row r="4333" spans="1:3">
      <c r="A4333">
        <v>370874</v>
      </c>
      <c r="B4333">
        <v>4284875</v>
      </c>
      <c r="C4333" s="32">
        <v>43072.472708333335</v>
      </c>
    </row>
    <row r="4334" spans="1:3">
      <c r="A4334">
        <v>191767</v>
      </c>
      <c r="B4334">
        <v>3299155</v>
      </c>
      <c r="C4334" s="32">
        <v>43070.628229166665</v>
      </c>
    </row>
    <row r="4335" spans="1:3">
      <c r="A4335">
        <v>406222</v>
      </c>
      <c r="B4335">
        <v>903809</v>
      </c>
      <c r="C4335" s="32">
        <v>43071.556759259256</v>
      </c>
    </row>
    <row r="4336" spans="1:3">
      <c r="A4336">
        <v>643750</v>
      </c>
      <c r="B4336">
        <v>2520377</v>
      </c>
      <c r="C4336" s="32">
        <v>43070.558761574073</v>
      </c>
    </row>
    <row r="4337" spans="1:3">
      <c r="A4337">
        <v>862401</v>
      </c>
      <c r="B4337">
        <v>411153</v>
      </c>
      <c r="C4337" s="32">
        <v>43071.47446759259</v>
      </c>
    </row>
    <row r="4338" spans="1:3">
      <c r="A4338">
        <v>181018</v>
      </c>
      <c r="B4338">
        <v>50601</v>
      </c>
      <c r="C4338" s="32">
        <v>43072.390659722223</v>
      </c>
    </row>
    <row r="4339" spans="1:3">
      <c r="A4339">
        <v>422925</v>
      </c>
      <c r="B4339">
        <v>4666620</v>
      </c>
      <c r="C4339" s="32">
        <v>43072.389444444445</v>
      </c>
    </row>
    <row r="4340" spans="1:3">
      <c r="A4340">
        <v>88972</v>
      </c>
      <c r="B4340">
        <v>2640118</v>
      </c>
      <c r="C4340" s="32">
        <v>43070.123055555552</v>
      </c>
    </row>
    <row r="4341" spans="1:3">
      <c r="A4341">
        <v>664187</v>
      </c>
      <c r="B4341">
        <v>2939262</v>
      </c>
      <c r="C4341" s="32">
        <v>43072.296365740738</v>
      </c>
    </row>
    <row r="4342" spans="1:3">
      <c r="A4342">
        <v>416511</v>
      </c>
      <c r="B4342">
        <v>2892802</v>
      </c>
      <c r="C4342" s="32">
        <v>43071.57304398148</v>
      </c>
    </row>
    <row r="4343" spans="1:3">
      <c r="A4343">
        <v>858249</v>
      </c>
      <c r="B4343">
        <v>2735466</v>
      </c>
      <c r="C4343" s="32">
        <v>43071.9999537037</v>
      </c>
    </row>
    <row r="4344" spans="1:3">
      <c r="A4344">
        <v>911074</v>
      </c>
      <c r="B4344">
        <v>1216617</v>
      </c>
      <c r="C4344" s="32">
        <v>43071.243634259263</v>
      </c>
    </row>
    <row r="4345" spans="1:3">
      <c r="A4345">
        <v>231703</v>
      </c>
      <c r="B4345">
        <v>4148053</v>
      </c>
      <c r="C4345" s="32">
        <v>43070.646736111114</v>
      </c>
    </row>
    <row r="4346" spans="1:3">
      <c r="A4346">
        <v>822982</v>
      </c>
      <c r="B4346">
        <v>1297992</v>
      </c>
      <c r="C4346" s="32">
        <v>43070.486180555556</v>
      </c>
    </row>
    <row r="4347" spans="1:3">
      <c r="A4347">
        <v>190741</v>
      </c>
      <c r="B4347">
        <v>2640118</v>
      </c>
      <c r="C4347" s="32">
        <v>43071.171134259261</v>
      </c>
    </row>
    <row r="4348" spans="1:3">
      <c r="A4348">
        <v>316340</v>
      </c>
      <c r="B4348">
        <v>1575622</v>
      </c>
      <c r="C4348" s="32">
        <v>43071.486064814817</v>
      </c>
    </row>
    <row r="4349" spans="1:3">
      <c r="A4349">
        <v>492364</v>
      </c>
      <c r="B4349">
        <v>149192</v>
      </c>
      <c r="C4349" s="32">
        <v>43072.54047453704</v>
      </c>
    </row>
    <row r="4350" spans="1:3">
      <c r="A4350">
        <v>342555</v>
      </c>
      <c r="B4350">
        <v>286229</v>
      </c>
      <c r="C4350" s="32">
        <v>43072.608159722222</v>
      </c>
    </row>
    <row r="4351" spans="1:3">
      <c r="A4351">
        <v>24685</v>
      </c>
      <c r="B4351">
        <v>1299190</v>
      </c>
      <c r="C4351" s="32">
        <v>43071.981365740743</v>
      </c>
    </row>
    <row r="4352" spans="1:3">
      <c r="A4352">
        <v>666120</v>
      </c>
      <c r="B4352">
        <v>4462359</v>
      </c>
      <c r="C4352" s="32">
        <v>43070.586909722224</v>
      </c>
    </row>
    <row r="4353" spans="1:3">
      <c r="A4353">
        <v>140765</v>
      </c>
      <c r="B4353">
        <v>2920476</v>
      </c>
      <c r="C4353" s="32">
        <v>43072.20275462963</v>
      </c>
    </row>
    <row r="4354" spans="1:3">
      <c r="A4354">
        <v>161854</v>
      </c>
      <c r="B4354">
        <v>1299190</v>
      </c>
      <c r="C4354" s="32">
        <v>43071.694212962961</v>
      </c>
    </row>
    <row r="4355" spans="1:3">
      <c r="A4355">
        <v>101444</v>
      </c>
      <c r="B4355">
        <v>3208959</v>
      </c>
      <c r="C4355" s="32">
        <v>43069.900682870371</v>
      </c>
    </row>
    <row r="4356" spans="1:3">
      <c r="A4356">
        <v>485082</v>
      </c>
      <c r="B4356">
        <v>339580</v>
      </c>
      <c r="C4356" s="32">
        <v>43071.652418981481</v>
      </c>
    </row>
    <row r="4357" spans="1:3">
      <c r="A4357">
        <v>713670</v>
      </c>
      <c r="B4357">
        <v>4181361</v>
      </c>
      <c r="C4357" s="32">
        <v>43071.61310185185</v>
      </c>
    </row>
    <row r="4358" spans="1:3">
      <c r="A4358">
        <v>973755</v>
      </c>
      <c r="B4358">
        <v>2023387</v>
      </c>
      <c r="C4358" s="32">
        <v>43070.41846064815</v>
      </c>
    </row>
    <row r="4359" spans="1:3">
      <c r="A4359">
        <v>549353</v>
      </c>
      <c r="B4359">
        <v>4801426</v>
      </c>
      <c r="C4359" s="32">
        <v>43072.165208333332</v>
      </c>
    </row>
    <row r="4360" spans="1:3">
      <c r="A4360">
        <v>307519</v>
      </c>
      <c r="B4360">
        <v>2520377</v>
      </c>
      <c r="C4360" s="32">
        <v>43072.47761574074</v>
      </c>
    </row>
    <row r="4361" spans="1:3">
      <c r="A4361">
        <v>990952</v>
      </c>
      <c r="B4361">
        <v>662846</v>
      </c>
      <c r="C4361" s="32">
        <v>43072.333425925928</v>
      </c>
    </row>
    <row r="4362" spans="1:3">
      <c r="A4362">
        <v>557543</v>
      </c>
      <c r="B4362">
        <v>1320293</v>
      </c>
      <c r="C4362" s="32">
        <v>43071.899675925924</v>
      </c>
    </row>
    <row r="4363" spans="1:3">
      <c r="A4363">
        <v>758748</v>
      </c>
      <c r="B4363">
        <v>1074254</v>
      </c>
      <c r="C4363" s="32">
        <v>43072.666307870371</v>
      </c>
    </row>
    <row r="4364" spans="1:3">
      <c r="A4364">
        <v>540742</v>
      </c>
      <c r="B4364">
        <v>5053508</v>
      </c>
      <c r="C4364" s="32">
        <v>43072.079594907409</v>
      </c>
    </row>
    <row r="4365" spans="1:3">
      <c r="A4365">
        <v>488941</v>
      </c>
      <c r="B4365">
        <v>5053508</v>
      </c>
      <c r="C4365" s="32">
        <v>43072.476412037038</v>
      </c>
    </row>
    <row r="4366" spans="1:3">
      <c r="A4366">
        <v>813940</v>
      </c>
      <c r="B4366">
        <v>4284875</v>
      </c>
      <c r="C4366" s="32">
        <v>43070.472997685189</v>
      </c>
    </row>
    <row r="4367" spans="1:3">
      <c r="A4367">
        <v>852267</v>
      </c>
      <c r="B4367">
        <v>4078249</v>
      </c>
      <c r="C4367" s="32">
        <v>43071.568854166668</v>
      </c>
    </row>
    <row r="4368" spans="1:3">
      <c r="A4368">
        <v>868363</v>
      </c>
      <c r="B4368">
        <v>3123187</v>
      </c>
      <c r="C4368" s="32">
        <v>43072.272951388892</v>
      </c>
    </row>
    <row r="4369" spans="1:3">
      <c r="A4369">
        <v>150698</v>
      </c>
      <c r="B4369">
        <v>1349561</v>
      </c>
      <c r="C4369" s="32">
        <v>43070.605949074074</v>
      </c>
    </row>
    <row r="4370" spans="1:3">
      <c r="A4370">
        <v>550391</v>
      </c>
      <c r="B4370">
        <v>1320293</v>
      </c>
      <c r="C4370" s="32">
        <v>43071.105497685188</v>
      </c>
    </row>
    <row r="4371" spans="1:3">
      <c r="A4371">
        <v>692077</v>
      </c>
      <c r="B4371">
        <v>4801426</v>
      </c>
      <c r="C4371" s="32">
        <v>43071.385347222225</v>
      </c>
    </row>
    <row r="4372" spans="1:3">
      <c r="A4372">
        <v>417875</v>
      </c>
      <c r="B4372">
        <v>1029459</v>
      </c>
      <c r="C4372" s="32">
        <v>43072.505370370367</v>
      </c>
    </row>
    <row r="4373" spans="1:3">
      <c r="A4373">
        <v>123020</v>
      </c>
      <c r="B4373">
        <v>4217906</v>
      </c>
      <c r="C4373" s="32">
        <v>43071.489606481482</v>
      </c>
    </row>
    <row r="4374" spans="1:3">
      <c r="A4374">
        <v>454584</v>
      </c>
      <c r="B4374">
        <v>2983928</v>
      </c>
      <c r="C4374" s="32">
        <v>43071.571446759262</v>
      </c>
    </row>
    <row r="4375" spans="1:3">
      <c r="A4375">
        <v>92257</v>
      </c>
      <c r="B4375">
        <v>4756105</v>
      </c>
      <c r="C4375" s="32">
        <v>43070.113368055558</v>
      </c>
    </row>
    <row r="4376" spans="1:3">
      <c r="A4376">
        <v>866318</v>
      </c>
      <c r="B4376">
        <v>2939262</v>
      </c>
      <c r="C4376" s="32">
        <v>43072.236041666663</v>
      </c>
    </row>
    <row r="4377" spans="1:3">
      <c r="A4377">
        <v>65544</v>
      </c>
      <c r="B4377">
        <v>4282670</v>
      </c>
      <c r="C4377" s="32">
        <v>43072.53638888889</v>
      </c>
    </row>
    <row r="4378" spans="1:3">
      <c r="A4378">
        <v>785160</v>
      </c>
      <c r="B4378">
        <v>982926</v>
      </c>
      <c r="C4378" s="32">
        <v>43070.28833333333</v>
      </c>
    </row>
    <row r="4379" spans="1:3">
      <c r="A4379">
        <v>990897</v>
      </c>
      <c r="B4379">
        <v>274067</v>
      </c>
      <c r="C4379" s="32">
        <v>43071.747569444444</v>
      </c>
    </row>
    <row r="4380" spans="1:3">
      <c r="A4380">
        <v>39055</v>
      </c>
      <c r="B4380">
        <v>4606718</v>
      </c>
      <c r="C4380" s="32">
        <v>43072.115868055553</v>
      </c>
    </row>
    <row r="4381" spans="1:3">
      <c r="A4381">
        <v>811603</v>
      </c>
      <c r="B4381">
        <v>3790162</v>
      </c>
      <c r="C4381" s="32">
        <v>43070.509398148148</v>
      </c>
    </row>
    <row r="4382" spans="1:3">
      <c r="A4382">
        <v>849457</v>
      </c>
      <c r="B4382">
        <v>3607361</v>
      </c>
      <c r="C4382" s="32">
        <v>43071.346666666665</v>
      </c>
    </row>
    <row r="4383" spans="1:3">
      <c r="A4383">
        <v>951925</v>
      </c>
      <c r="B4383">
        <v>4470576</v>
      </c>
      <c r="C4383" s="32">
        <v>43071.393182870372</v>
      </c>
    </row>
    <row r="4384" spans="1:3">
      <c r="A4384">
        <v>664782</v>
      </c>
      <c r="B4384">
        <v>5053508</v>
      </c>
      <c r="C4384" s="32">
        <v>43071.38071759259</v>
      </c>
    </row>
    <row r="4385" spans="1:3">
      <c r="A4385">
        <v>865068</v>
      </c>
      <c r="B4385">
        <v>2465336</v>
      </c>
      <c r="C4385" s="32">
        <v>43072.569409722222</v>
      </c>
    </row>
    <row r="4386" spans="1:3">
      <c r="A4386">
        <v>73360</v>
      </c>
      <c r="B4386">
        <v>5071267</v>
      </c>
      <c r="C4386" s="32">
        <v>43071.353391203702</v>
      </c>
    </row>
    <row r="4387" spans="1:3">
      <c r="A4387">
        <v>215067</v>
      </c>
      <c r="B4387">
        <v>2647760</v>
      </c>
      <c r="C4387" s="32">
        <v>43071.037604166668</v>
      </c>
    </row>
    <row r="4388" spans="1:3">
      <c r="A4388">
        <v>61126</v>
      </c>
      <c r="B4388">
        <v>4882154</v>
      </c>
      <c r="C4388" s="32">
        <v>43072.56113425926</v>
      </c>
    </row>
    <row r="4389" spans="1:3">
      <c r="A4389">
        <v>407229</v>
      </c>
      <c r="B4389">
        <v>3669044</v>
      </c>
      <c r="C4389" s="32">
        <v>43070.54178240741</v>
      </c>
    </row>
    <row r="4390" spans="1:3">
      <c r="A4390">
        <v>619812</v>
      </c>
      <c r="B4390">
        <v>4756105</v>
      </c>
      <c r="C4390" s="32">
        <v>43072.610914351855</v>
      </c>
    </row>
    <row r="4391" spans="1:3">
      <c r="A4391">
        <v>812694</v>
      </c>
      <c r="B4391">
        <v>3100759</v>
      </c>
      <c r="C4391" s="32">
        <v>43071.356805555559</v>
      </c>
    </row>
    <row r="4392" spans="1:3">
      <c r="A4392">
        <v>960983</v>
      </c>
      <c r="B4392">
        <v>1320293</v>
      </c>
      <c r="C4392" s="32">
        <v>43070.222662037035</v>
      </c>
    </row>
    <row r="4393" spans="1:3">
      <c r="A4393">
        <v>23294</v>
      </c>
      <c r="B4393">
        <v>149192</v>
      </c>
      <c r="C4393" s="32">
        <v>43072.521273148152</v>
      </c>
    </row>
    <row r="4394" spans="1:3">
      <c r="A4394">
        <v>731343</v>
      </c>
      <c r="B4394">
        <v>965809</v>
      </c>
      <c r="C4394" s="32">
        <v>43072.017361111109</v>
      </c>
    </row>
    <row r="4395" spans="1:3">
      <c r="A4395">
        <v>351911</v>
      </c>
      <c r="B4395">
        <v>1349634</v>
      </c>
      <c r="C4395" s="32">
        <v>43069.671377314815</v>
      </c>
    </row>
    <row r="4396" spans="1:3">
      <c r="A4396">
        <v>761723</v>
      </c>
      <c r="B4396">
        <v>2939262</v>
      </c>
      <c r="C4396" s="32">
        <v>43072.010995370372</v>
      </c>
    </row>
    <row r="4397" spans="1:3">
      <c r="A4397">
        <v>1002617</v>
      </c>
      <c r="B4397">
        <v>4145813</v>
      </c>
      <c r="C4397" s="32">
        <v>43072.50240740741</v>
      </c>
    </row>
    <row r="4398" spans="1:3">
      <c r="A4398">
        <v>881814</v>
      </c>
      <c r="B4398">
        <v>4358294</v>
      </c>
      <c r="C4398" s="32">
        <v>43072.284641203703</v>
      </c>
    </row>
    <row r="4399" spans="1:3">
      <c r="A4399">
        <v>586242</v>
      </c>
      <c r="B4399">
        <v>4069500</v>
      </c>
      <c r="C4399" s="32">
        <v>43069.985011574077</v>
      </c>
    </row>
    <row r="4400" spans="1:3">
      <c r="A4400">
        <v>642705</v>
      </c>
      <c r="B4400">
        <v>570735</v>
      </c>
      <c r="C4400" s="32">
        <v>43072.566481481481</v>
      </c>
    </row>
    <row r="4401" spans="1:3">
      <c r="A4401">
        <v>761775</v>
      </c>
      <c r="B4401">
        <v>3975787</v>
      </c>
      <c r="C4401" s="32">
        <v>43072.389282407406</v>
      </c>
    </row>
    <row r="4402" spans="1:3">
      <c r="A4402">
        <v>758376</v>
      </c>
      <c r="B4402">
        <v>3250334</v>
      </c>
      <c r="C4402" s="32">
        <v>43072.490266203706</v>
      </c>
    </row>
    <row r="4403" spans="1:3">
      <c r="A4403">
        <v>164514</v>
      </c>
      <c r="B4403">
        <v>4756105</v>
      </c>
      <c r="C4403" s="32">
        <v>43070.951863425929</v>
      </c>
    </row>
    <row r="4404" spans="1:3">
      <c r="A4404">
        <v>605767</v>
      </c>
      <c r="B4404">
        <v>3999977</v>
      </c>
      <c r="C4404" s="32">
        <v>43070.138298611113</v>
      </c>
    </row>
    <row r="4405" spans="1:3">
      <c r="A4405">
        <v>237042</v>
      </c>
      <c r="B4405">
        <v>1320293</v>
      </c>
      <c r="C4405" s="32">
        <v>43071.586041666669</v>
      </c>
    </row>
    <row r="4406" spans="1:3">
      <c r="A4406">
        <v>923346</v>
      </c>
      <c r="B4406">
        <v>2558244</v>
      </c>
      <c r="C4406" s="32">
        <v>43071.411724537036</v>
      </c>
    </row>
    <row r="4407" spans="1:3">
      <c r="A4407">
        <v>183753</v>
      </c>
      <c r="B4407">
        <v>1508018</v>
      </c>
      <c r="C4407" s="32">
        <v>43071.144189814811</v>
      </c>
    </row>
    <row r="4408" spans="1:3">
      <c r="A4408">
        <v>744731</v>
      </c>
      <c r="B4408">
        <v>1464116</v>
      </c>
      <c r="C4408" s="32">
        <v>43071.233946759261</v>
      </c>
    </row>
    <row r="4409" spans="1:3">
      <c r="A4409">
        <v>340243</v>
      </c>
      <c r="B4409">
        <v>4731191</v>
      </c>
      <c r="C4409" s="32">
        <v>43071.545543981483</v>
      </c>
    </row>
    <row r="4410" spans="1:3">
      <c r="A4410">
        <v>156802</v>
      </c>
      <c r="B4410">
        <v>4069500</v>
      </c>
      <c r="C4410" s="32">
        <v>43071.603217592594</v>
      </c>
    </row>
    <row r="4411" spans="1:3">
      <c r="A4411">
        <v>410381</v>
      </c>
      <c r="B4411">
        <v>1851156</v>
      </c>
      <c r="C4411" s="32">
        <v>43070.604143518518</v>
      </c>
    </row>
    <row r="4412" spans="1:3">
      <c r="A4412">
        <v>278152</v>
      </c>
      <c r="B4412">
        <v>1694669</v>
      </c>
      <c r="C4412" s="32">
        <v>43072.259502314817</v>
      </c>
    </row>
    <row r="4413" spans="1:3">
      <c r="A4413">
        <v>857062</v>
      </c>
      <c r="B4413">
        <v>965809</v>
      </c>
      <c r="C4413" s="32">
        <v>43071.604942129627</v>
      </c>
    </row>
    <row r="4414" spans="1:3">
      <c r="A4414">
        <v>592734</v>
      </c>
      <c r="B4414">
        <v>1331853</v>
      </c>
      <c r="C4414" s="32">
        <v>43072.349259259259</v>
      </c>
    </row>
    <row r="4415" spans="1:3">
      <c r="A4415">
        <v>299163</v>
      </c>
      <c r="B4415">
        <v>4731191</v>
      </c>
      <c r="C4415" s="32">
        <v>43070.099074074074</v>
      </c>
    </row>
    <row r="4416" spans="1:3">
      <c r="A4416">
        <v>34973</v>
      </c>
      <c r="B4416">
        <v>3879308</v>
      </c>
      <c r="C4416" s="32">
        <v>43071.632187499999</v>
      </c>
    </row>
    <row r="4417" spans="1:3">
      <c r="A4417">
        <v>413073</v>
      </c>
      <c r="B4417">
        <v>4082778</v>
      </c>
      <c r="C4417" s="32">
        <v>43072.261041666665</v>
      </c>
    </row>
    <row r="4418" spans="1:3">
      <c r="A4418">
        <v>236160</v>
      </c>
      <c r="B4418">
        <v>3579754</v>
      </c>
      <c r="C4418" s="32">
        <v>43071.395011574074</v>
      </c>
    </row>
    <row r="4419" spans="1:3">
      <c r="A4419">
        <v>876206</v>
      </c>
      <c r="B4419">
        <v>4713427</v>
      </c>
      <c r="C4419" s="32">
        <v>43070.507511574076</v>
      </c>
    </row>
    <row r="4420" spans="1:3">
      <c r="A4420">
        <v>985628</v>
      </c>
      <c r="B4420">
        <v>2640118</v>
      </c>
      <c r="C4420" s="32">
        <v>43070.506585648145</v>
      </c>
    </row>
    <row r="4421" spans="1:3">
      <c r="A4421">
        <v>325636</v>
      </c>
      <c r="B4421">
        <v>1061857</v>
      </c>
      <c r="C4421" s="32">
        <v>43071.072384259256</v>
      </c>
    </row>
    <row r="4422" spans="1:3">
      <c r="A4422">
        <v>510240</v>
      </c>
      <c r="B4422">
        <v>4357323</v>
      </c>
      <c r="C4422" s="32">
        <v>43071.169930555552</v>
      </c>
    </row>
    <row r="4423" spans="1:3">
      <c r="A4423">
        <v>984072</v>
      </c>
      <c r="B4423">
        <v>982926</v>
      </c>
      <c r="C4423" s="32">
        <v>43071.672511574077</v>
      </c>
    </row>
    <row r="4424" spans="1:3">
      <c r="A4424">
        <v>176970</v>
      </c>
      <c r="B4424">
        <v>2885642</v>
      </c>
      <c r="C4424" s="32">
        <v>43072.13354166667</v>
      </c>
    </row>
    <row r="4425" spans="1:3">
      <c r="A4425">
        <v>906092</v>
      </c>
      <c r="B4425">
        <v>4022701</v>
      </c>
      <c r="C4425" s="32">
        <v>43071.763368055559</v>
      </c>
    </row>
    <row r="4426" spans="1:3">
      <c r="A4426">
        <v>939979</v>
      </c>
      <c r="B4426">
        <v>428367</v>
      </c>
      <c r="C4426" s="32">
        <v>43072.432384259257</v>
      </c>
    </row>
    <row r="4427" spans="1:3">
      <c r="A4427">
        <v>198033</v>
      </c>
      <c r="B4427">
        <v>3439012</v>
      </c>
      <c r="C4427" s="32">
        <v>43071.657164351855</v>
      </c>
    </row>
    <row r="4428" spans="1:3">
      <c r="A4428">
        <v>110005</v>
      </c>
      <c r="B4428">
        <v>4145813</v>
      </c>
      <c r="C4428" s="32">
        <v>43070.86546296296</v>
      </c>
    </row>
    <row r="4429" spans="1:3">
      <c r="A4429">
        <v>522672</v>
      </c>
      <c r="B4429">
        <v>863375</v>
      </c>
      <c r="C4429" s="32">
        <v>43072.167974537035</v>
      </c>
    </row>
    <row r="4430" spans="1:3">
      <c r="A4430">
        <v>850887</v>
      </c>
      <c r="B4430">
        <v>4466876</v>
      </c>
      <c r="C4430" s="32">
        <v>43071.47383101852</v>
      </c>
    </row>
    <row r="4431" spans="1:3">
      <c r="A4431">
        <v>397682</v>
      </c>
      <c r="B4431">
        <v>1320293</v>
      </c>
      <c r="C4431" s="32">
        <v>43071.384953703702</v>
      </c>
    </row>
    <row r="4432" spans="1:3">
      <c r="A4432">
        <v>700469</v>
      </c>
      <c r="B4432">
        <v>3597057</v>
      </c>
      <c r="C4432" s="32">
        <v>43071.508229166669</v>
      </c>
    </row>
    <row r="4433" spans="1:3">
      <c r="A4433">
        <v>657380</v>
      </c>
      <c r="B4433">
        <v>339305</v>
      </c>
      <c r="C4433" s="32">
        <v>43071.112488425926</v>
      </c>
    </row>
    <row r="4434" spans="1:3">
      <c r="A4434">
        <v>433655</v>
      </c>
      <c r="B4434">
        <v>479837</v>
      </c>
      <c r="C4434" s="32">
        <v>43072.511805555558</v>
      </c>
    </row>
    <row r="4435" spans="1:3">
      <c r="A4435">
        <v>537573</v>
      </c>
      <c r="B4435">
        <v>1320293</v>
      </c>
      <c r="C4435" s="32">
        <v>43071.142060185186</v>
      </c>
    </row>
    <row r="4436" spans="1:3">
      <c r="A4436">
        <v>476195</v>
      </c>
      <c r="B4436">
        <v>149192</v>
      </c>
      <c r="C4436" s="32">
        <v>43072.052152777775</v>
      </c>
    </row>
    <row r="4437" spans="1:3">
      <c r="A4437">
        <v>748784</v>
      </c>
      <c r="B4437">
        <v>4918438</v>
      </c>
      <c r="C4437" s="32">
        <v>43069.793634259258</v>
      </c>
    </row>
    <row r="4438" spans="1:3">
      <c r="A4438">
        <v>987237</v>
      </c>
      <c r="B4438">
        <v>982926</v>
      </c>
      <c r="C4438" s="32">
        <v>43072.379918981482</v>
      </c>
    </row>
    <row r="4439" spans="1:3">
      <c r="A4439">
        <v>373985</v>
      </c>
      <c r="B4439">
        <v>886203</v>
      </c>
      <c r="C4439" s="32">
        <v>43072.034409722219</v>
      </c>
    </row>
    <row r="4440" spans="1:3">
      <c r="A4440">
        <v>243010</v>
      </c>
      <c r="B4440">
        <v>1331853</v>
      </c>
      <c r="C4440" s="32">
        <v>43071.43645833333</v>
      </c>
    </row>
    <row r="4441" spans="1:3">
      <c r="A4441">
        <v>527366</v>
      </c>
      <c r="B4441">
        <v>3102419</v>
      </c>
      <c r="C4441" s="32">
        <v>43071.59480324074</v>
      </c>
    </row>
    <row r="4442" spans="1:3">
      <c r="A4442">
        <v>302344</v>
      </c>
      <c r="B4442">
        <v>4639855</v>
      </c>
      <c r="C4442" s="32">
        <v>43070.371446759258</v>
      </c>
    </row>
    <row r="4443" spans="1:3">
      <c r="A4443">
        <v>669506</v>
      </c>
      <c r="B4443">
        <v>846990</v>
      </c>
      <c r="C4443" s="32">
        <v>43070.022372685184</v>
      </c>
    </row>
    <row r="4444" spans="1:3">
      <c r="A4444">
        <v>992396</v>
      </c>
      <c r="B4444">
        <v>3158249</v>
      </c>
      <c r="C4444" s="32">
        <v>43071.462511574071</v>
      </c>
    </row>
    <row r="4445" spans="1:3">
      <c r="A4445">
        <v>156832</v>
      </c>
      <c r="B4445">
        <v>2352202</v>
      </c>
      <c r="C4445" s="32">
        <v>43071.37976851852</v>
      </c>
    </row>
    <row r="4446" spans="1:3">
      <c r="A4446">
        <v>107249</v>
      </c>
      <c r="B4446">
        <v>2926020</v>
      </c>
      <c r="C4446" s="32">
        <v>43071.351122685184</v>
      </c>
    </row>
    <row r="4447" spans="1:3">
      <c r="A4447">
        <v>168595</v>
      </c>
      <c r="B4447">
        <v>1763474</v>
      </c>
      <c r="C4447" s="32">
        <v>43071.239664351851</v>
      </c>
    </row>
    <row r="4448" spans="1:3">
      <c r="A4448">
        <v>895567</v>
      </c>
      <c r="B4448">
        <v>2832009</v>
      </c>
      <c r="C4448" s="32">
        <v>43070.339525462965</v>
      </c>
    </row>
    <row r="4449" spans="1:3">
      <c r="A4449">
        <v>864957</v>
      </c>
      <c r="B4449">
        <v>1194737</v>
      </c>
      <c r="C4449" s="32">
        <v>43071.989328703705</v>
      </c>
    </row>
    <row r="4450" spans="1:3">
      <c r="A4450">
        <v>218553</v>
      </c>
      <c r="B4450">
        <v>1216617</v>
      </c>
      <c r="C4450" s="32">
        <v>43070.550937499997</v>
      </c>
    </row>
    <row r="4451" spans="1:3">
      <c r="A4451">
        <v>170874</v>
      </c>
      <c r="B4451">
        <v>1859277</v>
      </c>
      <c r="C4451" s="32">
        <v>43070.702152777776</v>
      </c>
    </row>
    <row r="4452" spans="1:3">
      <c r="A4452">
        <v>625692</v>
      </c>
      <c r="B4452">
        <v>4145813</v>
      </c>
      <c r="C4452" s="32">
        <v>43072.524178240739</v>
      </c>
    </row>
    <row r="4453" spans="1:3">
      <c r="A4453">
        <v>688428</v>
      </c>
      <c r="B4453">
        <v>2735466</v>
      </c>
      <c r="C4453" s="32">
        <v>43071.33734953704</v>
      </c>
    </row>
    <row r="4454" spans="1:3">
      <c r="A4454">
        <v>398828</v>
      </c>
      <c r="B4454">
        <v>5008221</v>
      </c>
      <c r="C4454" s="32">
        <v>43071.662175925929</v>
      </c>
    </row>
    <row r="4455" spans="1:3">
      <c r="A4455">
        <v>6727</v>
      </c>
      <c r="B4455">
        <v>2520377</v>
      </c>
      <c r="C4455" s="32">
        <v>43070.08357638889</v>
      </c>
    </row>
    <row r="4456" spans="1:3">
      <c r="A4456">
        <v>861962</v>
      </c>
      <c r="B4456">
        <v>4217906</v>
      </c>
      <c r="C4456" s="32">
        <v>43072.340555555558</v>
      </c>
    </row>
    <row r="4457" spans="1:3">
      <c r="A4457">
        <v>681691</v>
      </c>
      <c r="B4457">
        <v>1464116</v>
      </c>
      <c r="C4457" s="32">
        <v>43070.489861111113</v>
      </c>
    </row>
    <row r="4458" spans="1:3">
      <c r="A4458">
        <v>229424</v>
      </c>
      <c r="B4458">
        <v>4181361</v>
      </c>
      <c r="C4458" s="32">
        <v>43070.318611111114</v>
      </c>
    </row>
    <row r="4459" spans="1:3">
      <c r="A4459">
        <v>555451</v>
      </c>
      <c r="B4459">
        <v>3692903</v>
      </c>
      <c r="C4459" s="32">
        <v>43070.599143518521</v>
      </c>
    </row>
    <row r="4460" spans="1:3">
      <c r="A4460">
        <v>339487</v>
      </c>
      <c r="B4460">
        <v>1273811</v>
      </c>
      <c r="C4460" s="32">
        <v>43071.620439814818</v>
      </c>
    </row>
    <row r="4461" spans="1:3">
      <c r="A4461">
        <v>292031</v>
      </c>
      <c r="B4461">
        <v>3790396</v>
      </c>
      <c r="C4461" s="32">
        <v>43072.374803240738</v>
      </c>
    </row>
    <row r="4462" spans="1:3">
      <c r="A4462">
        <v>188748</v>
      </c>
      <c r="B4462">
        <v>4244487</v>
      </c>
      <c r="C4462" s="32">
        <v>43072.260057870371</v>
      </c>
    </row>
    <row r="4463" spans="1:3">
      <c r="A4463">
        <v>37995</v>
      </c>
      <c r="B4463">
        <v>3326628</v>
      </c>
      <c r="C4463" s="32">
        <v>43072.124745370369</v>
      </c>
    </row>
    <row r="4464" spans="1:3">
      <c r="A4464">
        <v>623305</v>
      </c>
      <c r="B4464">
        <v>1528701</v>
      </c>
      <c r="C4464" s="32">
        <v>43070.500625000001</v>
      </c>
    </row>
    <row r="4465" spans="1:3">
      <c r="A4465">
        <v>626553</v>
      </c>
      <c r="B4465">
        <v>3158249</v>
      </c>
      <c r="C4465" s="32">
        <v>43070.505752314813</v>
      </c>
    </row>
    <row r="4466" spans="1:3">
      <c r="A4466">
        <v>314726</v>
      </c>
      <c r="B4466">
        <v>4756105</v>
      </c>
      <c r="C4466" s="32">
        <v>43072.236388888887</v>
      </c>
    </row>
    <row r="4467" spans="1:3">
      <c r="A4467">
        <v>509637</v>
      </c>
      <c r="B4467">
        <v>149192</v>
      </c>
      <c r="C4467" s="32">
        <v>43072.054583333331</v>
      </c>
    </row>
    <row r="4468" spans="1:3">
      <c r="A4468">
        <v>152160</v>
      </c>
      <c r="B4468">
        <v>3154837</v>
      </c>
      <c r="C4468" s="32">
        <v>43070.624722222223</v>
      </c>
    </row>
    <row r="4469" spans="1:3">
      <c r="A4469">
        <v>957889</v>
      </c>
      <c r="B4469">
        <v>2966303</v>
      </c>
      <c r="C4469" s="32">
        <v>43070.544768518521</v>
      </c>
    </row>
    <row r="4470" spans="1:3">
      <c r="A4470">
        <v>590424</v>
      </c>
      <c r="B4470">
        <v>3898483</v>
      </c>
      <c r="C4470" s="32">
        <v>43072.154432870368</v>
      </c>
    </row>
    <row r="4471" spans="1:3">
      <c r="A4471">
        <v>476901</v>
      </c>
      <c r="B4471">
        <v>2520377</v>
      </c>
      <c r="C4471" s="32">
        <v>43071.606562499997</v>
      </c>
    </row>
    <row r="4472" spans="1:3">
      <c r="A4472">
        <v>565615</v>
      </c>
      <c r="B4472">
        <v>4159072</v>
      </c>
      <c r="C4472" s="32">
        <v>43072.486296296294</v>
      </c>
    </row>
    <row r="4473" spans="1:3">
      <c r="A4473">
        <v>824124</v>
      </c>
      <c r="B4473">
        <v>2885642</v>
      </c>
      <c r="C4473" s="32">
        <v>43071.446157407408</v>
      </c>
    </row>
    <row r="4474" spans="1:3">
      <c r="A4474">
        <v>547658</v>
      </c>
      <c r="B4474">
        <v>982926</v>
      </c>
      <c r="C4474" s="32">
        <v>43070.433900462966</v>
      </c>
    </row>
    <row r="4475" spans="1:3">
      <c r="A4475">
        <v>555832</v>
      </c>
      <c r="B4475">
        <v>2072473</v>
      </c>
      <c r="C4475" s="32">
        <v>43070.617071759261</v>
      </c>
    </row>
    <row r="4476" spans="1:3">
      <c r="A4476">
        <v>696220</v>
      </c>
      <c r="B4476">
        <v>4756105</v>
      </c>
      <c r="C4476" s="32">
        <v>43072.527430555558</v>
      </c>
    </row>
    <row r="4477" spans="1:3">
      <c r="A4477">
        <v>518791</v>
      </c>
      <c r="B4477">
        <v>965809</v>
      </c>
      <c r="C4477" s="32">
        <v>43072.58289351852</v>
      </c>
    </row>
    <row r="4478" spans="1:3">
      <c r="A4478">
        <v>494223</v>
      </c>
      <c r="B4478">
        <v>2154669</v>
      </c>
      <c r="C4478" s="32">
        <v>43070.556168981479</v>
      </c>
    </row>
    <row r="4479" spans="1:3">
      <c r="A4479">
        <v>39018</v>
      </c>
      <c r="B4479">
        <v>1299190</v>
      </c>
      <c r="C4479" s="32">
        <v>43071.453553240739</v>
      </c>
    </row>
    <row r="4480" spans="1:3">
      <c r="A4480">
        <v>750508</v>
      </c>
      <c r="B4480">
        <v>2355072</v>
      </c>
      <c r="C4480" s="32">
        <v>43071.60361111111</v>
      </c>
    </row>
    <row r="4481" spans="1:3">
      <c r="A4481">
        <v>894714</v>
      </c>
      <c r="B4481">
        <v>4357323</v>
      </c>
      <c r="C4481" s="32">
        <v>43071.689502314817</v>
      </c>
    </row>
    <row r="4482" spans="1:3">
      <c r="A4482">
        <v>362055</v>
      </c>
      <c r="B4482">
        <v>3002561</v>
      </c>
      <c r="C4482" s="32">
        <v>43070.524282407408</v>
      </c>
    </row>
    <row r="4483" spans="1:3">
      <c r="A4483">
        <v>324796</v>
      </c>
      <c r="B4483">
        <v>344833</v>
      </c>
      <c r="C4483" s="32">
        <v>43070.554270833331</v>
      </c>
    </row>
    <row r="4484" spans="1:3">
      <c r="A4484">
        <v>460762</v>
      </c>
      <c r="B4484">
        <v>2355072</v>
      </c>
      <c r="C4484" s="32">
        <v>43071.611296296294</v>
      </c>
    </row>
    <row r="4485" spans="1:3">
      <c r="A4485">
        <v>502321</v>
      </c>
      <c r="B4485">
        <v>4801426</v>
      </c>
      <c r="C4485" s="32">
        <v>43072.303900462961</v>
      </c>
    </row>
    <row r="4486" spans="1:3">
      <c r="A4486">
        <v>832973</v>
      </c>
      <c r="B4486">
        <v>2885642</v>
      </c>
      <c r="C4486" s="32">
        <v>43070.281840277778</v>
      </c>
    </row>
    <row r="4487" spans="1:3">
      <c r="A4487">
        <v>341541</v>
      </c>
      <c r="B4487">
        <v>3850614</v>
      </c>
      <c r="C4487" s="32">
        <v>43072.300902777781</v>
      </c>
    </row>
    <row r="4488" spans="1:3">
      <c r="A4488">
        <v>416928</v>
      </c>
      <c r="B4488">
        <v>3624696</v>
      </c>
      <c r="C4488" s="32">
        <v>43072.371053240742</v>
      </c>
    </row>
    <row r="4489" spans="1:3">
      <c r="A4489">
        <v>394251</v>
      </c>
      <c r="B4489">
        <v>2640118</v>
      </c>
      <c r="C4489" s="32">
        <v>43070.512916666667</v>
      </c>
    </row>
    <row r="4490" spans="1:3">
      <c r="A4490">
        <v>526733</v>
      </c>
      <c r="B4490">
        <v>1030331</v>
      </c>
      <c r="C4490" s="32">
        <v>43071.564259259256</v>
      </c>
    </row>
    <row r="4491" spans="1:3">
      <c r="A4491">
        <v>549737</v>
      </c>
      <c r="B4491">
        <v>982926</v>
      </c>
      <c r="C4491" s="32">
        <v>43072.488078703704</v>
      </c>
    </row>
    <row r="4492" spans="1:3">
      <c r="A4492">
        <v>964144</v>
      </c>
      <c r="B4492">
        <v>3231625</v>
      </c>
      <c r="C4492" s="32">
        <v>43071.512465277781</v>
      </c>
    </row>
    <row r="4493" spans="1:3">
      <c r="A4493">
        <v>88552</v>
      </c>
      <c r="B4493">
        <v>4606718</v>
      </c>
      <c r="C4493" s="32">
        <v>43072.617222222223</v>
      </c>
    </row>
    <row r="4494" spans="1:3">
      <c r="A4494">
        <v>573624</v>
      </c>
      <c r="B4494">
        <v>2355072</v>
      </c>
      <c r="C4494" s="32">
        <v>43070.095833333333</v>
      </c>
    </row>
    <row r="4495" spans="1:3">
      <c r="A4495">
        <v>717956</v>
      </c>
      <c r="B4495">
        <v>4069500</v>
      </c>
      <c r="C4495" s="32">
        <v>43070.626782407409</v>
      </c>
    </row>
    <row r="4496" spans="1:3">
      <c r="A4496">
        <v>773793</v>
      </c>
      <c r="B4496">
        <v>858756</v>
      </c>
      <c r="C4496" s="32">
        <v>43070.467418981483</v>
      </c>
    </row>
    <row r="4497" spans="1:3">
      <c r="A4497">
        <v>34400</v>
      </c>
      <c r="B4497">
        <v>982926</v>
      </c>
      <c r="C4497" s="32">
        <v>43071.606377314813</v>
      </c>
    </row>
    <row r="4498" spans="1:3">
      <c r="A4498">
        <v>684501</v>
      </c>
      <c r="B4498">
        <v>1467750</v>
      </c>
      <c r="C4498" s="32">
        <v>43071.586574074077</v>
      </c>
    </row>
    <row r="4499" spans="1:3">
      <c r="A4499">
        <v>325487</v>
      </c>
      <c r="B4499">
        <v>1154246</v>
      </c>
      <c r="C4499" s="32">
        <v>43070.588078703702</v>
      </c>
    </row>
    <row r="4500" spans="1:3">
      <c r="A4500">
        <v>80756</v>
      </c>
      <c r="B4500">
        <v>4602841</v>
      </c>
      <c r="C4500" s="32">
        <v>43070.318229166667</v>
      </c>
    </row>
    <row r="4501" spans="1:3">
      <c r="A4501">
        <v>842920</v>
      </c>
      <c r="B4501">
        <v>3738615</v>
      </c>
      <c r="C4501" s="32">
        <v>43072.344907407409</v>
      </c>
    </row>
    <row r="4502" spans="1:3">
      <c r="A4502">
        <v>107684</v>
      </c>
      <c r="B4502">
        <v>285583</v>
      </c>
      <c r="C4502" s="32">
        <v>43071.251192129632</v>
      </c>
    </row>
    <row r="4503" spans="1:3">
      <c r="A4503">
        <v>464262</v>
      </c>
      <c r="B4503">
        <v>3759918</v>
      </c>
      <c r="C4503" s="32">
        <v>43072.415775462963</v>
      </c>
    </row>
    <row r="4504" spans="1:3">
      <c r="A4504">
        <v>622075</v>
      </c>
      <c r="B4504">
        <v>965809</v>
      </c>
      <c r="C4504" s="32">
        <v>43071.684965277775</v>
      </c>
    </row>
    <row r="4505" spans="1:3">
      <c r="A4505">
        <v>1016360</v>
      </c>
      <c r="B4505">
        <v>982926</v>
      </c>
      <c r="C4505" s="32">
        <v>43070.613263888888</v>
      </c>
    </row>
    <row r="4506" spans="1:3">
      <c r="A4506">
        <v>448531</v>
      </c>
      <c r="B4506">
        <v>866301</v>
      </c>
      <c r="C4506" s="32">
        <v>43071.061157407406</v>
      </c>
    </row>
    <row r="4507" spans="1:3">
      <c r="A4507">
        <v>39033</v>
      </c>
      <c r="B4507">
        <v>4731191</v>
      </c>
      <c r="C4507" s="32">
        <v>43071.108252314814</v>
      </c>
    </row>
    <row r="4508" spans="1:3">
      <c r="A4508">
        <v>886346</v>
      </c>
      <c r="B4508">
        <v>1879194</v>
      </c>
      <c r="C4508" s="32">
        <v>43070.67864583333</v>
      </c>
    </row>
    <row r="4509" spans="1:3">
      <c r="A4509">
        <v>537333</v>
      </c>
      <c r="B4509">
        <v>2885642</v>
      </c>
      <c r="C4509" s="32">
        <v>43071.605162037034</v>
      </c>
    </row>
    <row r="4510" spans="1:3">
      <c r="A4510">
        <v>827683</v>
      </c>
      <c r="B4510">
        <v>1320293</v>
      </c>
      <c r="C4510" s="32">
        <v>43071.223402777781</v>
      </c>
    </row>
    <row r="4511" spans="1:3">
      <c r="A4511">
        <v>115078</v>
      </c>
      <c r="B4511">
        <v>2228184</v>
      </c>
      <c r="C4511" s="32">
        <v>43070.412592592591</v>
      </c>
    </row>
    <row r="4512" spans="1:3">
      <c r="A4512">
        <v>592481</v>
      </c>
      <c r="B4512">
        <v>2885642</v>
      </c>
      <c r="C4512" s="32">
        <v>43072.639386574076</v>
      </c>
    </row>
    <row r="4513" spans="1:3">
      <c r="A4513">
        <v>453002</v>
      </c>
      <c r="B4513">
        <v>3231861</v>
      </c>
      <c r="C4513" s="32">
        <v>43072.488206018519</v>
      </c>
    </row>
    <row r="4514" spans="1:3">
      <c r="A4514">
        <v>945077</v>
      </c>
      <c r="B4514">
        <v>2096639</v>
      </c>
      <c r="C4514" s="32">
        <v>43070.52175925926</v>
      </c>
    </row>
    <row r="4515" spans="1:3">
      <c r="A4515">
        <v>536848</v>
      </c>
      <c r="B4515">
        <v>2131531</v>
      </c>
      <c r="C4515" s="32">
        <v>43070.588101851848</v>
      </c>
    </row>
    <row r="4516" spans="1:3">
      <c r="A4516">
        <v>8188</v>
      </c>
      <c r="B4516">
        <v>2465336</v>
      </c>
      <c r="C4516" s="32">
        <v>43071.489178240743</v>
      </c>
    </row>
    <row r="4517" spans="1:3">
      <c r="A4517">
        <v>473801</v>
      </c>
      <c r="B4517">
        <v>4756105</v>
      </c>
      <c r="C4517" s="32">
        <v>43071.689629629633</v>
      </c>
    </row>
    <row r="4518" spans="1:3">
      <c r="A4518">
        <v>692176</v>
      </c>
      <c r="B4518">
        <v>1013319</v>
      </c>
      <c r="C4518" s="32">
        <v>43071.732303240744</v>
      </c>
    </row>
    <row r="4519" spans="1:3">
      <c r="A4519">
        <v>257563</v>
      </c>
      <c r="B4519">
        <v>149192</v>
      </c>
      <c r="C4519" s="32">
        <v>43070.184155092589</v>
      </c>
    </row>
    <row r="4520" spans="1:3">
      <c r="A4520">
        <v>148566</v>
      </c>
      <c r="B4520">
        <v>4357323</v>
      </c>
      <c r="C4520" s="32">
        <v>43072.643182870372</v>
      </c>
    </row>
    <row r="4521" spans="1:3">
      <c r="A4521">
        <v>978533</v>
      </c>
      <c r="B4521">
        <v>2529187</v>
      </c>
      <c r="C4521" s="32">
        <v>43072.106874999998</v>
      </c>
    </row>
    <row r="4522" spans="1:3">
      <c r="A4522">
        <v>47538</v>
      </c>
      <c r="B4522">
        <v>3669044</v>
      </c>
      <c r="C4522" s="32">
        <v>43071.623055555552</v>
      </c>
    </row>
    <row r="4523" spans="1:3">
      <c r="A4523">
        <v>159601</v>
      </c>
      <c r="B4523">
        <v>982926</v>
      </c>
      <c r="C4523" s="32">
        <v>43070.612581018519</v>
      </c>
    </row>
    <row r="4524" spans="1:3">
      <c r="A4524">
        <v>677051</v>
      </c>
      <c r="B4524">
        <v>874415</v>
      </c>
      <c r="C4524" s="32">
        <v>43071.310624999998</v>
      </c>
    </row>
    <row r="4525" spans="1:3">
      <c r="A4525">
        <v>6359</v>
      </c>
      <c r="B4525">
        <v>1737857</v>
      </c>
      <c r="C4525" s="32">
        <v>43072.354120370372</v>
      </c>
    </row>
    <row r="4526" spans="1:3">
      <c r="A4526">
        <v>299124</v>
      </c>
      <c r="B4526">
        <v>1879194</v>
      </c>
      <c r="C4526" s="32">
        <v>43072.505231481482</v>
      </c>
    </row>
    <row r="4527" spans="1:3">
      <c r="A4527">
        <v>542836</v>
      </c>
      <c r="B4527">
        <v>1464116</v>
      </c>
      <c r="C4527" s="32">
        <v>43071.306817129633</v>
      </c>
    </row>
    <row r="4528" spans="1:3">
      <c r="A4528">
        <v>975270</v>
      </c>
      <c r="B4528">
        <v>2191219</v>
      </c>
      <c r="C4528" s="32">
        <v>43070.071909722225</v>
      </c>
    </row>
    <row r="4529" spans="1:3">
      <c r="A4529">
        <v>944599</v>
      </c>
      <c r="B4529">
        <v>4051859</v>
      </c>
      <c r="C4529" s="32">
        <v>43072.10019675926</v>
      </c>
    </row>
    <row r="4530" spans="1:3">
      <c r="A4530">
        <v>9430</v>
      </c>
      <c r="B4530">
        <v>4654786</v>
      </c>
      <c r="C4530" s="32">
        <v>43070.553344907406</v>
      </c>
    </row>
    <row r="4531" spans="1:3">
      <c r="A4531">
        <v>174329</v>
      </c>
      <c r="B4531">
        <v>2154669</v>
      </c>
      <c r="C4531" s="32">
        <v>43070.380636574075</v>
      </c>
    </row>
    <row r="4532" spans="1:3">
      <c r="A4532">
        <v>143097</v>
      </c>
      <c r="B4532">
        <v>4145813</v>
      </c>
      <c r="C4532" s="32">
        <v>43071.157175925924</v>
      </c>
    </row>
    <row r="4533" spans="1:3">
      <c r="A4533">
        <v>497199</v>
      </c>
      <c r="B4533">
        <v>3138705</v>
      </c>
      <c r="C4533" s="32">
        <v>43072.549398148149</v>
      </c>
    </row>
    <row r="4534" spans="1:3">
      <c r="A4534">
        <v>272506</v>
      </c>
      <c r="B4534">
        <v>1320293</v>
      </c>
      <c r="C4534" s="32">
        <v>43070.128298611111</v>
      </c>
    </row>
    <row r="4535" spans="1:3">
      <c r="A4535">
        <v>832267</v>
      </c>
      <c r="B4535">
        <v>411153</v>
      </c>
      <c r="C4535" s="32">
        <v>43070.583854166667</v>
      </c>
    </row>
    <row r="4536" spans="1:3">
      <c r="A4536">
        <v>412750</v>
      </c>
      <c r="B4536">
        <v>2885642</v>
      </c>
      <c r="C4536" s="32">
        <v>43071.280277777776</v>
      </c>
    </row>
    <row r="4537" spans="1:3">
      <c r="A4537">
        <v>57550</v>
      </c>
      <c r="B4537">
        <v>4022701</v>
      </c>
      <c r="C4537" s="32">
        <v>43072.369618055556</v>
      </c>
    </row>
    <row r="4538" spans="1:3">
      <c r="A4538">
        <v>258489</v>
      </c>
      <c r="B4538">
        <v>562852</v>
      </c>
      <c r="C4538" s="32">
        <v>43072.153414351851</v>
      </c>
    </row>
    <row r="4539" spans="1:3">
      <c r="A4539">
        <v>709399</v>
      </c>
      <c r="B4539">
        <v>2636586</v>
      </c>
      <c r="C4539" s="32">
        <v>43071.582141203704</v>
      </c>
    </row>
    <row r="4540" spans="1:3">
      <c r="A4540">
        <v>446071</v>
      </c>
      <c r="B4540">
        <v>1320293</v>
      </c>
      <c r="C4540" s="32">
        <v>43071.235034722224</v>
      </c>
    </row>
    <row r="4541" spans="1:3">
      <c r="A4541">
        <v>315072</v>
      </c>
      <c r="B4541">
        <v>1312642</v>
      </c>
      <c r="C4541" s="32">
        <v>43072.607372685183</v>
      </c>
    </row>
    <row r="4542" spans="1:3">
      <c r="A4542">
        <v>213833</v>
      </c>
      <c r="B4542">
        <v>2735466</v>
      </c>
      <c r="C4542" s="32">
        <v>43070.493194444447</v>
      </c>
    </row>
    <row r="4543" spans="1:3">
      <c r="A4543">
        <v>132107</v>
      </c>
      <c r="B4543">
        <v>3002561</v>
      </c>
      <c r="C4543" s="32">
        <v>43072.308576388888</v>
      </c>
    </row>
    <row r="4544" spans="1:3">
      <c r="A4544">
        <v>644528</v>
      </c>
      <c r="B4544">
        <v>3065645</v>
      </c>
      <c r="C4544" s="32">
        <v>43071.584004629629</v>
      </c>
    </row>
    <row r="4545" spans="1:3">
      <c r="A4545">
        <v>903760</v>
      </c>
      <c r="B4545">
        <v>3695050</v>
      </c>
      <c r="C4545" s="32">
        <v>43072.579675925925</v>
      </c>
    </row>
    <row r="4546" spans="1:3">
      <c r="A4546">
        <v>191755</v>
      </c>
      <c r="B4546">
        <v>3607361</v>
      </c>
      <c r="C4546" s="32">
        <v>43071.627060185187</v>
      </c>
    </row>
    <row r="4547" spans="1:3">
      <c r="A4547">
        <v>974886</v>
      </c>
      <c r="B4547">
        <v>960102</v>
      </c>
      <c r="C4547" s="32">
        <v>43071.37232638889</v>
      </c>
    </row>
    <row r="4548" spans="1:3">
      <c r="A4548">
        <v>687731</v>
      </c>
      <c r="B4548">
        <v>1724559</v>
      </c>
      <c r="C4548" s="32">
        <v>43071.510983796295</v>
      </c>
    </row>
    <row r="4549" spans="1:3">
      <c r="A4549">
        <v>198441</v>
      </c>
      <c r="B4549">
        <v>4615159</v>
      </c>
      <c r="C4549" s="32">
        <v>43070.032500000001</v>
      </c>
    </row>
    <row r="4550" spans="1:3">
      <c r="A4550">
        <v>86002</v>
      </c>
      <c r="B4550">
        <v>3461823</v>
      </c>
      <c r="C4550" s="32">
        <v>43072.30741898148</v>
      </c>
    </row>
    <row r="4551" spans="1:3">
      <c r="A4551">
        <v>745712</v>
      </c>
      <c r="B4551">
        <v>2355072</v>
      </c>
      <c r="C4551" s="32">
        <v>43071.368969907409</v>
      </c>
    </row>
    <row r="4552" spans="1:3">
      <c r="A4552">
        <v>7181</v>
      </c>
      <c r="B4552">
        <v>4801426</v>
      </c>
      <c r="C4552" s="32">
        <v>43071.357141203705</v>
      </c>
    </row>
    <row r="4553" spans="1:3">
      <c r="A4553">
        <v>640749</v>
      </c>
      <c r="B4553">
        <v>4217906</v>
      </c>
      <c r="C4553" s="32">
        <v>43071.760983796295</v>
      </c>
    </row>
    <row r="4554" spans="1:3">
      <c r="A4554">
        <v>889022</v>
      </c>
      <c r="B4554">
        <v>4801426</v>
      </c>
      <c r="C4554" s="32">
        <v>43071.306145833332</v>
      </c>
    </row>
    <row r="4555" spans="1:3">
      <c r="A4555">
        <v>928255</v>
      </c>
      <c r="B4555">
        <v>1787510</v>
      </c>
      <c r="C4555" s="32">
        <v>43071.634351851855</v>
      </c>
    </row>
    <row r="4556" spans="1:3">
      <c r="A4556">
        <v>370305</v>
      </c>
      <c r="B4556">
        <v>102272</v>
      </c>
      <c r="C4556" s="32">
        <v>43072.012708333335</v>
      </c>
    </row>
    <row r="4557" spans="1:3">
      <c r="A4557">
        <v>927852</v>
      </c>
      <c r="B4557">
        <v>3405071</v>
      </c>
      <c r="C4557" s="32">
        <v>43070.573148148149</v>
      </c>
    </row>
    <row r="4558" spans="1:3">
      <c r="A4558">
        <v>210219</v>
      </c>
      <c r="B4558">
        <v>3779986</v>
      </c>
      <c r="C4558" s="32">
        <v>43071.590543981481</v>
      </c>
    </row>
    <row r="4559" spans="1:3">
      <c r="A4559">
        <v>410014</v>
      </c>
      <c r="B4559">
        <v>1165503</v>
      </c>
      <c r="C4559" s="32">
        <v>43072.313472222224</v>
      </c>
    </row>
    <row r="4560" spans="1:3">
      <c r="A4560">
        <v>935106</v>
      </c>
      <c r="B4560">
        <v>411153</v>
      </c>
      <c r="C4560" s="32">
        <v>43070.402048611111</v>
      </c>
    </row>
    <row r="4561" spans="1:3">
      <c r="A4561">
        <v>647053</v>
      </c>
      <c r="B4561">
        <v>2735466</v>
      </c>
      <c r="C4561" s="32">
        <v>43070.527789351851</v>
      </c>
    </row>
    <row r="4562" spans="1:3">
      <c r="A4562">
        <v>259364</v>
      </c>
      <c r="B4562">
        <v>3011767</v>
      </c>
      <c r="C4562" s="32">
        <v>43071.351215277777</v>
      </c>
    </row>
    <row r="4563" spans="1:3">
      <c r="A4563">
        <v>170576</v>
      </c>
      <c r="B4563">
        <v>903809</v>
      </c>
      <c r="C4563" s="32">
        <v>43072.628680555557</v>
      </c>
    </row>
    <row r="4564" spans="1:3">
      <c r="A4564">
        <v>851954</v>
      </c>
      <c r="B4564">
        <v>3002561</v>
      </c>
      <c r="C4564" s="32">
        <v>43070.100891203707</v>
      </c>
    </row>
    <row r="4565" spans="1:3">
      <c r="A4565">
        <v>285768</v>
      </c>
      <c r="B4565">
        <v>2520377</v>
      </c>
      <c r="C4565" s="32">
        <v>43071.081724537034</v>
      </c>
    </row>
    <row r="4566" spans="1:3">
      <c r="A4566">
        <v>360847</v>
      </c>
      <c r="B4566">
        <v>4684862</v>
      </c>
      <c r="C4566" s="32">
        <v>43070.663182870368</v>
      </c>
    </row>
    <row r="4567" spans="1:3">
      <c r="A4567">
        <v>439178</v>
      </c>
      <c r="B4567">
        <v>2158079</v>
      </c>
      <c r="C4567" s="32">
        <v>43070.371736111112</v>
      </c>
    </row>
    <row r="4568" spans="1:3">
      <c r="A4568">
        <v>243769</v>
      </c>
      <c r="B4568">
        <v>2891408</v>
      </c>
      <c r="C4568" s="32">
        <v>43072.010787037034</v>
      </c>
    </row>
    <row r="4569" spans="1:3">
      <c r="A4569">
        <v>489299</v>
      </c>
      <c r="B4569">
        <v>4558987</v>
      </c>
      <c r="C4569" s="32">
        <v>43071.25949074074</v>
      </c>
    </row>
    <row r="4570" spans="1:3">
      <c r="A4570">
        <v>249137</v>
      </c>
      <c r="B4570">
        <v>4145813</v>
      </c>
      <c r="C4570" s="32">
        <v>43070.318067129629</v>
      </c>
    </row>
    <row r="4571" spans="1:3">
      <c r="A4571">
        <v>848766</v>
      </c>
      <c r="B4571">
        <v>3102419</v>
      </c>
      <c r="C4571" s="32">
        <v>43071.110196759262</v>
      </c>
    </row>
    <row r="4572" spans="1:3">
      <c r="A4572">
        <v>943618</v>
      </c>
      <c r="B4572">
        <v>2465336</v>
      </c>
      <c r="C4572" s="32">
        <v>43072.297210648147</v>
      </c>
    </row>
    <row r="4573" spans="1:3">
      <c r="A4573">
        <v>364827</v>
      </c>
      <c r="B4573">
        <v>886203</v>
      </c>
      <c r="C4573" s="32">
        <v>43072.054155092592</v>
      </c>
    </row>
    <row r="4574" spans="1:3">
      <c r="A4574">
        <v>582970</v>
      </c>
      <c r="B4574">
        <v>2945933</v>
      </c>
      <c r="C4574" s="32">
        <v>43071.347442129627</v>
      </c>
    </row>
    <row r="4575" spans="1:3">
      <c r="A4575">
        <v>654564</v>
      </c>
      <c r="B4575">
        <v>1595193</v>
      </c>
      <c r="C4575" s="32">
        <v>43071.58761574074</v>
      </c>
    </row>
    <row r="4576" spans="1:3">
      <c r="A4576">
        <v>1014717</v>
      </c>
      <c r="B4576">
        <v>2891408</v>
      </c>
      <c r="C4576" s="32">
        <v>43072.007685185185</v>
      </c>
    </row>
    <row r="4577" spans="1:3">
      <c r="A4577">
        <v>276489</v>
      </c>
      <c r="B4577">
        <v>4801426</v>
      </c>
      <c r="C4577" s="32">
        <v>43070.640208333331</v>
      </c>
    </row>
    <row r="4578" spans="1:3">
      <c r="A4578">
        <v>77934</v>
      </c>
      <c r="B4578">
        <v>1051370</v>
      </c>
      <c r="C4578" s="32">
        <v>43070.858854166669</v>
      </c>
    </row>
    <row r="4579" spans="1:3">
      <c r="A4579">
        <v>558240</v>
      </c>
      <c r="B4579">
        <v>1216617</v>
      </c>
      <c r="C4579" s="32">
        <v>43071.299583333333</v>
      </c>
    </row>
    <row r="4580" spans="1:3">
      <c r="A4580">
        <v>890972</v>
      </c>
      <c r="B4580">
        <v>839167</v>
      </c>
      <c r="C4580" s="32">
        <v>43072.618171296293</v>
      </c>
    </row>
    <row r="4581" spans="1:3">
      <c r="A4581">
        <v>332065</v>
      </c>
      <c r="B4581">
        <v>4756105</v>
      </c>
      <c r="C4581" s="32">
        <v>43071.93818287037</v>
      </c>
    </row>
    <row r="4582" spans="1:3">
      <c r="A4582">
        <v>188882</v>
      </c>
      <c r="B4582">
        <v>1488813</v>
      </c>
      <c r="C4582" s="32">
        <v>43071.42796296296</v>
      </c>
    </row>
    <row r="4583" spans="1:3">
      <c r="A4583">
        <v>325009</v>
      </c>
      <c r="B4583">
        <v>2370324</v>
      </c>
      <c r="C4583" s="32">
        <v>43071.977106481485</v>
      </c>
    </row>
    <row r="4584" spans="1:3">
      <c r="A4584">
        <v>133129</v>
      </c>
      <c r="B4584">
        <v>2920476</v>
      </c>
      <c r="C4584" s="32">
        <v>43072.372800925928</v>
      </c>
    </row>
    <row r="4585" spans="1:3">
      <c r="A4585">
        <v>154362</v>
      </c>
      <c r="B4585">
        <v>982926</v>
      </c>
      <c r="C4585" s="32">
        <v>43071.563946759263</v>
      </c>
    </row>
    <row r="4586" spans="1:3">
      <c r="A4586">
        <v>769361</v>
      </c>
      <c r="B4586">
        <v>4145813</v>
      </c>
      <c r="C4586" s="32">
        <v>43071.028831018521</v>
      </c>
    </row>
    <row r="4587" spans="1:3">
      <c r="A4587">
        <v>649364</v>
      </c>
      <c r="B4587">
        <v>2520377</v>
      </c>
      <c r="C4587" s="32">
        <v>43072.503553240742</v>
      </c>
    </row>
    <row r="4588" spans="1:3">
      <c r="A4588">
        <v>841202</v>
      </c>
      <c r="B4588">
        <v>2892802</v>
      </c>
      <c r="C4588" s="32">
        <v>43072.263310185182</v>
      </c>
    </row>
    <row r="4589" spans="1:3">
      <c r="A4589">
        <v>749410</v>
      </c>
      <c r="B4589">
        <v>4801426</v>
      </c>
      <c r="C4589" s="32">
        <v>43072.624236111114</v>
      </c>
    </row>
    <row r="4590" spans="1:3">
      <c r="A4590">
        <v>139484</v>
      </c>
      <c r="B4590">
        <v>2355072</v>
      </c>
      <c r="C4590" s="32">
        <v>43071.383217592593</v>
      </c>
    </row>
    <row r="4591" spans="1:3">
      <c r="A4591">
        <v>297441</v>
      </c>
      <c r="B4591">
        <v>2355072</v>
      </c>
      <c r="C4591" s="32">
        <v>43072.322962962964</v>
      </c>
    </row>
    <row r="4592" spans="1:3">
      <c r="A4592">
        <v>76206</v>
      </c>
      <c r="B4592">
        <v>2465336</v>
      </c>
      <c r="C4592" s="32">
        <v>43070.456909722219</v>
      </c>
    </row>
    <row r="4593" spans="1:3">
      <c r="A4593">
        <v>540501</v>
      </c>
      <c r="B4593">
        <v>2476560</v>
      </c>
      <c r="C4593" s="32">
        <v>43070.969189814816</v>
      </c>
    </row>
    <row r="4594" spans="1:3">
      <c r="A4594">
        <v>978108</v>
      </c>
      <c r="B4594">
        <v>411153</v>
      </c>
      <c r="C4594" s="32">
        <v>43070.597708333335</v>
      </c>
    </row>
    <row r="4595" spans="1:3">
      <c r="A4595">
        <v>980298</v>
      </c>
      <c r="B4595">
        <v>4145813</v>
      </c>
      <c r="C4595" s="32">
        <v>43072.617337962962</v>
      </c>
    </row>
    <row r="4596" spans="1:3">
      <c r="A4596">
        <v>334461</v>
      </c>
      <c r="B4596">
        <v>3607361</v>
      </c>
      <c r="C4596" s="32">
        <v>43072.297210648147</v>
      </c>
    </row>
    <row r="4597" spans="1:3">
      <c r="A4597">
        <v>634165</v>
      </c>
      <c r="B4597">
        <v>3189162</v>
      </c>
      <c r="C4597" s="32">
        <v>43072.552754629629</v>
      </c>
    </row>
    <row r="4598" spans="1:3">
      <c r="A4598">
        <v>92474</v>
      </c>
      <c r="B4598">
        <v>3002561</v>
      </c>
      <c r="C4598" s="32">
        <v>43072.512326388889</v>
      </c>
    </row>
    <row r="4599" spans="1:3">
      <c r="A4599">
        <v>67768</v>
      </c>
      <c r="B4599">
        <v>4173315</v>
      </c>
      <c r="C4599" s="32">
        <v>43072.641770833332</v>
      </c>
    </row>
    <row r="4600" spans="1:3">
      <c r="A4600">
        <v>171996</v>
      </c>
      <c r="B4600">
        <v>4606718</v>
      </c>
      <c r="C4600" s="32">
        <v>43072.025196759256</v>
      </c>
    </row>
    <row r="4601" spans="1:3">
      <c r="A4601">
        <v>611329</v>
      </c>
      <c r="B4601">
        <v>4203730</v>
      </c>
      <c r="C4601" s="32">
        <v>43070.817557870374</v>
      </c>
    </row>
    <row r="4602" spans="1:3">
      <c r="A4602">
        <v>584926</v>
      </c>
      <c r="B4602">
        <v>1859277</v>
      </c>
      <c r="C4602" s="32">
        <v>43070.59202546296</v>
      </c>
    </row>
    <row r="4603" spans="1:3">
      <c r="A4603">
        <v>419670</v>
      </c>
      <c r="B4603">
        <v>570735</v>
      </c>
      <c r="C4603" s="32">
        <v>43071.612071759257</v>
      </c>
    </row>
    <row r="4604" spans="1:3">
      <c r="A4604">
        <v>993359</v>
      </c>
      <c r="B4604">
        <v>4756105</v>
      </c>
      <c r="C4604" s="32">
        <v>43069.938067129631</v>
      </c>
    </row>
    <row r="4605" spans="1:3">
      <c r="A4605">
        <v>261040</v>
      </c>
      <c r="B4605">
        <v>2735466</v>
      </c>
      <c r="C4605" s="32">
        <v>43071.274270833332</v>
      </c>
    </row>
    <row r="4606" spans="1:3">
      <c r="A4606">
        <v>661486</v>
      </c>
      <c r="B4606">
        <v>2735466</v>
      </c>
      <c r="C4606" s="32">
        <v>43071.506030092591</v>
      </c>
    </row>
    <row r="4607" spans="1:3">
      <c r="A4607">
        <v>655635</v>
      </c>
      <c r="B4607">
        <v>3108044</v>
      </c>
      <c r="C4607" s="32">
        <v>43071.588784722226</v>
      </c>
    </row>
    <row r="4608" spans="1:3">
      <c r="A4608">
        <v>872952</v>
      </c>
      <c r="B4608">
        <v>2736436</v>
      </c>
      <c r="C4608" s="32">
        <v>43072.102673611109</v>
      </c>
    </row>
    <row r="4609" spans="1:3">
      <c r="A4609">
        <v>561040</v>
      </c>
      <c r="B4609">
        <v>874415</v>
      </c>
      <c r="C4609" s="32">
        <v>43071.645428240743</v>
      </c>
    </row>
    <row r="4610" spans="1:3">
      <c r="A4610">
        <v>138345</v>
      </c>
      <c r="B4610">
        <v>2939262</v>
      </c>
      <c r="C4610" s="32">
        <v>43072.45244212963</v>
      </c>
    </row>
    <row r="4611" spans="1:3">
      <c r="A4611">
        <v>989617</v>
      </c>
      <c r="B4611">
        <v>4181361</v>
      </c>
      <c r="C4611" s="32">
        <v>43070.667337962965</v>
      </c>
    </row>
    <row r="4612" spans="1:3">
      <c r="A4612">
        <v>23773</v>
      </c>
      <c r="B4612">
        <v>3829657</v>
      </c>
      <c r="C4612" s="32">
        <v>43070.356759259259</v>
      </c>
    </row>
    <row r="4613" spans="1:3">
      <c r="A4613">
        <v>342660</v>
      </c>
      <c r="B4613">
        <v>1817004</v>
      </c>
      <c r="C4613" s="32">
        <v>43070.543749999997</v>
      </c>
    </row>
    <row r="4614" spans="1:3">
      <c r="A4614">
        <v>447699</v>
      </c>
      <c r="B4614">
        <v>4145813</v>
      </c>
      <c r="C4614" s="32">
        <v>43070.200173611112</v>
      </c>
    </row>
    <row r="4615" spans="1:3">
      <c r="A4615">
        <v>410213</v>
      </c>
      <c r="B4615">
        <v>411153</v>
      </c>
      <c r="C4615" s="32">
        <v>43070.641608796293</v>
      </c>
    </row>
    <row r="4616" spans="1:3">
      <c r="A4616">
        <v>67683</v>
      </c>
      <c r="B4616">
        <v>2735466</v>
      </c>
      <c r="C4616" s="32">
        <v>43070.245486111111</v>
      </c>
    </row>
    <row r="4617" spans="1:3">
      <c r="A4617">
        <v>195522</v>
      </c>
      <c r="B4617">
        <v>1693998</v>
      </c>
      <c r="C4617" s="32">
        <v>43070.966574074075</v>
      </c>
    </row>
    <row r="4618" spans="1:3">
      <c r="A4618">
        <v>354267</v>
      </c>
      <c r="B4618">
        <v>4969568</v>
      </c>
      <c r="C4618" s="32">
        <v>43070.666770833333</v>
      </c>
    </row>
    <row r="4619" spans="1:3">
      <c r="A4619">
        <v>524527</v>
      </c>
      <c r="B4619">
        <v>4789432</v>
      </c>
      <c r="C4619" s="32">
        <v>43070.402372685188</v>
      </c>
    </row>
    <row r="4620" spans="1:3">
      <c r="A4620">
        <v>650119</v>
      </c>
      <c r="B4620">
        <v>3158249</v>
      </c>
      <c r="C4620" s="32">
        <v>43071.295983796299</v>
      </c>
    </row>
    <row r="4621" spans="1:3">
      <c r="A4621">
        <v>521520</v>
      </c>
      <c r="B4621">
        <v>4396514</v>
      </c>
      <c r="C4621" s="32">
        <v>43070.134942129633</v>
      </c>
    </row>
    <row r="4622" spans="1:3">
      <c r="A4622">
        <v>491810</v>
      </c>
      <c r="B4622">
        <v>1320530</v>
      </c>
      <c r="C4622" s="32">
        <v>43070.290671296294</v>
      </c>
    </row>
    <row r="4623" spans="1:3">
      <c r="A4623">
        <v>715342</v>
      </c>
      <c r="B4623">
        <v>949648</v>
      </c>
      <c r="C4623" s="32">
        <v>43070.179479166669</v>
      </c>
    </row>
    <row r="4624" spans="1:3">
      <c r="A4624">
        <v>251523</v>
      </c>
      <c r="B4624">
        <v>1080785</v>
      </c>
      <c r="C4624" s="32">
        <v>43069.675706018519</v>
      </c>
    </row>
    <row r="4625" spans="1:3">
      <c r="A4625">
        <v>804103</v>
      </c>
      <c r="B4625">
        <v>800581</v>
      </c>
      <c r="C4625" s="32">
        <v>43071.486805555556</v>
      </c>
    </row>
    <row r="4626" spans="1:3">
      <c r="A4626">
        <v>721190</v>
      </c>
      <c r="B4626">
        <v>1231891</v>
      </c>
      <c r="C4626" s="32">
        <v>43072.090624999997</v>
      </c>
    </row>
    <row r="4627" spans="1:3">
      <c r="A4627">
        <v>950580</v>
      </c>
      <c r="B4627">
        <v>2626421</v>
      </c>
      <c r="C4627" s="32">
        <v>43071.12841435185</v>
      </c>
    </row>
    <row r="4628" spans="1:3">
      <c r="A4628">
        <v>313960</v>
      </c>
      <c r="B4628">
        <v>1464116</v>
      </c>
      <c r="C4628" s="32">
        <v>43071.027870370373</v>
      </c>
    </row>
    <row r="4629" spans="1:3">
      <c r="A4629">
        <v>734997</v>
      </c>
      <c r="B4629">
        <v>4130426</v>
      </c>
      <c r="C4629" s="32">
        <v>43070.974988425929</v>
      </c>
    </row>
    <row r="4630" spans="1:3">
      <c r="A4630">
        <v>201431</v>
      </c>
      <c r="B4630">
        <v>245312</v>
      </c>
      <c r="C4630" s="32">
        <v>43072.053460648145</v>
      </c>
    </row>
    <row r="4631" spans="1:3">
      <c r="A4631">
        <v>104195</v>
      </c>
      <c r="B4631">
        <v>2355072</v>
      </c>
      <c r="C4631" s="32">
        <v>43072.515520833331</v>
      </c>
    </row>
    <row r="4632" spans="1:3">
      <c r="A4632">
        <v>106989</v>
      </c>
      <c r="B4632">
        <v>4069500</v>
      </c>
      <c r="C4632" s="32">
        <v>43071.285787037035</v>
      </c>
    </row>
    <row r="4633" spans="1:3">
      <c r="A4633">
        <v>595842</v>
      </c>
      <c r="B4633">
        <v>1440390</v>
      </c>
      <c r="C4633" s="32">
        <v>43071.586018518516</v>
      </c>
    </row>
    <row r="4634" spans="1:3">
      <c r="A4634">
        <v>615505</v>
      </c>
      <c r="B4634">
        <v>2581941</v>
      </c>
      <c r="C4634" s="32">
        <v>43072.357928240737</v>
      </c>
    </row>
    <row r="4635" spans="1:3">
      <c r="A4635">
        <v>636850</v>
      </c>
      <c r="B4635">
        <v>4062559</v>
      </c>
      <c r="C4635" s="32">
        <v>43072.281319444446</v>
      </c>
    </row>
    <row r="4636" spans="1:3">
      <c r="A4636">
        <v>765484</v>
      </c>
      <c r="B4636">
        <v>1943989</v>
      </c>
      <c r="C4636" s="32">
        <v>43071.143773148149</v>
      </c>
    </row>
    <row r="4637" spans="1:3">
      <c r="A4637">
        <v>771374</v>
      </c>
      <c r="B4637">
        <v>3720767</v>
      </c>
      <c r="C4637" s="32">
        <v>43070.163391203707</v>
      </c>
    </row>
    <row r="4638" spans="1:3">
      <c r="A4638">
        <v>910651</v>
      </c>
      <c r="B4638">
        <v>238434</v>
      </c>
      <c r="C4638" s="32">
        <v>43070.629745370374</v>
      </c>
    </row>
    <row r="4639" spans="1:3">
      <c r="A4639">
        <v>361417</v>
      </c>
      <c r="B4639">
        <v>4713427</v>
      </c>
      <c r="C4639" s="32">
        <v>43070.127002314817</v>
      </c>
    </row>
    <row r="4640" spans="1:3">
      <c r="A4640">
        <v>142971</v>
      </c>
      <c r="B4640">
        <v>4801426</v>
      </c>
      <c r="C4640" s="32">
        <v>43071.511782407404</v>
      </c>
    </row>
    <row r="4641" spans="1:3">
      <c r="A4641">
        <v>423359</v>
      </c>
      <c r="B4641">
        <v>1320293</v>
      </c>
      <c r="C4641" s="32">
        <v>43070.531770833331</v>
      </c>
    </row>
    <row r="4642" spans="1:3">
      <c r="A4642">
        <v>242859</v>
      </c>
      <c r="B4642">
        <v>2520377</v>
      </c>
      <c r="C4642" s="32">
        <v>43072.506122685183</v>
      </c>
    </row>
    <row r="4643" spans="1:3">
      <c r="A4643">
        <v>108252</v>
      </c>
      <c r="B4643">
        <v>72526</v>
      </c>
      <c r="C4643" s="32">
        <v>43070.089722222219</v>
      </c>
    </row>
    <row r="4644" spans="1:3">
      <c r="A4644">
        <v>876293</v>
      </c>
      <c r="B4644">
        <v>2355072</v>
      </c>
      <c r="C4644" s="32">
        <v>43071.075069444443</v>
      </c>
    </row>
    <row r="4645" spans="1:3">
      <c r="A4645">
        <v>864597</v>
      </c>
      <c r="B4645">
        <v>2355072</v>
      </c>
      <c r="C4645" s="32">
        <v>43071.557615740741</v>
      </c>
    </row>
    <row r="4646" spans="1:3">
      <c r="A4646">
        <v>948541</v>
      </c>
      <c r="B4646">
        <v>2520377</v>
      </c>
      <c r="C4646" s="32">
        <v>43072.136666666665</v>
      </c>
    </row>
    <row r="4647" spans="1:3">
      <c r="A4647">
        <v>1001865</v>
      </c>
      <c r="B4647">
        <v>1928278</v>
      </c>
      <c r="C4647" s="32">
        <v>43072.588900462964</v>
      </c>
    </row>
    <row r="4648" spans="1:3">
      <c r="A4648">
        <v>961231</v>
      </c>
      <c r="B4648">
        <v>1422474</v>
      </c>
      <c r="C4648" s="32">
        <v>43072.650393518517</v>
      </c>
    </row>
    <row r="4649" spans="1:3">
      <c r="A4649">
        <v>565464</v>
      </c>
      <c r="B4649">
        <v>4181361</v>
      </c>
      <c r="C4649" s="32">
        <v>43069.941828703704</v>
      </c>
    </row>
    <row r="4650" spans="1:3">
      <c r="A4650">
        <v>400612</v>
      </c>
      <c r="B4650">
        <v>4181361</v>
      </c>
      <c r="C4650" s="32">
        <v>43070.607430555552</v>
      </c>
    </row>
    <row r="4651" spans="1:3">
      <c r="A4651">
        <v>140564</v>
      </c>
      <c r="B4651">
        <v>2465336</v>
      </c>
      <c r="C4651" s="32">
        <v>43071.661527777775</v>
      </c>
    </row>
    <row r="4652" spans="1:3">
      <c r="A4652">
        <v>88944</v>
      </c>
      <c r="B4652">
        <v>2355072</v>
      </c>
      <c r="C4652" s="32">
        <v>43070.107002314813</v>
      </c>
    </row>
    <row r="4653" spans="1:3">
      <c r="A4653">
        <v>1000124</v>
      </c>
      <c r="B4653">
        <v>2926020</v>
      </c>
      <c r="C4653" s="32">
        <v>43072.416689814818</v>
      </c>
    </row>
    <row r="4654" spans="1:3">
      <c r="A4654">
        <v>69663</v>
      </c>
      <c r="B4654">
        <v>4145813</v>
      </c>
      <c r="C4654" s="32">
        <v>43071.372777777775</v>
      </c>
    </row>
    <row r="4655" spans="1:3">
      <c r="A4655">
        <v>277169</v>
      </c>
      <c r="B4655">
        <v>2885642</v>
      </c>
      <c r="C4655" s="32">
        <v>43071.936111111114</v>
      </c>
    </row>
    <row r="4656" spans="1:3">
      <c r="A4656">
        <v>33198</v>
      </c>
      <c r="B4656">
        <v>2343140</v>
      </c>
      <c r="C4656" s="32">
        <v>43072.128923611112</v>
      </c>
    </row>
    <row r="4657" spans="1:3">
      <c r="A4657">
        <v>285211</v>
      </c>
      <c r="B4657">
        <v>1953179</v>
      </c>
      <c r="C4657" s="32">
        <v>43071.60428240741</v>
      </c>
    </row>
    <row r="4658" spans="1:3">
      <c r="A4658">
        <v>503709</v>
      </c>
      <c r="B4658">
        <v>3002561</v>
      </c>
      <c r="C4658" s="32">
        <v>43070.614224537036</v>
      </c>
    </row>
    <row r="4659" spans="1:3">
      <c r="A4659">
        <v>821634</v>
      </c>
      <c r="B4659">
        <v>1288487</v>
      </c>
      <c r="C4659" s="32">
        <v>43071.584583333337</v>
      </c>
    </row>
    <row r="4660" spans="1:3">
      <c r="A4660">
        <v>840556</v>
      </c>
      <c r="B4660">
        <v>4576874</v>
      </c>
      <c r="C4660" s="32">
        <v>43069.676365740743</v>
      </c>
    </row>
    <row r="4661" spans="1:3">
      <c r="A4661">
        <v>120165</v>
      </c>
      <c r="B4661">
        <v>4276787</v>
      </c>
      <c r="C4661" s="32">
        <v>43069.694421296299</v>
      </c>
    </row>
    <row r="4662" spans="1:3">
      <c r="A4662">
        <v>567396</v>
      </c>
      <c r="B4662">
        <v>719442</v>
      </c>
      <c r="C4662" s="32">
        <v>43071.279456018521</v>
      </c>
    </row>
    <row r="4663" spans="1:3">
      <c r="A4663">
        <v>82322</v>
      </c>
      <c r="B4663">
        <v>2465336</v>
      </c>
      <c r="C4663" s="32">
        <v>43072.086956018517</v>
      </c>
    </row>
    <row r="4664" spans="1:3">
      <c r="A4664">
        <v>867421</v>
      </c>
      <c r="B4664">
        <v>4897718</v>
      </c>
      <c r="C4664" s="32">
        <v>43072.63658564815</v>
      </c>
    </row>
    <row r="4665" spans="1:3">
      <c r="A4665">
        <v>920666</v>
      </c>
      <c r="B4665">
        <v>3738615</v>
      </c>
      <c r="C4665" s="32">
        <v>43072.557303240741</v>
      </c>
    </row>
    <row r="4666" spans="1:3">
      <c r="A4666">
        <v>804564</v>
      </c>
      <c r="B4666">
        <v>4022701</v>
      </c>
      <c r="C4666" s="32">
        <v>43070.687858796293</v>
      </c>
    </row>
    <row r="4667" spans="1:3">
      <c r="A4667">
        <v>95292</v>
      </c>
      <c r="B4667">
        <v>4145813</v>
      </c>
      <c r="C4667" s="32">
        <v>43070.572430555556</v>
      </c>
    </row>
    <row r="4668" spans="1:3">
      <c r="A4668">
        <v>73629</v>
      </c>
      <c r="B4668">
        <v>366112</v>
      </c>
      <c r="C4668" s="32">
        <v>43071.356192129628</v>
      </c>
    </row>
    <row r="4669" spans="1:3">
      <c r="A4669">
        <v>356255</v>
      </c>
      <c r="B4669">
        <v>3323023</v>
      </c>
      <c r="C4669" s="32">
        <v>43071.265451388892</v>
      </c>
    </row>
    <row r="4670" spans="1:3">
      <c r="A4670">
        <v>537344</v>
      </c>
      <c r="B4670">
        <v>1029459</v>
      </c>
      <c r="C4670" s="32">
        <v>43072.025659722225</v>
      </c>
    </row>
    <row r="4671" spans="1:3">
      <c r="A4671">
        <v>812313</v>
      </c>
      <c r="B4671">
        <v>4357323</v>
      </c>
      <c r="C4671" s="32">
        <v>43072.586122685185</v>
      </c>
    </row>
    <row r="4672" spans="1:3">
      <c r="A4672">
        <v>856817</v>
      </c>
      <c r="B4672">
        <v>2640118</v>
      </c>
      <c r="C4672" s="32">
        <v>43071.50340277778</v>
      </c>
    </row>
    <row r="4673" spans="1:3">
      <c r="A4673">
        <v>429033</v>
      </c>
      <c r="B4673">
        <v>3177877</v>
      </c>
      <c r="C4673" s="32">
        <v>43071.973715277774</v>
      </c>
    </row>
    <row r="4674" spans="1:3">
      <c r="A4674">
        <v>533307</v>
      </c>
      <c r="B4674">
        <v>3354571</v>
      </c>
      <c r="C4674" s="32">
        <v>43070.893773148149</v>
      </c>
    </row>
    <row r="4675" spans="1:3">
      <c r="A4675">
        <v>389118</v>
      </c>
      <c r="B4675">
        <v>4217906</v>
      </c>
      <c r="C4675" s="32">
        <v>43070.397650462961</v>
      </c>
    </row>
    <row r="4676" spans="1:3">
      <c r="A4676">
        <v>470207</v>
      </c>
      <c r="B4676">
        <v>3053420</v>
      </c>
      <c r="C4676" s="32">
        <v>43072.068530092591</v>
      </c>
    </row>
    <row r="4677" spans="1:3">
      <c r="A4677">
        <v>498959</v>
      </c>
      <c r="B4677">
        <v>4458428</v>
      </c>
      <c r="C4677" s="32">
        <v>43071.59412037037</v>
      </c>
    </row>
    <row r="4678" spans="1:3">
      <c r="A4678">
        <v>154492</v>
      </c>
      <c r="B4678">
        <v>570735</v>
      </c>
      <c r="C4678" s="32">
        <v>43072.3128125</v>
      </c>
    </row>
    <row r="4679" spans="1:3">
      <c r="A4679">
        <v>480065</v>
      </c>
      <c r="B4679">
        <v>982926</v>
      </c>
      <c r="C4679" s="32">
        <v>43071.264155092591</v>
      </c>
    </row>
    <row r="4680" spans="1:3">
      <c r="A4680">
        <v>841350</v>
      </c>
      <c r="B4680">
        <v>4145813</v>
      </c>
      <c r="C4680" s="32">
        <v>43070.535208333335</v>
      </c>
    </row>
    <row r="4681" spans="1:3">
      <c r="A4681">
        <v>253484</v>
      </c>
      <c r="B4681">
        <v>982926</v>
      </c>
      <c r="C4681" s="32">
        <v>43071.586956018517</v>
      </c>
    </row>
    <row r="4682" spans="1:3">
      <c r="A4682">
        <v>237915</v>
      </c>
      <c r="B4682">
        <v>1906712</v>
      </c>
      <c r="C4682" s="32">
        <v>43072.457604166666</v>
      </c>
    </row>
    <row r="4683" spans="1:3">
      <c r="A4683">
        <v>925869</v>
      </c>
      <c r="B4683">
        <v>119741</v>
      </c>
      <c r="C4683" s="32">
        <v>43071.176944444444</v>
      </c>
    </row>
    <row r="4684" spans="1:3">
      <c r="A4684">
        <v>79130</v>
      </c>
      <c r="B4684">
        <v>411153</v>
      </c>
      <c r="C4684" s="32">
        <v>43072.317280092589</v>
      </c>
    </row>
    <row r="4685" spans="1:3">
      <c r="A4685">
        <v>868771</v>
      </c>
      <c r="B4685">
        <v>3208959</v>
      </c>
      <c r="C4685" s="32">
        <v>43070.749560185184</v>
      </c>
    </row>
    <row r="4686" spans="1:3">
      <c r="A4686">
        <v>733226</v>
      </c>
      <c r="B4686">
        <v>4082778</v>
      </c>
      <c r="C4686" s="32">
        <v>43070.598657407405</v>
      </c>
    </row>
    <row r="4687" spans="1:3">
      <c r="A4687">
        <v>693681</v>
      </c>
      <c r="B4687">
        <v>982926</v>
      </c>
      <c r="C4687" s="32">
        <v>43072.585370370369</v>
      </c>
    </row>
    <row r="4688" spans="1:3">
      <c r="A4688">
        <v>141181</v>
      </c>
      <c r="B4688">
        <v>3002561</v>
      </c>
      <c r="C4688" s="32">
        <v>43071.628506944442</v>
      </c>
    </row>
    <row r="4689" spans="1:3">
      <c r="A4689">
        <v>366940</v>
      </c>
      <c r="B4689">
        <v>753984</v>
      </c>
      <c r="C4689" s="32">
        <v>43072.270983796298</v>
      </c>
    </row>
    <row r="4690" spans="1:3">
      <c r="A4690">
        <v>97591</v>
      </c>
      <c r="B4690">
        <v>2465336</v>
      </c>
      <c r="C4690" s="32">
        <v>43072.54488425926</v>
      </c>
    </row>
    <row r="4691" spans="1:3">
      <c r="A4691">
        <v>206033</v>
      </c>
      <c r="B4691">
        <v>2640118</v>
      </c>
      <c r="C4691" s="32">
        <v>43071.084837962961</v>
      </c>
    </row>
    <row r="4692" spans="1:3">
      <c r="A4692">
        <v>77213</v>
      </c>
      <c r="B4692">
        <v>1508018</v>
      </c>
      <c r="C4692" s="32">
        <v>43070.232025462959</v>
      </c>
    </row>
    <row r="4693" spans="1:3">
      <c r="A4693">
        <v>855698</v>
      </c>
      <c r="B4693">
        <v>3002561</v>
      </c>
      <c r="C4693" s="32">
        <v>43072.623564814814</v>
      </c>
    </row>
    <row r="4694" spans="1:3">
      <c r="A4694">
        <v>406005</v>
      </c>
      <c r="B4694">
        <v>2355072</v>
      </c>
      <c r="C4694" s="32">
        <v>43070.308634259258</v>
      </c>
    </row>
    <row r="4695" spans="1:3">
      <c r="A4695">
        <v>552841</v>
      </c>
      <c r="B4695">
        <v>2578647</v>
      </c>
      <c r="C4695" s="32">
        <v>43071.380393518521</v>
      </c>
    </row>
    <row r="4696" spans="1:3">
      <c r="A4696">
        <v>952199</v>
      </c>
      <c r="B4696">
        <v>2465336</v>
      </c>
      <c r="C4696" s="32">
        <v>43072.589421296296</v>
      </c>
    </row>
    <row r="4697" spans="1:3">
      <c r="A4697">
        <v>618478</v>
      </c>
      <c r="B4697">
        <v>898327</v>
      </c>
      <c r="C4697" s="32">
        <v>43071.131273148145</v>
      </c>
    </row>
    <row r="4698" spans="1:3">
      <c r="A4698">
        <v>810917</v>
      </c>
      <c r="B4698">
        <v>2578647</v>
      </c>
      <c r="C4698" s="32">
        <v>43072.057071759256</v>
      </c>
    </row>
    <row r="4699" spans="1:3">
      <c r="A4699">
        <v>346543</v>
      </c>
      <c r="B4699">
        <v>2885642</v>
      </c>
      <c r="C4699" s="32">
        <v>43069.670914351853</v>
      </c>
    </row>
    <row r="4700" spans="1:3">
      <c r="A4700">
        <v>186571</v>
      </c>
      <c r="B4700">
        <v>2520377</v>
      </c>
      <c r="C4700" s="32">
        <v>43071.506030092591</v>
      </c>
    </row>
    <row r="4701" spans="1:3">
      <c r="A4701">
        <v>869193</v>
      </c>
      <c r="B4701">
        <v>3776866</v>
      </c>
      <c r="C4701" s="32">
        <v>43072.457037037035</v>
      </c>
    </row>
    <row r="4702" spans="1:3">
      <c r="A4702">
        <v>451537</v>
      </c>
      <c r="B4702">
        <v>772629</v>
      </c>
      <c r="C4702" s="32">
        <v>43071.603622685187</v>
      </c>
    </row>
    <row r="4703" spans="1:3">
      <c r="A4703">
        <v>1002836</v>
      </c>
      <c r="B4703">
        <v>3607361</v>
      </c>
      <c r="C4703" s="32">
        <v>43071.53633101852</v>
      </c>
    </row>
    <row r="4704" spans="1:3">
      <c r="A4704">
        <v>210252</v>
      </c>
      <c r="B4704">
        <v>903809</v>
      </c>
      <c r="C4704" s="32">
        <v>43070.557604166665</v>
      </c>
    </row>
    <row r="4705" spans="1:3">
      <c r="A4705">
        <v>375685</v>
      </c>
      <c r="B4705">
        <v>3645362</v>
      </c>
      <c r="C4705" s="32">
        <v>43070.217476851853</v>
      </c>
    </row>
    <row r="4706" spans="1:3">
      <c r="A4706">
        <v>268271</v>
      </c>
      <c r="B4706">
        <v>4182213</v>
      </c>
      <c r="C4706" s="32">
        <v>43070.18377314815</v>
      </c>
    </row>
    <row r="4707" spans="1:3">
      <c r="A4707">
        <v>436474</v>
      </c>
      <c r="B4707">
        <v>4145813</v>
      </c>
      <c r="C4707" s="32">
        <v>43072.593831018516</v>
      </c>
    </row>
    <row r="4708" spans="1:3">
      <c r="A4708">
        <v>511249</v>
      </c>
      <c r="B4708">
        <v>982926</v>
      </c>
      <c r="C4708" s="32">
        <v>43071.988333333335</v>
      </c>
    </row>
    <row r="4709" spans="1:3">
      <c r="A4709">
        <v>457336</v>
      </c>
      <c r="B4709">
        <v>2362370</v>
      </c>
      <c r="C4709" s="32">
        <v>43071.598263888889</v>
      </c>
    </row>
    <row r="4710" spans="1:3">
      <c r="A4710">
        <v>335427</v>
      </c>
      <c r="B4710">
        <v>2355072</v>
      </c>
      <c r="C4710" s="32">
        <v>43072.523090277777</v>
      </c>
    </row>
    <row r="4711" spans="1:3">
      <c r="A4711">
        <v>943995</v>
      </c>
      <c r="B4711">
        <v>3736316</v>
      </c>
      <c r="C4711" s="32">
        <v>43071.08315972222</v>
      </c>
    </row>
    <row r="4712" spans="1:3">
      <c r="A4712">
        <v>246578</v>
      </c>
      <c r="B4712">
        <v>4708348</v>
      </c>
      <c r="C4712" s="32">
        <v>43071.686851851853</v>
      </c>
    </row>
    <row r="4713" spans="1:3">
      <c r="A4713">
        <v>562475</v>
      </c>
      <c r="B4713">
        <v>982926</v>
      </c>
      <c r="C4713" s="32">
        <v>43070.454641203702</v>
      </c>
    </row>
    <row r="4714" spans="1:3">
      <c r="A4714">
        <v>654695</v>
      </c>
      <c r="B4714">
        <v>3738615</v>
      </c>
      <c r="C4714" s="32">
        <v>43070.432546296295</v>
      </c>
    </row>
    <row r="4715" spans="1:3">
      <c r="A4715">
        <v>121675</v>
      </c>
      <c r="B4715">
        <v>1799984</v>
      </c>
      <c r="C4715" s="32">
        <v>43071.600671296299</v>
      </c>
    </row>
    <row r="4716" spans="1:3">
      <c r="A4716">
        <v>547088</v>
      </c>
      <c r="B4716">
        <v>4576874</v>
      </c>
      <c r="C4716" s="32">
        <v>43072.570636574077</v>
      </c>
    </row>
    <row r="4717" spans="1:3">
      <c r="A4717">
        <v>976836</v>
      </c>
      <c r="B4717">
        <v>3880463</v>
      </c>
      <c r="C4717" s="32">
        <v>43070.047233796293</v>
      </c>
    </row>
    <row r="4718" spans="1:3">
      <c r="A4718">
        <v>493019</v>
      </c>
      <c r="B4718">
        <v>4339722</v>
      </c>
      <c r="C4718" s="32">
        <v>43071.585081018522</v>
      </c>
    </row>
    <row r="4719" spans="1:3">
      <c r="A4719">
        <v>793827</v>
      </c>
      <c r="B4719">
        <v>903809</v>
      </c>
      <c r="C4719" s="32">
        <v>43070.16778935185</v>
      </c>
    </row>
    <row r="4720" spans="1:3">
      <c r="A4720">
        <v>1000325</v>
      </c>
      <c r="B4720">
        <v>4022701</v>
      </c>
      <c r="C4720" s="32">
        <v>43071.614236111112</v>
      </c>
    </row>
    <row r="4721" spans="1:3">
      <c r="A4721">
        <v>3029</v>
      </c>
      <c r="B4721">
        <v>149192</v>
      </c>
      <c r="C4721" s="32">
        <v>43071.660300925927</v>
      </c>
    </row>
    <row r="4722" spans="1:3">
      <c r="A4722">
        <v>40603</v>
      </c>
      <c r="B4722">
        <v>2520377</v>
      </c>
      <c r="C4722" s="32">
        <v>43072.501527777778</v>
      </c>
    </row>
    <row r="4723" spans="1:3">
      <c r="A4723">
        <v>20537</v>
      </c>
      <c r="B4723">
        <v>2158079</v>
      </c>
      <c r="C4723" s="32">
        <v>43071.157025462962</v>
      </c>
    </row>
    <row r="4724" spans="1:3">
      <c r="A4724">
        <v>288140</v>
      </c>
      <c r="B4724">
        <v>2885642</v>
      </c>
      <c r="C4724" s="32">
        <v>43071.661041666666</v>
      </c>
    </row>
    <row r="4725" spans="1:3">
      <c r="A4725">
        <v>627509</v>
      </c>
      <c r="B4725">
        <v>2960717</v>
      </c>
      <c r="C4725" s="32">
        <v>43071.674444444441</v>
      </c>
    </row>
    <row r="4726" spans="1:3">
      <c r="A4726">
        <v>388759</v>
      </c>
      <c r="B4726">
        <v>344833</v>
      </c>
      <c r="C4726" s="32">
        <v>43072.648900462962</v>
      </c>
    </row>
    <row r="4727" spans="1:3">
      <c r="A4727">
        <v>138128</v>
      </c>
      <c r="B4727">
        <v>3874527</v>
      </c>
      <c r="C4727" s="32">
        <v>43072.34171296296</v>
      </c>
    </row>
    <row r="4728" spans="1:3">
      <c r="A4728">
        <v>121726</v>
      </c>
      <c r="B4728">
        <v>2520771</v>
      </c>
      <c r="C4728" s="32">
        <v>43071.753460648149</v>
      </c>
    </row>
    <row r="4729" spans="1:3">
      <c r="A4729">
        <v>247990</v>
      </c>
      <c r="B4729">
        <v>1568197</v>
      </c>
      <c r="C4729" s="32">
        <v>43070.400138888886</v>
      </c>
    </row>
    <row r="4730" spans="1:3">
      <c r="A4730">
        <v>543253</v>
      </c>
      <c r="B4730">
        <v>2520771</v>
      </c>
      <c r="C4730" s="32">
        <v>43071.486238425925</v>
      </c>
    </row>
    <row r="4731" spans="1:3">
      <c r="A4731">
        <v>643826</v>
      </c>
      <c r="B4731">
        <v>2096639</v>
      </c>
      <c r="C4731" s="32">
        <v>43071.472337962965</v>
      </c>
    </row>
    <row r="4732" spans="1:3">
      <c r="A4732">
        <v>860168</v>
      </c>
      <c r="B4732">
        <v>4027003</v>
      </c>
      <c r="C4732" s="32">
        <v>43072.408807870372</v>
      </c>
    </row>
    <row r="4733" spans="1:3">
      <c r="A4733">
        <v>11543</v>
      </c>
      <c r="B4733">
        <v>1275696</v>
      </c>
      <c r="C4733" s="32">
        <v>43070.363125000003</v>
      </c>
    </row>
    <row r="4734" spans="1:3">
      <c r="A4734">
        <v>335819</v>
      </c>
      <c r="B4734">
        <v>3747017</v>
      </c>
      <c r="C4734" s="32">
        <v>43070.439467592594</v>
      </c>
    </row>
    <row r="4735" spans="1:3">
      <c r="A4735">
        <v>172117</v>
      </c>
      <c r="B4735">
        <v>1977169</v>
      </c>
      <c r="C4735" s="32">
        <v>43070.452222222222</v>
      </c>
    </row>
    <row r="4736" spans="1:3">
      <c r="A4736">
        <v>788180</v>
      </c>
      <c r="B4736">
        <v>2492895</v>
      </c>
      <c r="C4736" s="32">
        <v>43071.141712962963</v>
      </c>
    </row>
    <row r="4737" spans="1:3">
      <c r="A4737">
        <v>24149</v>
      </c>
      <c r="B4737">
        <v>1789614</v>
      </c>
      <c r="C4737" s="32">
        <v>43072.183229166665</v>
      </c>
    </row>
    <row r="4738" spans="1:3">
      <c r="A4738">
        <v>927513</v>
      </c>
      <c r="B4738">
        <v>2465336</v>
      </c>
      <c r="C4738" s="32">
        <v>43071.662187499998</v>
      </c>
    </row>
    <row r="4739" spans="1:3">
      <c r="A4739">
        <v>952467</v>
      </c>
      <c r="B4739">
        <v>1488813</v>
      </c>
      <c r="C4739" s="32">
        <v>43071.225312499999</v>
      </c>
    </row>
    <row r="4740" spans="1:3">
      <c r="A4740">
        <v>243100</v>
      </c>
      <c r="B4740">
        <v>2355072</v>
      </c>
      <c r="C4740" s="32">
        <v>43071.583668981482</v>
      </c>
    </row>
    <row r="4741" spans="1:3">
      <c r="A4741">
        <v>517175</v>
      </c>
      <c r="B4741">
        <v>2558244</v>
      </c>
      <c r="C4741" s="32">
        <v>43071.55777777778</v>
      </c>
    </row>
    <row r="4742" spans="1:3">
      <c r="A4742">
        <v>131107</v>
      </c>
      <c r="B4742">
        <v>4801426</v>
      </c>
      <c r="C4742" s="32">
        <v>43072.559641203705</v>
      </c>
    </row>
    <row r="4743" spans="1:3">
      <c r="A4743">
        <v>533970</v>
      </c>
      <c r="B4743">
        <v>2735466</v>
      </c>
      <c r="C4743" s="32">
        <v>43072.538101851853</v>
      </c>
    </row>
    <row r="4744" spans="1:3">
      <c r="A4744">
        <v>931343</v>
      </c>
      <c r="B4744">
        <v>4918438</v>
      </c>
      <c r="C4744" s="32">
        <v>43070.86650462963</v>
      </c>
    </row>
    <row r="4745" spans="1:3">
      <c r="A4745">
        <v>743137</v>
      </c>
      <c r="B4745">
        <v>1859277</v>
      </c>
      <c r="C4745" s="32">
        <v>43071.111261574071</v>
      </c>
    </row>
    <row r="4746" spans="1:3">
      <c r="A4746">
        <v>481679</v>
      </c>
      <c r="B4746">
        <v>4558987</v>
      </c>
      <c r="C4746" s="32">
        <v>43071.331736111111</v>
      </c>
    </row>
    <row r="4747" spans="1:3">
      <c r="A4747">
        <v>241670</v>
      </c>
      <c r="B4747">
        <v>1812396</v>
      </c>
      <c r="C4747" s="32">
        <v>43071.253425925926</v>
      </c>
    </row>
    <row r="4748" spans="1:3">
      <c r="A4748">
        <v>640157</v>
      </c>
      <c r="B4748">
        <v>1972894</v>
      </c>
      <c r="C4748" s="32">
        <v>43071.58730324074</v>
      </c>
    </row>
    <row r="4749" spans="1:3">
      <c r="A4749">
        <v>563974</v>
      </c>
      <c r="B4749">
        <v>2640118</v>
      </c>
      <c r="C4749" s="32">
        <v>43071.640925925924</v>
      </c>
    </row>
    <row r="4750" spans="1:3">
      <c r="A4750">
        <v>215326</v>
      </c>
      <c r="B4750">
        <v>1354236</v>
      </c>
      <c r="C4750" s="32">
        <v>43071.003587962965</v>
      </c>
    </row>
    <row r="4751" spans="1:3">
      <c r="A4751">
        <v>179843</v>
      </c>
      <c r="B4751">
        <v>1180629</v>
      </c>
      <c r="C4751" s="32">
        <v>43070.603796296295</v>
      </c>
    </row>
    <row r="4752" spans="1:3">
      <c r="A4752">
        <v>347420</v>
      </c>
      <c r="B4752">
        <v>4217906</v>
      </c>
      <c r="C4752" s="32">
        <v>43070.617280092592</v>
      </c>
    </row>
    <row r="4753" spans="1:3">
      <c r="A4753">
        <v>600877</v>
      </c>
      <c r="B4753">
        <v>1694669</v>
      </c>
      <c r="C4753" s="32">
        <v>43070.630902777775</v>
      </c>
    </row>
    <row r="4754" spans="1:3">
      <c r="A4754">
        <v>284622</v>
      </c>
      <c r="B4754">
        <v>1384330</v>
      </c>
      <c r="C4754" s="32">
        <v>43072.623749999999</v>
      </c>
    </row>
    <row r="4755" spans="1:3">
      <c r="A4755">
        <v>195965</v>
      </c>
      <c r="B4755">
        <v>4170419</v>
      </c>
      <c r="C4755" s="32">
        <v>43070.47892361111</v>
      </c>
    </row>
    <row r="4756" spans="1:3">
      <c r="A4756">
        <v>426590</v>
      </c>
      <c r="B4756">
        <v>4159072</v>
      </c>
      <c r="C4756" s="32">
        <v>43072.090902777774</v>
      </c>
    </row>
    <row r="4757" spans="1:3">
      <c r="A4757">
        <v>639228</v>
      </c>
      <c r="B4757">
        <v>211810</v>
      </c>
      <c r="C4757" s="32">
        <v>43071.199513888889</v>
      </c>
    </row>
    <row r="4758" spans="1:3">
      <c r="A4758">
        <v>633591</v>
      </c>
      <c r="B4758">
        <v>3220984</v>
      </c>
      <c r="C4758" s="32">
        <v>43070.619976851849</v>
      </c>
    </row>
    <row r="4759" spans="1:3">
      <c r="A4759">
        <v>106733</v>
      </c>
      <c r="B4759">
        <v>2885642</v>
      </c>
      <c r="C4759" s="32">
        <v>43072.126921296294</v>
      </c>
    </row>
    <row r="4760" spans="1:3">
      <c r="A4760">
        <v>907952</v>
      </c>
      <c r="B4760">
        <v>3065645</v>
      </c>
      <c r="C4760" s="32">
        <v>43071.59202546296</v>
      </c>
    </row>
    <row r="4761" spans="1:3">
      <c r="A4761">
        <v>476228</v>
      </c>
      <c r="B4761">
        <v>235534</v>
      </c>
      <c r="C4761" s="32">
        <v>43070.095312500001</v>
      </c>
    </row>
    <row r="4762" spans="1:3">
      <c r="A4762">
        <v>146103</v>
      </c>
      <c r="B4762">
        <v>4756105</v>
      </c>
      <c r="C4762" s="32">
        <v>43071.467291666668</v>
      </c>
    </row>
    <row r="4763" spans="1:3">
      <c r="A4763">
        <v>383190</v>
      </c>
      <c r="B4763">
        <v>1320293</v>
      </c>
      <c r="C4763" s="32">
        <v>43070.295231481483</v>
      </c>
    </row>
    <row r="4764" spans="1:3">
      <c r="A4764">
        <v>428173</v>
      </c>
      <c r="B4764">
        <v>1416713</v>
      </c>
      <c r="C4764" s="32">
        <v>43071.703993055555</v>
      </c>
    </row>
    <row r="4765" spans="1:3">
      <c r="A4765">
        <v>770918</v>
      </c>
      <c r="B4765">
        <v>4825728</v>
      </c>
      <c r="C4765" s="32">
        <v>43071.574953703705</v>
      </c>
    </row>
    <row r="4766" spans="1:3">
      <c r="A4766">
        <v>717075</v>
      </c>
      <c r="B4766">
        <v>2355072</v>
      </c>
      <c r="C4766" s="32">
        <v>43072.625358796293</v>
      </c>
    </row>
    <row r="4767" spans="1:3">
      <c r="A4767">
        <v>272216</v>
      </c>
      <c r="B4767">
        <v>767106</v>
      </c>
      <c r="C4767" s="32">
        <v>43071.260509259257</v>
      </c>
    </row>
    <row r="4768" spans="1:3">
      <c r="A4768">
        <v>354269</v>
      </c>
      <c r="B4768">
        <v>1009182</v>
      </c>
      <c r="C4768" s="32">
        <v>43071.697557870371</v>
      </c>
    </row>
    <row r="4769" spans="1:3">
      <c r="A4769">
        <v>34621</v>
      </c>
      <c r="B4769">
        <v>4756105</v>
      </c>
      <c r="C4769" s="32">
        <v>43070.687881944446</v>
      </c>
    </row>
    <row r="4770" spans="1:3">
      <c r="A4770">
        <v>866955</v>
      </c>
      <c r="B4770">
        <v>1859277</v>
      </c>
      <c r="C4770" s="32">
        <v>43071.829548611109</v>
      </c>
    </row>
    <row r="4771" spans="1:3">
      <c r="A4771">
        <v>206319</v>
      </c>
      <c r="B4771">
        <v>3937814</v>
      </c>
      <c r="C4771" s="32">
        <v>43072.634988425925</v>
      </c>
    </row>
    <row r="4772" spans="1:3">
      <c r="A4772">
        <v>884136</v>
      </c>
      <c r="B4772">
        <v>384755</v>
      </c>
      <c r="C4772" s="32">
        <v>43070.653738425928</v>
      </c>
    </row>
    <row r="4773" spans="1:3">
      <c r="A4773">
        <v>18978</v>
      </c>
      <c r="B4773">
        <v>2920476</v>
      </c>
      <c r="C4773" s="32">
        <v>43069.773032407407</v>
      </c>
    </row>
    <row r="4774" spans="1:3">
      <c r="A4774">
        <v>70489</v>
      </c>
      <c r="B4774">
        <v>753984</v>
      </c>
      <c r="C4774" s="32">
        <v>43071.66547453704</v>
      </c>
    </row>
    <row r="4775" spans="1:3">
      <c r="A4775">
        <v>561161</v>
      </c>
      <c r="B4775">
        <v>3738615</v>
      </c>
      <c r="C4775" s="32">
        <v>43072.23165509259</v>
      </c>
    </row>
    <row r="4776" spans="1:3">
      <c r="A4776">
        <v>876348</v>
      </c>
      <c r="B4776">
        <v>3767409</v>
      </c>
      <c r="C4776" s="32">
        <v>43072.253657407404</v>
      </c>
    </row>
    <row r="4777" spans="1:3">
      <c r="A4777">
        <v>744821</v>
      </c>
      <c r="B4777">
        <v>5053508</v>
      </c>
      <c r="C4777" s="32">
        <v>43070.057071759256</v>
      </c>
    </row>
    <row r="4778" spans="1:3">
      <c r="A4778">
        <v>999347</v>
      </c>
      <c r="B4778">
        <v>4050612</v>
      </c>
      <c r="C4778" s="32">
        <v>43072.379942129628</v>
      </c>
    </row>
    <row r="4779" spans="1:3">
      <c r="A4779">
        <v>42608</v>
      </c>
      <c r="B4779">
        <v>1832757</v>
      </c>
      <c r="C4779" s="32">
        <v>43070.641817129632</v>
      </c>
    </row>
    <row r="4780" spans="1:3">
      <c r="A4780">
        <v>198869</v>
      </c>
      <c r="B4780">
        <v>3598912</v>
      </c>
      <c r="C4780" s="32">
        <v>43072.431400462963</v>
      </c>
    </row>
    <row r="4781" spans="1:3">
      <c r="A4781">
        <v>467569</v>
      </c>
      <c r="B4781">
        <v>1723409</v>
      </c>
      <c r="C4781" s="32">
        <v>43072.220150462963</v>
      </c>
    </row>
    <row r="4782" spans="1:3">
      <c r="A4782">
        <v>1010988</v>
      </c>
      <c r="B4782">
        <v>3004853</v>
      </c>
      <c r="C4782" s="32">
        <v>43071.999224537038</v>
      </c>
    </row>
    <row r="4783" spans="1:3">
      <c r="A4783">
        <v>701587</v>
      </c>
      <c r="B4783">
        <v>3607361</v>
      </c>
      <c r="C4783" s="32">
        <v>43072.055046296293</v>
      </c>
    </row>
    <row r="4784" spans="1:3">
      <c r="A4784">
        <v>715724</v>
      </c>
      <c r="B4784">
        <v>2131531</v>
      </c>
      <c r="C4784" s="32">
        <v>43072.130879629629</v>
      </c>
    </row>
    <row r="4785" spans="1:3">
      <c r="A4785">
        <v>370073</v>
      </c>
      <c r="B4785">
        <v>4801426</v>
      </c>
      <c r="C4785" s="32">
        <v>43070.628668981481</v>
      </c>
    </row>
    <row r="4786" spans="1:3">
      <c r="A4786">
        <v>438316</v>
      </c>
      <c r="B4786">
        <v>4576874</v>
      </c>
      <c r="C4786" s="32">
        <v>43071.417650462965</v>
      </c>
    </row>
    <row r="4787" spans="1:3">
      <c r="A4787">
        <v>303026</v>
      </c>
      <c r="B4787">
        <v>2066743</v>
      </c>
      <c r="C4787" s="32">
        <v>43071.495949074073</v>
      </c>
    </row>
    <row r="4788" spans="1:3">
      <c r="A4788">
        <v>562678</v>
      </c>
      <c r="B4788">
        <v>672001</v>
      </c>
      <c r="C4788" s="32">
        <v>43070.778460648151</v>
      </c>
    </row>
    <row r="4789" spans="1:3">
      <c r="A4789">
        <v>763132</v>
      </c>
      <c r="B4789">
        <v>920038</v>
      </c>
      <c r="C4789" s="32">
        <v>43071.248252314814</v>
      </c>
    </row>
    <row r="4790" spans="1:3">
      <c r="A4790">
        <v>169377</v>
      </c>
      <c r="B4790">
        <v>1320293</v>
      </c>
      <c r="C4790" s="32">
        <v>43070.472777777781</v>
      </c>
    </row>
    <row r="4791" spans="1:3">
      <c r="A4791">
        <v>875784</v>
      </c>
      <c r="B4791">
        <v>4719814</v>
      </c>
      <c r="C4791" s="32">
        <v>43071.274085648147</v>
      </c>
    </row>
    <row r="4792" spans="1:3">
      <c r="A4792">
        <v>805364</v>
      </c>
      <c r="B4792">
        <v>4756105</v>
      </c>
      <c r="C4792" s="32">
        <v>43071.557662037034</v>
      </c>
    </row>
    <row r="4793" spans="1:3">
      <c r="A4793">
        <v>60453</v>
      </c>
      <c r="B4793">
        <v>2877672</v>
      </c>
      <c r="C4793" s="32">
        <v>43071.674189814818</v>
      </c>
    </row>
    <row r="4794" spans="1:3">
      <c r="A4794">
        <v>874119</v>
      </c>
      <c r="B4794">
        <v>4919077</v>
      </c>
      <c r="C4794" s="32">
        <v>43072.633553240739</v>
      </c>
    </row>
    <row r="4795" spans="1:3">
      <c r="A4795">
        <v>923940</v>
      </c>
      <c r="B4795">
        <v>2033408</v>
      </c>
      <c r="C4795" s="32">
        <v>43069.687048611115</v>
      </c>
    </row>
    <row r="4796" spans="1:3">
      <c r="A4796">
        <v>694237</v>
      </c>
      <c r="B4796">
        <v>4719814</v>
      </c>
      <c r="C4796" s="32">
        <v>43071.598229166666</v>
      </c>
    </row>
    <row r="4797" spans="1:3">
      <c r="A4797">
        <v>688176</v>
      </c>
      <c r="B4797">
        <v>448398</v>
      </c>
      <c r="C4797" s="32">
        <v>43070.772650462961</v>
      </c>
    </row>
    <row r="4798" spans="1:3">
      <c r="A4798">
        <v>444636</v>
      </c>
      <c r="B4798">
        <v>4690421</v>
      </c>
      <c r="C4798" s="32">
        <v>43071.526354166665</v>
      </c>
    </row>
    <row r="4799" spans="1:3">
      <c r="A4799">
        <v>232690</v>
      </c>
      <c r="B4799">
        <v>2520771</v>
      </c>
      <c r="C4799" s="32">
        <v>43071.138969907406</v>
      </c>
    </row>
    <row r="4800" spans="1:3">
      <c r="A4800">
        <v>81218</v>
      </c>
      <c r="B4800">
        <v>4558987</v>
      </c>
      <c r="C4800" s="32">
        <v>43071.08693287037</v>
      </c>
    </row>
    <row r="4801" spans="1:3">
      <c r="A4801">
        <v>710467</v>
      </c>
      <c r="B4801">
        <v>4672807</v>
      </c>
      <c r="C4801" s="32">
        <v>43072.554467592592</v>
      </c>
    </row>
    <row r="4802" spans="1:3">
      <c r="A4802">
        <v>983833</v>
      </c>
      <c r="B4802">
        <v>4918438</v>
      </c>
      <c r="C4802" s="32">
        <v>43071.720277777778</v>
      </c>
    </row>
    <row r="4803" spans="1:3">
      <c r="A4803">
        <v>14638</v>
      </c>
      <c r="B4803">
        <v>886203</v>
      </c>
      <c r="C4803" s="32">
        <v>43071.702164351853</v>
      </c>
    </row>
    <row r="4804" spans="1:3">
      <c r="A4804">
        <v>15451</v>
      </c>
      <c r="B4804">
        <v>4756105</v>
      </c>
      <c r="C4804" s="32">
        <v>43072.12699074074</v>
      </c>
    </row>
    <row r="4805" spans="1:3">
      <c r="A4805">
        <v>224215</v>
      </c>
      <c r="B4805">
        <v>235534</v>
      </c>
      <c r="C4805" s="32">
        <v>43071.473900462966</v>
      </c>
    </row>
    <row r="4806" spans="1:3">
      <c r="A4806">
        <v>649263</v>
      </c>
      <c r="B4806">
        <v>2728656</v>
      </c>
      <c r="C4806" s="32">
        <v>43070.14435185185</v>
      </c>
    </row>
    <row r="4807" spans="1:3">
      <c r="A4807">
        <v>952969</v>
      </c>
      <c r="B4807">
        <v>4145813</v>
      </c>
      <c r="C4807" s="32">
        <v>43070.345995370371</v>
      </c>
    </row>
    <row r="4808" spans="1:3">
      <c r="A4808">
        <v>256726</v>
      </c>
      <c r="B4808">
        <v>4217906</v>
      </c>
      <c r="C4808" s="32">
        <v>43070.38863425926</v>
      </c>
    </row>
    <row r="4809" spans="1:3">
      <c r="A4809">
        <v>657828</v>
      </c>
      <c r="B4809">
        <v>4145813</v>
      </c>
      <c r="C4809" s="32">
        <v>43072.147106481483</v>
      </c>
    </row>
    <row r="4810" spans="1:3">
      <c r="A4810">
        <v>713181</v>
      </c>
      <c r="B4810">
        <v>4801426</v>
      </c>
      <c r="C4810" s="32">
        <v>43071.045682870368</v>
      </c>
    </row>
    <row r="4811" spans="1:3">
      <c r="A4811">
        <v>991314</v>
      </c>
      <c r="B4811">
        <v>4643350</v>
      </c>
      <c r="C4811" s="32">
        <v>43071.753240740742</v>
      </c>
    </row>
    <row r="4812" spans="1:3">
      <c r="A4812">
        <v>15922</v>
      </c>
      <c r="B4812">
        <v>3624696</v>
      </c>
      <c r="C4812" s="32">
        <v>43070.546319444446</v>
      </c>
    </row>
    <row r="4813" spans="1:3">
      <c r="A4813">
        <v>757191</v>
      </c>
      <c r="B4813">
        <v>665090</v>
      </c>
      <c r="C4813" s="32">
        <v>43071.573101851849</v>
      </c>
    </row>
    <row r="4814" spans="1:3">
      <c r="A4814">
        <v>393831</v>
      </c>
      <c r="B4814">
        <v>2964603</v>
      </c>
      <c r="C4814" s="32">
        <v>43071.123217592591</v>
      </c>
    </row>
    <row r="4815" spans="1:3">
      <c r="A4815">
        <v>345670</v>
      </c>
      <c r="B4815">
        <v>1216617</v>
      </c>
      <c r="C4815" s="32">
        <v>43070.130173611113</v>
      </c>
    </row>
    <row r="4816" spans="1:3">
      <c r="A4816">
        <v>956478</v>
      </c>
      <c r="B4816">
        <v>4801426</v>
      </c>
      <c r="C4816" s="32">
        <v>43071.691990740743</v>
      </c>
    </row>
    <row r="4817" spans="1:3">
      <c r="A4817">
        <v>275372</v>
      </c>
      <c r="B4817">
        <v>883960</v>
      </c>
      <c r="C4817" s="32">
        <v>43070.085370370369</v>
      </c>
    </row>
    <row r="4818" spans="1:3">
      <c r="A4818">
        <v>488901</v>
      </c>
      <c r="B4818">
        <v>4632044</v>
      </c>
      <c r="C4818" s="32">
        <v>43071.242349537039</v>
      </c>
    </row>
    <row r="4819" spans="1:3">
      <c r="A4819">
        <v>543916</v>
      </c>
      <c r="B4819">
        <v>4869428</v>
      </c>
      <c r="C4819" s="32">
        <v>43070.143182870372</v>
      </c>
    </row>
    <row r="4820" spans="1:3">
      <c r="A4820">
        <v>918721</v>
      </c>
      <c r="B4820">
        <v>4789432</v>
      </c>
      <c r="C4820" s="32">
        <v>43072.525243055556</v>
      </c>
    </row>
    <row r="4821" spans="1:3">
      <c r="A4821">
        <v>869275</v>
      </c>
      <c r="B4821">
        <v>4983640</v>
      </c>
      <c r="C4821" s="32">
        <v>43072.314120370371</v>
      </c>
    </row>
    <row r="4822" spans="1:3">
      <c r="A4822">
        <v>80014</v>
      </c>
      <c r="B4822">
        <v>3030023</v>
      </c>
      <c r="C4822" s="32">
        <v>43071.37</v>
      </c>
    </row>
    <row r="4823" spans="1:3">
      <c r="A4823">
        <v>391571</v>
      </c>
      <c r="B4823">
        <v>4643350</v>
      </c>
      <c r="C4823" s="32">
        <v>43070.339247685188</v>
      </c>
    </row>
    <row r="4824" spans="1:3">
      <c r="A4824">
        <v>545012</v>
      </c>
      <c r="B4824">
        <v>3092571</v>
      </c>
      <c r="C4824" s="32">
        <v>43070.671655092592</v>
      </c>
    </row>
    <row r="4825" spans="1:3">
      <c r="A4825">
        <v>220847</v>
      </c>
      <c r="B4825">
        <v>4801426</v>
      </c>
      <c r="C4825" s="32">
        <v>43071.469907407409</v>
      </c>
    </row>
    <row r="4826" spans="1:3">
      <c r="A4826">
        <v>894508</v>
      </c>
      <c r="B4826">
        <v>3738615</v>
      </c>
      <c r="C4826" s="32">
        <v>43071.522604166668</v>
      </c>
    </row>
    <row r="4827" spans="1:3">
      <c r="A4827">
        <v>240650</v>
      </c>
      <c r="B4827">
        <v>4188178</v>
      </c>
      <c r="C4827" s="32">
        <v>43071.550312500003</v>
      </c>
    </row>
    <row r="4828" spans="1:3">
      <c r="A4828">
        <v>943771</v>
      </c>
      <c r="B4828">
        <v>4583884</v>
      </c>
      <c r="C4828" s="32">
        <v>43072.580416666664</v>
      </c>
    </row>
    <row r="4829" spans="1:3">
      <c r="A4829">
        <v>264480</v>
      </c>
      <c r="B4829">
        <v>3774512</v>
      </c>
      <c r="C4829" s="32">
        <v>43070.422037037039</v>
      </c>
    </row>
    <row r="4830" spans="1:3">
      <c r="A4830">
        <v>672747</v>
      </c>
      <c r="B4830">
        <v>149192</v>
      </c>
      <c r="C4830" s="32">
        <v>43070.972592592596</v>
      </c>
    </row>
    <row r="4831" spans="1:3">
      <c r="A4831">
        <v>720223</v>
      </c>
      <c r="B4831">
        <v>2465336</v>
      </c>
      <c r="C4831" s="32">
        <v>43070.688425925924</v>
      </c>
    </row>
    <row r="4832" spans="1:3">
      <c r="A4832">
        <v>872860</v>
      </c>
      <c r="B4832">
        <v>149192</v>
      </c>
      <c r="C4832" s="32">
        <v>43072.31894675926</v>
      </c>
    </row>
    <row r="4833" spans="1:3">
      <c r="A4833">
        <v>285029</v>
      </c>
      <c r="B4833">
        <v>5053508</v>
      </c>
      <c r="C4833" s="32">
        <v>43070.230138888888</v>
      </c>
    </row>
    <row r="4834" spans="1:3">
      <c r="A4834">
        <v>367165</v>
      </c>
      <c r="B4834">
        <v>4160459</v>
      </c>
      <c r="C4834" s="32">
        <v>43071.719525462962</v>
      </c>
    </row>
    <row r="4835" spans="1:3">
      <c r="A4835">
        <v>419968</v>
      </c>
      <c r="B4835">
        <v>2247787</v>
      </c>
      <c r="C4835" s="32">
        <v>43072.601944444446</v>
      </c>
    </row>
    <row r="4836" spans="1:3">
      <c r="A4836">
        <v>842200</v>
      </c>
      <c r="B4836">
        <v>4756105</v>
      </c>
      <c r="C4836" s="32">
        <v>43070.11923611111</v>
      </c>
    </row>
    <row r="4837" spans="1:3">
      <c r="A4837">
        <v>536821</v>
      </c>
      <c r="B4837">
        <v>4643350</v>
      </c>
      <c r="C4837" s="32">
        <v>43071.082476851851</v>
      </c>
    </row>
    <row r="4838" spans="1:3">
      <c r="A4838">
        <v>41670</v>
      </c>
      <c r="B4838">
        <v>1216617</v>
      </c>
      <c r="C4838" s="32">
        <v>43070.698692129627</v>
      </c>
    </row>
    <row r="4839" spans="1:3">
      <c r="A4839">
        <v>249816</v>
      </c>
      <c r="B4839">
        <v>2042400</v>
      </c>
      <c r="C4839" s="32">
        <v>43072.665856481479</v>
      </c>
    </row>
    <row r="4840" spans="1:3">
      <c r="A4840">
        <v>752075</v>
      </c>
      <c r="B4840">
        <v>366112</v>
      </c>
      <c r="C4840" s="32">
        <v>43071.68482638889</v>
      </c>
    </row>
    <row r="4841" spans="1:3">
      <c r="A4841">
        <v>925711</v>
      </c>
      <c r="B4841">
        <v>4756105</v>
      </c>
      <c r="C4841" s="32">
        <v>43070.015416666669</v>
      </c>
    </row>
    <row r="4842" spans="1:3">
      <c r="A4842">
        <v>169323</v>
      </c>
      <c r="B4842">
        <v>2393184</v>
      </c>
      <c r="C4842" s="32">
        <v>43072.343032407407</v>
      </c>
    </row>
    <row r="4843" spans="1:3">
      <c r="A4843">
        <v>283016</v>
      </c>
      <c r="B4843">
        <v>4170419</v>
      </c>
      <c r="C4843" s="32">
        <v>43071.417048611111</v>
      </c>
    </row>
    <row r="4844" spans="1:3">
      <c r="A4844">
        <v>933105</v>
      </c>
      <c r="B4844">
        <v>3607361</v>
      </c>
      <c r="C4844" s="32">
        <v>43071.134305555555</v>
      </c>
    </row>
    <row r="4845" spans="1:3">
      <c r="A4845">
        <v>382383</v>
      </c>
      <c r="B4845">
        <v>3747017</v>
      </c>
      <c r="C4845" s="32">
        <v>43072.423298611109</v>
      </c>
    </row>
    <row r="4846" spans="1:3">
      <c r="A4846">
        <v>235929</v>
      </c>
      <c r="B4846">
        <v>2520377</v>
      </c>
      <c r="C4846" s="32">
        <v>43070.577581018515</v>
      </c>
    </row>
    <row r="4847" spans="1:3">
      <c r="A4847">
        <v>251198</v>
      </c>
      <c r="B4847">
        <v>4756105</v>
      </c>
      <c r="C4847" s="32">
        <v>43071.298564814817</v>
      </c>
    </row>
    <row r="4848" spans="1:3">
      <c r="A4848">
        <v>502636</v>
      </c>
      <c r="B4848">
        <v>4756105</v>
      </c>
      <c r="C4848" s="32">
        <v>43072.62400462963</v>
      </c>
    </row>
    <row r="4849" spans="1:3">
      <c r="A4849">
        <v>599170</v>
      </c>
      <c r="B4849">
        <v>1158475</v>
      </c>
      <c r="C4849" s="32">
        <v>43071.440740740742</v>
      </c>
    </row>
    <row r="4850" spans="1:3">
      <c r="A4850">
        <v>7948</v>
      </c>
      <c r="B4850">
        <v>2496932</v>
      </c>
      <c r="C4850" s="32">
        <v>43071.255300925928</v>
      </c>
    </row>
    <row r="4851" spans="1:3">
      <c r="A4851">
        <v>520925</v>
      </c>
      <c r="B4851">
        <v>883960</v>
      </c>
      <c r="C4851" s="32">
        <v>43071.556898148148</v>
      </c>
    </row>
    <row r="4852" spans="1:3">
      <c r="A4852">
        <v>846950</v>
      </c>
      <c r="B4852">
        <v>4558987</v>
      </c>
      <c r="C4852" s="32">
        <v>43070.981712962966</v>
      </c>
    </row>
    <row r="4853" spans="1:3">
      <c r="A4853">
        <v>441391</v>
      </c>
      <c r="B4853">
        <v>3459125</v>
      </c>
      <c r="C4853" s="32">
        <v>43070.662465277775</v>
      </c>
    </row>
    <row r="4854" spans="1:3">
      <c r="A4854">
        <v>188174</v>
      </c>
      <c r="B4854">
        <v>5002819</v>
      </c>
      <c r="C4854" s="32">
        <v>43072.354270833333</v>
      </c>
    </row>
    <row r="4855" spans="1:3">
      <c r="A4855">
        <v>86128</v>
      </c>
      <c r="B4855">
        <v>4145813</v>
      </c>
      <c r="C4855" s="32">
        <v>43071.322511574072</v>
      </c>
    </row>
    <row r="4856" spans="1:3">
      <c r="A4856">
        <v>838940</v>
      </c>
      <c r="B4856">
        <v>4801426</v>
      </c>
      <c r="C4856" s="32">
        <v>43071.08021990741</v>
      </c>
    </row>
    <row r="4857" spans="1:3">
      <c r="A4857">
        <v>611701</v>
      </c>
      <c r="B4857">
        <v>4145813</v>
      </c>
      <c r="C4857" s="32">
        <v>43071.520740740743</v>
      </c>
    </row>
    <row r="4858" spans="1:3">
      <c r="A4858">
        <v>347267</v>
      </c>
      <c r="B4858">
        <v>1029459</v>
      </c>
      <c r="C4858" s="32">
        <v>43071.633935185186</v>
      </c>
    </row>
    <row r="4859" spans="1:3">
      <c r="A4859">
        <v>882941</v>
      </c>
      <c r="B4859">
        <v>4164234</v>
      </c>
      <c r="C4859" s="32">
        <v>43071.655763888892</v>
      </c>
    </row>
    <row r="4860" spans="1:3">
      <c r="A4860">
        <v>205422</v>
      </c>
      <c r="B4860">
        <v>2342116</v>
      </c>
      <c r="C4860" s="32">
        <v>43071.519178240742</v>
      </c>
    </row>
    <row r="4861" spans="1:3">
      <c r="A4861">
        <v>374284</v>
      </c>
      <c r="B4861">
        <v>4145813</v>
      </c>
      <c r="C4861" s="32">
        <v>43071.56931712963</v>
      </c>
    </row>
    <row r="4862" spans="1:3">
      <c r="A4862">
        <v>341425</v>
      </c>
      <c r="B4862">
        <v>750949</v>
      </c>
      <c r="C4862" s="32">
        <v>43070.94940972222</v>
      </c>
    </row>
    <row r="4863" spans="1:3">
      <c r="A4863">
        <v>68780</v>
      </c>
      <c r="B4863">
        <v>2735466</v>
      </c>
      <c r="C4863" s="32">
        <v>43070.607129629629</v>
      </c>
    </row>
    <row r="4864" spans="1:3">
      <c r="A4864">
        <v>871882</v>
      </c>
      <c r="B4864">
        <v>3160684</v>
      </c>
      <c r="C4864" s="32">
        <v>43071.218495370369</v>
      </c>
    </row>
    <row r="4865" spans="1:3">
      <c r="A4865">
        <v>974847</v>
      </c>
      <c r="B4865">
        <v>4756105</v>
      </c>
      <c r="C4865" s="32">
        <v>43072.400185185186</v>
      </c>
    </row>
    <row r="4866" spans="1:3">
      <c r="A4866">
        <v>995684</v>
      </c>
      <c r="B4866">
        <v>2321836</v>
      </c>
      <c r="C4866" s="32">
        <v>43072.201365740744</v>
      </c>
    </row>
    <row r="4867" spans="1:3">
      <c r="A4867">
        <v>537707</v>
      </c>
      <c r="B4867">
        <v>1019260</v>
      </c>
      <c r="C4867" s="32">
        <v>43071.441840277781</v>
      </c>
    </row>
    <row r="4868" spans="1:3">
      <c r="A4868">
        <v>602366</v>
      </c>
      <c r="B4868">
        <v>796856</v>
      </c>
      <c r="C4868" s="32">
        <v>43072.574826388889</v>
      </c>
    </row>
    <row r="4869" spans="1:3">
      <c r="A4869">
        <v>20066</v>
      </c>
      <c r="B4869">
        <v>2735466</v>
      </c>
      <c r="C4869" s="32">
        <v>43070.539351851854</v>
      </c>
    </row>
    <row r="4870" spans="1:3">
      <c r="A4870">
        <v>250596</v>
      </c>
      <c r="B4870">
        <v>2558244</v>
      </c>
      <c r="C4870" s="32">
        <v>43072.520798611113</v>
      </c>
    </row>
    <row r="4871" spans="1:3">
      <c r="A4871">
        <v>77837</v>
      </c>
      <c r="B4871">
        <v>4756105</v>
      </c>
      <c r="C4871" s="32">
        <v>43070.503923611112</v>
      </c>
    </row>
    <row r="4872" spans="1:3">
      <c r="A4872">
        <v>278429</v>
      </c>
      <c r="B4872">
        <v>4069500</v>
      </c>
      <c r="C4872" s="32">
        <v>43070.114305555559</v>
      </c>
    </row>
    <row r="4873" spans="1:3">
      <c r="A4873">
        <v>55547</v>
      </c>
      <c r="B4873">
        <v>2735466</v>
      </c>
      <c r="C4873" s="32">
        <v>43070.534039351849</v>
      </c>
    </row>
    <row r="4874" spans="1:3">
      <c r="A4874">
        <v>150708</v>
      </c>
      <c r="B4874">
        <v>102272</v>
      </c>
      <c r="C4874" s="32">
        <v>43070.539699074077</v>
      </c>
    </row>
    <row r="4875" spans="1:3">
      <c r="A4875">
        <v>158339</v>
      </c>
      <c r="B4875">
        <v>983613</v>
      </c>
      <c r="C4875" s="32">
        <v>43071.216238425928</v>
      </c>
    </row>
    <row r="4876" spans="1:3">
      <c r="A4876">
        <v>460354</v>
      </c>
      <c r="B4876">
        <v>2558244</v>
      </c>
      <c r="C4876" s="32">
        <v>43069.961944444447</v>
      </c>
    </row>
    <row r="4877" spans="1:3">
      <c r="A4877">
        <v>543246</v>
      </c>
      <c r="B4877">
        <v>2640118</v>
      </c>
      <c r="C4877" s="32">
        <v>43072.439247685186</v>
      </c>
    </row>
    <row r="4878" spans="1:3">
      <c r="A4878">
        <v>809112</v>
      </c>
      <c r="B4878">
        <v>1789614</v>
      </c>
      <c r="C4878" s="32">
        <v>43071.464502314811</v>
      </c>
    </row>
    <row r="4879" spans="1:3">
      <c r="A4879">
        <v>591618</v>
      </c>
      <c r="B4879">
        <v>212449</v>
      </c>
      <c r="C4879" s="32">
        <v>43070.239479166667</v>
      </c>
    </row>
    <row r="4880" spans="1:3">
      <c r="A4880">
        <v>937504</v>
      </c>
      <c r="B4880">
        <v>4301450</v>
      </c>
      <c r="C4880" s="32">
        <v>43072.143518518518</v>
      </c>
    </row>
    <row r="4881" spans="1:3">
      <c r="A4881">
        <v>484632</v>
      </c>
      <c r="B4881">
        <v>2355072</v>
      </c>
      <c r="C4881" s="32">
        <v>43071.183206018519</v>
      </c>
    </row>
    <row r="4882" spans="1:3">
      <c r="A4882">
        <v>465953</v>
      </c>
      <c r="B4882">
        <v>4244487</v>
      </c>
      <c r="C4882" s="32">
        <v>43072.19258101852</v>
      </c>
    </row>
    <row r="4883" spans="1:3">
      <c r="A4883">
        <v>521911</v>
      </c>
      <c r="B4883">
        <v>3879308</v>
      </c>
      <c r="C4883" s="32">
        <v>43069.995358796295</v>
      </c>
    </row>
    <row r="4884" spans="1:3">
      <c r="A4884">
        <v>121324</v>
      </c>
      <c r="B4884">
        <v>4756105</v>
      </c>
      <c r="C4884" s="32">
        <v>43071.579409722224</v>
      </c>
    </row>
    <row r="4885" spans="1:3">
      <c r="A4885">
        <v>970629</v>
      </c>
      <c r="B4885">
        <v>4583884</v>
      </c>
      <c r="C4885" s="32">
        <v>43070.574166666665</v>
      </c>
    </row>
    <row r="4886" spans="1:3">
      <c r="A4886">
        <v>519764</v>
      </c>
      <c r="B4886">
        <v>3002561</v>
      </c>
      <c r="C4886" s="32">
        <v>43070.459618055553</v>
      </c>
    </row>
    <row r="4887" spans="1:3">
      <c r="A4887">
        <v>286945</v>
      </c>
      <c r="B4887">
        <v>3002561</v>
      </c>
      <c r="C4887" s="32">
        <v>43070.519328703704</v>
      </c>
    </row>
    <row r="4888" spans="1:3">
      <c r="A4888">
        <v>73832</v>
      </c>
      <c r="B4888">
        <v>5053508</v>
      </c>
      <c r="C4888" s="32">
        <v>43072.004016203704</v>
      </c>
    </row>
    <row r="4889" spans="1:3">
      <c r="A4889">
        <v>568734</v>
      </c>
      <c r="B4889">
        <v>4145813</v>
      </c>
      <c r="C4889" s="32">
        <v>43071.092453703706</v>
      </c>
    </row>
    <row r="4890" spans="1:3">
      <c r="A4890">
        <v>580364</v>
      </c>
      <c r="B4890">
        <v>4197505</v>
      </c>
      <c r="C4890" s="32">
        <v>43071.765752314815</v>
      </c>
    </row>
    <row r="4891" spans="1:3">
      <c r="A4891">
        <v>783951</v>
      </c>
      <c r="B4891">
        <v>982926</v>
      </c>
      <c r="C4891" s="32">
        <v>43071.597129629627</v>
      </c>
    </row>
    <row r="4892" spans="1:3">
      <c r="A4892">
        <v>341592</v>
      </c>
      <c r="B4892">
        <v>4789432</v>
      </c>
      <c r="C4892" s="32">
        <v>43071.578136574077</v>
      </c>
    </row>
    <row r="4893" spans="1:3">
      <c r="A4893">
        <v>283658</v>
      </c>
      <c r="B4893">
        <v>2304296</v>
      </c>
      <c r="C4893" s="32">
        <v>43071.422071759262</v>
      </c>
    </row>
    <row r="4894" spans="1:3">
      <c r="A4894">
        <v>947762</v>
      </c>
      <c r="B4894">
        <v>2520377</v>
      </c>
      <c r="C4894" s="32">
        <v>43070.034814814811</v>
      </c>
    </row>
    <row r="4895" spans="1:3">
      <c r="A4895">
        <v>654297</v>
      </c>
      <c r="B4895">
        <v>4583884</v>
      </c>
      <c r="C4895" s="32">
        <v>43070.481134259258</v>
      </c>
    </row>
    <row r="4896" spans="1:3">
      <c r="A4896">
        <v>728558</v>
      </c>
      <c r="B4896">
        <v>384755</v>
      </c>
      <c r="C4896" s="32">
        <v>43072.509930555556</v>
      </c>
    </row>
    <row r="4897" spans="1:3">
      <c r="A4897">
        <v>298634</v>
      </c>
      <c r="B4897">
        <v>570735</v>
      </c>
      <c r="C4897" s="32">
        <v>43070.575624999998</v>
      </c>
    </row>
    <row r="4898" spans="1:3">
      <c r="A4898">
        <v>494813</v>
      </c>
      <c r="B4898">
        <v>4801426</v>
      </c>
      <c r="C4898" s="32">
        <v>43070.28707175926</v>
      </c>
    </row>
    <row r="4899" spans="1:3">
      <c r="A4899">
        <v>870048</v>
      </c>
      <c r="B4899">
        <v>4357323</v>
      </c>
      <c r="C4899" s="32">
        <v>43072.600821759261</v>
      </c>
    </row>
    <row r="4900" spans="1:3">
      <c r="A4900">
        <v>586329</v>
      </c>
      <c r="B4900">
        <v>4022701</v>
      </c>
      <c r="C4900" s="32">
        <v>43071.497083333335</v>
      </c>
    </row>
    <row r="4901" spans="1:3">
      <c r="A4901">
        <v>914497</v>
      </c>
      <c r="B4901">
        <v>4145813</v>
      </c>
      <c r="C4901" s="32">
        <v>43071.417743055557</v>
      </c>
    </row>
    <row r="4902" spans="1:3">
      <c r="A4902">
        <v>897536</v>
      </c>
      <c r="B4902">
        <v>2794147</v>
      </c>
      <c r="C4902" s="32">
        <v>43071.620057870372</v>
      </c>
    </row>
    <row r="4903" spans="1:3">
      <c r="A4903">
        <v>48796</v>
      </c>
      <c r="B4903">
        <v>4606718</v>
      </c>
      <c r="C4903" s="32">
        <v>43071.665972222225</v>
      </c>
    </row>
    <row r="4904" spans="1:3">
      <c r="A4904">
        <v>880818</v>
      </c>
      <c r="B4904">
        <v>3776866</v>
      </c>
      <c r="C4904" s="32">
        <v>43070.463275462964</v>
      </c>
    </row>
    <row r="4905" spans="1:3">
      <c r="A4905">
        <v>33265</v>
      </c>
      <c r="B4905">
        <v>4338287</v>
      </c>
      <c r="C4905" s="32">
        <v>43069.934953703705</v>
      </c>
    </row>
    <row r="4906" spans="1:3">
      <c r="A4906">
        <v>808578</v>
      </c>
      <c r="B4906">
        <v>5071267</v>
      </c>
      <c r="C4906" s="32">
        <v>43072.592222222222</v>
      </c>
    </row>
    <row r="4907" spans="1:3">
      <c r="A4907">
        <v>81305</v>
      </c>
      <c r="B4907">
        <v>2520377</v>
      </c>
      <c r="C4907" s="32">
        <v>43072.641655092593</v>
      </c>
    </row>
    <row r="4908" spans="1:3">
      <c r="A4908">
        <v>511937</v>
      </c>
      <c r="B4908">
        <v>1379146</v>
      </c>
      <c r="C4908" s="32">
        <v>43072.083703703705</v>
      </c>
    </row>
    <row r="4909" spans="1:3">
      <c r="A4909">
        <v>769901</v>
      </c>
      <c r="B4909">
        <v>1834026</v>
      </c>
      <c r="C4909" s="32">
        <v>43072.367696759262</v>
      </c>
    </row>
    <row r="4910" spans="1:3">
      <c r="A4910">
        <v>538514</v>
      </c>
      <c r="B4910">
        <v>2994558</v>
      </c>
      <c r="C4910" s="32">
        <v>43071.14166666667</v>
      </c>
    </row>
    <row r="4911" spans="1:3">
      <c r="A4911">
        <v>551998</v>
      </c>
      <c r="B4911">
        <v>149192</v>
      </c>
      <c r="C4911" s="32">
        <v>43072.215682870374</v>
      </c>
    </row>
    <row r="4912" spans="1:3">
      <c r="A4912">
        <v>414637</v>
      </c>
      <c r="B4912">
        <v>767106</v>
      </c>
      <c r="C4912" s="32">
        <v>43072.226736111108</v>
      </c>
    </row>
    <row r="4913" spans="1:3">
      <c r="A4913">
        <v>103260</v>
      </c>
      <c r="B4913">
        <v>4308141</v>
      </c>
      <c r="C4913" s="32">
        <v>43071.568807870368</v>
      </c>
    </row>
    <row r="4914" spans="1:3">
      <c r="A4914">
        <v>427775</v>
      </c>
      <c r="B4914">
        <v>1464116</v>
      </c>
      <c r="C4914" s="32">
        <v>43070.41097222222</v>
      </c>
    </row>
    <row r="4915" spans="1:3">
      <c r="A4915">
        <v>678764</v>
      </c>
      <c r="B4915">
        <v>2520771</v>
      </c>
      <c r="C4915" s="32">
        <v>43072.068692129629</v>
      </c>
    </row>
    <row r="4916" spans="1:3">
      <c r="A4916">
        <v>881514</v>
      </c>
      <c r="B4916">
        <v>1805756</v>
      </c>
      <c r="C4916" s="32">
        <v>43072.046458333331</v>
      </c>
    </row>
    <row r="4917" spans="1:3">
      <c r="A4917">
        <v>116807</v>
      </c>
      <c r="B4917">
        <v>2854994</v>
      </c>
      <c r="C4917" s="32">
        <v>43072.516273148147</v>
      </c>
    </row>
    <row r="4918" spans="1:3">
      <c r="A4918">
        <v>205437</v>
      </c>
      <c r="B4918">
        <v>2640118</v>
      </c>
      <c r="C4918" s="32">
        <v>43072.596990740742</v>
      </c>
    </row>
    <row r="4919" spans="1:3">
      <c r="A4919">
        <v>498219</v>
      </c>
      <c r="B4919">
        <v>2272151</v>
      </c>
      <c r="C4919" s="32">
        <v>43071.559675925928</v>
      </c>
    </row>
    <row r="4920" spans="1:3">
      <c r="A4920">
        <v>561751</v>
      </c>
      <c r="B4920">
        <v>2858794</v>
      </c>
      <c r="C4920" s="32">
        <v>43070.157268518517</v>
      </c>
    </row>
    <row r="4921" spans="1:3">
      <c r="A4921">
        <v>259638</v>
      </c>
      <c r="B4921">
        <v>3080141</v>
      </c>
      <c r="C4921" s="32">
        <v>43071.563159722224</v>
      </c>
    </row>
    <row r="4922" spans="1:3">
      <c r="A4922">
        <v>284997</v>
      </c>
      <c r="B4922">
        <v>3253210</v>
      </c>
      <c r="C4922" s="32">
        <v>43071.602546296293</v>
      </c>
    </row>
    <row r="4923" spans="1:3">
      <c r="A4923">
        <v>154656</v>
      </c>
      <c r="B4923">
        <v>2462567</v>
      </c>
      <c r="C4923" s="32">
        <v>43070.316354166665</v>
      </c>
    </row>
    <row r="4924" spans="1:3">
      <c r="A4924">
        <v>650961</v>
      </c>
      <c r="B4924">
        <v>1320293</v>
      </c>
      <c r="C4924" s="32">
        <v>43069.875567129631</v>
      </c>
    </row>
    <row r="4925" spans="1:3">
      <c r="A4925">
        <v>868601</v>
      </c>
      <c r="B4925">
        <v>4758477</v>
      </c>
      <c r="C4925" s="32">
        <v>43072.209062499998</v>
      </c>
    </row>
    <row r="4926" spans="1:3">
      <c r="A4926">
        <v>732074</v>
      </c>
      <c r="B4926">
        <v>3747017</v>
      </c>
      <c r="C4926" s="32">
        <v>43071.609722222223</v>
      </c>
    </row>
    <row r="4927" spans="1:3">
      <c r="A4927">
        <v>461853</v>
      </c>
      <c r="B4927">
        <v>982926</v>
      </c>
      <c r="C4927" s="32">
        <v>43069.933055555557</v>
      </c>
    </row>
    <row r="4928" spans="1:3">
      <c r="A4928">
        <v>277820</v>
      </c>
      <c r="B4928">
        <v>5063923</v>
      </c>
      <c r="C4928" s="32">
        <v>43070.293043981481</v>
      </c>
    </row>
    <row r="4929" spans="1:3">
      <c r="A4929">
        <v>690971</v>
      </c>
      <c r="B4929">
        <v>2920476</v>
      </c>
      <c r="C4929" s="32">
        <v>43072.382418981484</v>
      </c>
    </row>
    <row r="4930" spans="1:3">
      <c r="A4930">
        <v>772178</v>
      </c>
      <c r="B4930">
        <v>3669044</v>
      </c>
      <c r="C4930" s="32">
        <v>43070.532754629632</v>
      </c>
    </row>
    <row r="4931" spans="1:3">
      <c r="A4931">
        <v>689912</v>
      </c>
      <c r="B4931">
        <v>941949</v>
      </c>
      <c r="C4931" s="32">
        <v>43071.032476851855</v>
      </c>
    </row>
    <row r="4932" spans="1:3">
      <c r="A4932">
        <v>831651</v>
      </c>
      <c r="B4932">
        <v>3738615</v>
      </c>
      <c r="C4932" s="32">
        <v>43070.580949074072</v>
      </c>
    </row>
    <row r="4933" spans="1:3">
      <c r="A4933">
        <v>179602</v>
      </c>
      <c r="B4933">
        <v>200278</v>
      </c>
      <c r="C4933" s="32">
        <v>43070.553946759261</v>
      </c>
    </row>
    <row r="4934" spans="1:3">
      <c r="A4934">
        <v>498424</v>
      </c>
      <c r="B4934">
        <v>4756105</v>
      </c>
      <c r="C4934" s="32">
        <v>43071.51017361111</v>
      </c>
    </row>
    <row r="4935" spans="1:3">
      <c r="A4935">
        <v>593627</v>
      </c>
      <c r="B4935">
        <v>3607361</v>
      </c>
      <c r="C4935" s="32">
        <v>43071.579756944448</v>
      </c>
    </row>
    <row r="4936" spans="1:3">
      <c r="A4936">
        <v>172339</v>
      </c>
      <c r="B4936">
        <v>5060750</v>
      </c>
      <c r="C4936" s="32">
        <v>43072.541504629633</v>
      </c>
    </row>
    <row r="4937" spans="1:3">
      <c r="A4937">
        <v>300873</v>
      </c>
      <c r="B4937">
        <v>2520377</v>
      </c>
      <c r="C4937" s="32">
        <v>43070.752534722225</v>
      </c>
    </row>
    <row r="4938" spans="1:3">
      <c r="A4938">
        <v>944578</v>
      </c>
      <c r="B4938">
        <v>2794147</v>
      </c>
      <c r="C4938" s="32">
        <v>43071.469548611109</v>
      </c>
    </row>
    <row r="4939" spans="1:3">
      <c r="A4939">
        <v>1007534</v>
      </c>
      <c r="B4939">
        <v>4145813</v>
      </c>
      <c r="C4939" s="32">
        <v>43072.377662037034</v>
      </c>
    </row>
    <row r="4940" spans="1:3">
      <c r="A4940">
        <v>360768</v>
      </c>
      <c r="B4940">
        <v>5071267</v>
      </c>
      <c r="C4940" s="32">
        <v>43072.278981481482</v>
      </c>
    </row>
    <row r="4941" spans="1:3">
      <c r="A4941">
        <v>173394</v>
      </c>
      <c r="B4941">
        <v>2982027</v>
      </c>
      <c r="C4941" s="32">
        <v>43072.128449074073</v>
      </c>
    </row>
    <row r="4942" spans="1:3">
      <c r="A4942">
        <v>206525</v>
      </c>
      <c r="B4942">
        <v>2920476</v>
      </c>
      <c r="C4942" s="32">
        <v>43071.507986111108</v>
      </c>
    </row>
    <row r="4943" spans="1:3">
      <c r="A4943">
        <v>208074</v>
      </c>
      <c r="B4943">
        <v>2311290</v>
      </c>
      <c r="C4943" s="32">
        <v>43071.476412037038</v>
      </c>
    </row>
    <row r="4944" spans="1:3">
      <c r="A4944">
        <v>955647</v>
      </c>
      <c r="B4944">
        <v>1320293</v>
      </c>
      <c r="C4944" s="32">
        <v>43072.29314814815</v>
      </c>
    </row>
    <row r="4945" spans="1:3">
      <c r="A4945">
        <v>125009</v>
      </c>
      <c r="B4945">
        <v>2465336</v>
      </c>
      <c r="C4945" s="32">
        <v>43072.316006944442</v>
      </c>
    </row>
    <row r="4946" spans="1:3">
      <c r="A4946">
        <v>309290</v>
      </c>
      <c r="B4946">
        <v>4756105</v>
      </c>
      <c r="C4946" s="32">
        <v>43070.497800925928</v>
      </c>
    </row>
    <row r="4947" spans="1:3">
      <c r="A4947">
        <v>390966</v>
      </c>
      <c r="B4947">
        <v>2629787</v>
      </c>
      <c r="C4947" s="32">
        <v>43071.522569444445</v>
      </c>
    </row>
    <row r="4948" spans="1:3">
      <c r="A4948">
        <v>286945</v>
      </c>
      <c r="B4948">
        <v>4145813</v>
      </c>
      <c r="C4948" s="32">
        <v>43070.344247685185</v>
      </c>
    </row>
    <row r="4949" spans="1:3">
      <c r="A4949">
        <v>309734</v>
      </c>
      <c r="B4949">
        <v>1464116</v>
      </c>
      <c r="C4949" s="32">
        <v>43070.66207175926</v>
      </c>
    </row>
    <row r="4950" spans="1:3">
      <c r="A4950">
        <v>324237</v>
      </c>
      <c r="B4950">
        <v>3607361</v>
      </c>
      <c r="C4950" s="32">
        <v>43072.365543981483</v>
      </c>
    </row>
    <row r="4951" spans="1:3">
      <c r="A4951">
        <v>392329</v>
      </c>
      <c r="B4951">
        <v>2355072</v>
      </c>
      <c r="C4951" s="32">
        <v>43071.665335648147</v>
      </c>
    </row>
    <row r="4952" spans="1:3">
      <c r="A4952">
        <v>739638</v>
      </c>
      <c r="B4952">
        <v>4589142</v>
      </c>
      <c r="C4952" s="32">
        <v>43071.270509259259</v>
      </c>
    </row>
    <row r="4953" spans="1:3">
      <c r="A4953">
        <v>876493</v>
      </c>
      <c r="B4953">
        <v>1528133</v>
      </c>
      <c r="C4953" s="32">
        <v>43071.487453703703</v>
      </c>
    </row>
    <row r="4954" spans="1:3">
      <c r="A4954">
        <v>485415</v>
      </c>
      <c r="B4954">
        <v>2465336</v>
      </c>
      <c r="C4954" s="32">
        <v>43070.303252314814</v>
      </c>
    </row>
    <row r="4955" spans="1:3">
      <c r="A4955">
        <v>141181</v>
      </c>
      <c r="B4955">
        <v>4708262</v>
      </c>
      <c r="C4955" s="32">
        <v>43071.627905092595</v>
      </c>
    </row>
    <row r="4956" spans="1:3">
      <c r="A4956">
        <v>451006</v>
      </c>
      <c r="B4956">
        <v>982926</v>
      </c>
      <c r="C4956" s="32">
        <v>43071.916134259256</v>
      </c>
    </row>
    <row r="4957" spans="1:3">
      <c r="A4957">
        <v>847345</v>
      </c>
      <c r="B4957">
        <v>1787510</v>
      </c>
      <c r="C4957" s="32">
        <v>43071.719872685186</v>
      </c>
    </row>
    <row r="4958" spans="1:3">
      <c r="A4958">
        <v>921251</v>
      </c>
      <c r="B4958">
        <v>3394581</v>
      </c>
      <c r="C4958" s="32">
        <v>43072.621168981481</v>
      </c>
    </row>
    <row r="4959" spans="1:3">
      <c r="A4959">
        <v>18168</v>
      </c>
      <c r="B4959">
        <v>4672807</v>
      </c>
      <c r="C4959" s="32">
        <v>43071.44803240741</v>
      </c>
    </row>
    <row r="4960" spans="1:3">
      <c r="A4960">
        <v>440256</v>
      </c>
      <c r="B4960">
        <v>2465336</v>
      </c>
      <c r="C4960" s="32">
        <v>43072.386874999997</v>
      </c>
    </row>
    <row r="4961" spans="1:3">
      <c r="A4961">
        <v>572875</v>
      </c>
      <c r="B4961">
        <v>838946</v>
      </c>
      <c r="C4961" s="32">
        <v>43071.519849537035</v>
      </c>
    </row>
    <row r="4962" spans="1:3">
      <c r="A4962">
        <v>740934</v>
      </c>
      <c r="B4962">
        <v>5068419</v>
      </c>
      <c r="C4962" s="32">
        <v>43072.377523148149</v>
      </c>
    </row>
    <row r="4963" spans="1:3">
      <c r="A4963">
        <v>867421</v>
      </c>
      <c r="B4963">
        <v>4915680</v>
      </c>
      <c r="C4963" s="32">
        <v>43072.632789351854</v>
      </c>
    </row>
    <row r="4964" spans="1:3">
      <c r="A4964">
        <v>209371</v>
      </c>
      <c r="B4964">
        <v>4357323</v>
      </c>
      <c r="C4964" s="32">
        <v>43069.787708333337</v>
      </c>
    </row>
    <row r="4965" spans="1:3">
      <c r="A4965">
        <v>513778</v>
      </c>
      <c r="B4965">
        <v>3738615</v>
      </c>
      <c r="C4965" s="32">
        <v>43070.007152777776</v>
      </c>
    </row>
    <row r="4966" spans="1:3">
      <c r="A4966">
        <v>624447</v>
      </c>
      <c r="B4966">
        <v>982926</v>
      </c>
      <c r="C4966" s="32">
        <v>43072.54928240741</v>
      </c>
    </row>
    <row r="4967" spans="1:3">
      <c r="A4967">
        <v>846291</v>
      </c>
      <c r="B4967">
        <v>3738615</v>
      </c>
      <c r="C4967" s="32">
        <v>43070.555196759262</v>
      </c>
    </row>
    <row r="4968" spans="1:3">
      <c r="A4968">
        <v>654147</v>
      </c>
      <c r="B4968">
        <v>2520771</v>
      </c>
      <c r="C4968" s="32">
        <v>43071.362407407411</v>
      </c>
    </row>
    <row r="4969" spans="1:3">
      <c r="A4969">
        <v>932790</v>
      </c>
      <c r="B4969">
        <v>4181361</v>
      </c>
      <c r="C4969" s="32">
        <v>43070.597662037035</v>
      </c>
    </row>
    <row r="4970" spans="1:3">
      <c r="A4970">
        <v>16531</v>
      </c>
      <c r="B4970">
        <v>2520771</v>
      </c>
      <c r="C4970" s="32">
        <v>43071.530636574076</v>
      </c>
    </row>
    <row r="4971" spans="1:3">
      <c r="A4971">
        <v>101560</v>
      </c>
      <c r="B4971">
        <v>3607361</v>
      </c>
      <c r="C4971" s="32">
        <v>43070.123749999999</v>
      </c>
    </row>
    <row r="4972" spans="1:3">
      <c r="A4972">
        <v>333429</v>
      </c>
      <c r="B4972">
        <v>411153</v>
      </c>
      <c r="C4972" s="32">
        <v>43071.617673611108</v>
      </c>
    </row>
    <row r="4973" spans="1:3">
      <c r="A4973">
        <v>827585</v>
      </c>
      <c r="B4973">
        <v>3607361</v>
      </c>
      <c r="C4973" s="32">
        <v>43072.475972222222</v>
      </c>
    </row>
    <row r="4974" spans="1:3">
      <c r="A4974">
        <v>518311</v>
      </c>
      <c r="B4974">
        <v>3776866</v>
      </c>
      <c r="C4974" s="32">
        <v>43072.151446759257</v>
      </c>
    </row>
    <row r="4975" spans="1:3">
      <c r="A4975">
        <v>360225</v>
      </c>
      <c r="B4975">
        <v>3277224</v>
      </c>
      <c r="C4975" s="32">
        <v>43071.644386574073</v>
      </c>
    </row>
    <row r="4976" spans="1:3">
      <c r="A4976">
        <v>125534</v>
      </c>
      <c r="B4976">
        <v>2355072</v>
      </c>
      <c r="C4976" s="32">
        <v>43071.503148148149</v>
      </c>
    </row>
    <row r="4977" spans="1:3">
      <c r="A4977">
        <v>651892</v>
      </c>
      <c r="B4977">
        <v>2194744</v>
      </c>
      <c r="C4977" s="32">
        <v>43070.662928240738</v>
      </c>
    </row>
    <row r="4978" spans="1:3">
      <c r="A4978">
        <v>726687</v>
      </c>
      <c r="B4978">
        <v>1320293</v>
      </c>
      <c r="C4978" s="32">
        <v>43070.333784722221</v>
      </c>
    </row>
    <row r="4979" spans="1:3">
      <c r="A4979">
        <v>872237</v>
      </c>
      <c r="B4979">
        <v>4874384</v>
      </c>
      <c r="C4979" s="32">
        <v>43071.158101851855</v>
      </c>
    </row>
    <row r="4980" spans="1:3">
      <c r="A4980">
        <v>380901</v>
      </c>
      <c r="B4980">
        <v>448398</v>
      </c>
      <c r="C4980" s="32">
        <v>43072.167280092595</v>
      </c>
    </row>
    <row r="4981" spans="1:3">
      <c r="A4981">
        <v>472557</v>
      </c>
      <c r="B4981">
        <v>2939262</v>
      </c>
      <c r="C4981" s="32">
        <v>43071.497986111113</v>
      </c>
    </row>
    <row r="4982" spans="1:3">
      <c r="A4982">
        <v>421825</v>
      </c>
      <c r="B4982">
        <v>1343413</v>
      </c>
      <c r="C4982" s="32">
        <v>43071.14770833333</v>
      </c>
    </row>
    <row r="4983" spans="1:3">
      <c r="A4983">
        <v>712554</v>
      </c>
      <c r="B4983">
        <v>982926</v>
      </c>
      <c r="C4983" s="32">
        <v>43070.94253472222</v>
      </c>
    </row>
    <row r="4984" spans="1:3">
      <c r="A4984">
        <v>661855</v>
      </c>
      <c r="B4984">
        <v>3228699</v>
      </c>
      <c r="C4984" s="32">
        <v>43070.08216435185</v>
      </c>
    </row>
    <row r="4985" spans="1:3">
      <c r="A4985">
        <v>613282</v>
      </c>
      <c r="B4985">
        <v>4181361</v>
      </c>
      <c r="C4985" s="32">
        <v>43072.528020833335</v>
      </c>
    </row>
    <row r="4986" spans="1:3">
      <c r="A4986">
        <v>208047</v>
      </c>
      <c r="B4986">
        <v>2920476</v>
      </c>
      <c r="C4986" s="32">
        <v>43072.518877314818</v>
      </c>
    </row>
    <row r="4987" spans="1:3">
      <c r="A4987">
        <v>786461</v>
      </c>
      <c r="B4987">
        <v>3253357</v>
      </c>
      <c r="C4987" s="32">
        <v>43071.533078703702</v>
      </c>
    </row>
    <row r="4988" spans="1:3">
      <c r="A4988">
        <v>661657</v>
      </c>
      <c r="B4988">
        <v>200278</v>
      </c>
      <c r="C4988" s="32">
        <v>43070.310312499998</v>
      </c>
    </row>
    <row r="4989" spans="1:3">
      <c r="A4989">
        <v>690916</v>
      </c>
      <c r="B4989">
        <v>4919077</v>
      </c>
      <c r="C4989" s="32">
        <v>43072.640370370369</v>
      </c>
    </row>
    <row r="4990" spans="1:3">
      <c r="A4990">
        <v>446394</v>
      </c>
      <c r="B4990">
        <v>4983053</v>
      </c>
      <c r="C4990" s="32">
        <v>43072.007048611114</v>
      </c>
    </row>
    <row r="4991" spans="1:3">
      <c r="A4991">
        <v>565308</v>
      </c>
      <c r="B4991">
        <v>4756105</v>
      </c>
      <c r="C4991" s="32">
        <v>43070.4528587963</v>
      </c>
    </row>
    <row r="4992" spans="1:3">
      <c r="A4992">
        <v>503977</v>
      </c>
      <c r="B4992">
        <v>102272</v>
      </c>
      <c r="C4992" s="32">
        <v>43070.598460648151</v>
      </c>
    </row>
    <row r="4993" spans="1:3">
      <c r="A4993">
        <v>672752</v>
      </c>
      <c r="B4993">
        <v>2096639</v>
      </c>
      <c r="C4993" s="32">
        <v>43071.391238425924</v>
      </c>
    </row>
    <row r="4994" spans="1:3">
      <c r="A4994">
        <v>702238</v>
      </c>
      <c r="B4994">
        <v>1320293</v>
      </c>
      <c r="C4994" s="32">
        <v>43070.58016203704</v>
      </c>
    </row>
    <row r="4995" spans="1:3">
      <c r="A4995">
        <v>987023</v>
      </c>
      <c r="B4995">
        <v>4069500</v>
      </c>
      <c r="C4995" s="32">
        <v>43070.632743055554</v>
      </c>
    </row>
    <row r="4996" spans="1:3">
      <c r="A4996">
        <v>797859</v>
      </c>
      <c r="B4996">
        <v>2578647</v>
      </c>
      <c r="C4996" s="32">
        <v>43070.13548611111</v>
      </c>
    </row>
    <row r="4997" spans="1:3">
      <c r="A4997">
        <v>366621</v>
      </c>
      <c r="B4997">
        <v>4244487</v>
      </c>
      <c r="C4997" s="32">
        <v>43072.276018518518</v>
      </c>
    </row>
    <row r="4998" spans="1:3">
      <c r="A4998">
        <v>353712</v>
      </c>
      <c r="B4998">
        <v>3607361</v>
      </c>
      <c r="C4998" s="32">
        <v>43071.61645833333</v>
      </c>
    </row>
    <row r="4999" spans="1:3">
      <c r="A4999">
        <v>559879</v>
      </c>
      <c r="B4999">
        <v>982926</v>
      </c>
      <c r="C4999" s="32">
        <v>43071.660092592596</v>
      </c>
    </row>
    <row r="5000" spans="1:3">
      <c r="A5000">
        <v>136154</v>
      </c>
      <c r="B5000">
        <v>1207887</v>
      </c>
      <c r="C5000" s="32">
        <v>43072.638391203705</v>
      </c>
    </row>
    <row r="5001" spans="1:3">
      <c r="A5001">
        <v>773023</v>
      </c>
      <c r="B5001">
        <v>2131531</v>
      </c>
      <c r="C5001" s="32">
        <v>43071.560567129629</v>
      </c>
    </row>
    <row r="5002" spans="1:3">
      <c r="A5002">
        <v>338553</v>
      </c>
      <c r="B5002">
        <v>149192</v>
      </c>
      <c r="C5002" s="32">
        <v>43072.138240740744</v>
      </c>
    </row>
    <row r="5003" spans="1:3">
      <c r="A5003">
        <v>417251</v>
      </c>
      <c r="B5003">
        <v>5063620</v>
      </c>
      <c r="C5003" s="32">
        <v>43071.423587962963</v>
      </c>
    </row>
    <row r="5004" spans="1:3">
      <c r="A5004">
        <v>151584</v>
      </c>
      <c r="B5004">
        <v>1020087</v>
      </c>
      <c r="C5004" s="32">
        <v>43070.104039351849</v>
      </c>
    </row>
    <row r="5005" spans="1:3">
      <c r="A5005">
        <v>147546</v>
      </c>
      <c r="B5005">
        <v>149192</v>
      </c>
      <c r="C5005" s="32">
        <v>43072.657905092594</v>
      </c>
    </row>
    <row r="5006" spans="1:3">
      <c r="A5006">
        <v>92250</v>
      </c>
      <c r="B5006">
        <v>3147903</v>
      </c>
      <c r="C5006" s="32">
        <v>43071.717442129629</v>
      </c>
    </row>
    <row r="5007" spans="1:3">
      <c r="A5007">
        <v>662055</v>
      </c>
      <c r="B5007">
        <v>1320530</v>
      </c>
      <c r="C5007" s="32">
        <v>43072.370810185188</v>
      </c>
    </row>
    <row r="5008" spans="1:3">
      <c r="A5008">
        <v>672723</v>
      </c>
      <c r="B5008">
        <v>2296439</v>
      </c>
      <c r="C5008" s="32">
        <v>43070.158587962964</v>
      </c>
    </row>
    <row r="5009" spans="1:3">
      <c r="A5009">
        <v>1015353</v>
      </c>
      <c r="B5009">
        <v>1859277</v>
      </c>
      <c r="C5009" s="32">
        <v>43070.38077546296</v>
      </c>
    </row>
    <row r="5010" spans="1:3">
      <c r="A5010">
        <v>1873</v>
      </c>
      <c r="B5010">
        <v>4801426</v>
      </c>
      <c r="C5010" s="32">
        <v>43071.142164351855</v>
      </c>
    </row>
    <row r="5011" spans="1:3">
      <c r="A5011">
        <v>335345</v>
      </c>
      <c r="B5011">
        <v>883960</v>
      </c>
      <c r="C5011" s="32">
        <v>43071.241666666669</v>
      </c>
    </row>
    <row r="5012" spans="1:3">
      <c r="A5012">
        <v>491817</v>
      </c>
      <c r="B5012">
        <v>4558987</v>
      </c>
      <c r="C5012" s="32">
        <v>43070.544039351851</v>
      </c>
    </row>
    <row r="5013" spans="1:3">
      <c r="A5013">
        <v>474868</v>
      </c>
      <c r="B5013">
        <v>2920476</v>
      </c>
      <c r="C5013" s="32">
        <v>43070.038668981484</v>
      </c>
    </row>
    <row r="5014" spans="1:3">
      <c r="A5014">
        <v>929239</v>
      </c>
      <c r="B5014">
        <v>3570834</v>
      </c>
      <c r="C5014" s="32">
        <v>43071.632615740738</v>
      </c>
    </row>
    <row r="5015" spans="1:3">
      <c r="A5015">
        <v>505750</v>
      </c>
      <c r="B5015">
        <v>1787510</v>
      </c>
      <c r="C5015" s="32">
        <v>43072.207118055558</v>
      </c>
    </row>
    <row r="5016" spans="1:3">
      <c r="A5016">
        <v>776255</v>
      </c>
      <c r="B5016">
        <v>3715529</v>
      </c>
      <c r="C5016" s="32">
        <v>43071.497002314813</v>
      </c>
    </row>
    <row r="5017" spans="1:3">
      <c r="A5017">
        <v>273220</v>
      </c>
      <c r="B5017">
        <v>1320293</v>
      </c>
      <c r="C5017" s="32">
        <v>43071.68922453704</v>
      </c>
    </row>
    <row r="5018" spans="1:3">
      <c r="A5018">
        <v>184207</v>
      </c>
      <c r="B5018">
        <v>801221</v>
      </c>
      <c r="C5018" s="32">
        <v>43072.31894675926</v>
      </c>
    </row>
    <row r="5019" spans="1:3">
      <c r="A5019">
        <v>219267</v>
      </c>
      <c r="B5019">
        <v>4145813</v>
      </c>
      <c r="C5019" s="32">
        <v>43070.731886574074</v>
      </c>
    </row>
    <row r="5020" spans="1:3">
      <c r="A5020">
        <v>875892</v>
      </c>
      <c r="B5020">
        <v>4310023</v>
      </c>
      <c r="C5020" s="32">
        <v>43072.492303240739</v>
      </c>
    </row>
    <row r="5021" spans="1:3">
      <c r="A5021">
        <v>959285</v>
      </c>
      <c r="B5021">
        <v>3607361</v>
      </c>
      <c r="C5021" s="32">
        <v>43072.559918981482</v>
      </c>
    </row>
    <row r="5022" spans="1:3">
      <c r="A5022">
        <v>78959</v>
      </c>
      <c r="B5022">
        <v>982926</v>
      </c>
      <c r="C5022" s="32">
        <v>43070.532326388886</v>
      </c>
    </row>
    <row r="5023" spans="1:3">
      <c r="A5023">
        <v>83138</v>
      </c>
      <c r="B5023">
        <v>1464116</v>
      </c>
      <c r="C5023" s="32">
        <v>43071.612511574072</v>
      </c>
    </row>
    <row r="5024" spans="1:3">
      <c r="A5024">
        <v>621554</v>
      </c>
      <c r="B5024">
        <v>3457718</v>
      </c>
      <c r="C5024" s="32">
        <v>43070.464212962965</v>
      </c>
    </row>
    <row r="5025" spans="1:3">
      <c r="A5025">
        <v>689158</v>
      </c>
      <c r="B5025">
        <v>1320293</v>
      </c>
      <c r="C5025" s="32">
        <v>43070.436053240737</v>
      </c>
    </row>
    <row r="5026" spans="1:3">
      <c r="A5026">
        <v>413435</v>
      </c>
      <c r="B5026">
        <v>1834026</v>
      </c>
      <c r="C5026" s="32">
        <v>43070.224548611113</v>
      </c>
    </row>
    <row r="5027" spans="1:3">
      <c r="A5027">
        <v>439045</v>
      </c>
      <c r="B5027">
        <v>133377</v>
      </c>
      <c r="C5027" s="32">
        <v>43072.405115740738</v>
      </c>
    </row>
    <row r="5028" spans="1:3">
      <c r="A5028">
        <v>336755</v>
      </c>
      <c r="B5028">
        <v>1595193</v>
      </c>
      <c r="C5028" s="32">
        <v>43071.652465277781</v>
      </c>
    </row>
    <row r="5029" spans="1:3">
      <c r="A5029">
        <v>971379</v>
      </c>
      <c r="B5029">
        <v>64179</v>
      </c>
      <c r="C5029" s="32">
        <v>43071.323692129627</v>
      </c>
    </row>
    <row r="5030" spans="1:3">
      <c r="A5030">
        <v>561557</v>
      </c>
      <c r="B5030">
        <v>2920476</v>
      </c>
      <c r="C5030" s="32">
        <v>43071.734155092592</v>
      </c>
    </row>
    <row r="5031" spans="1:3">
      <c r="A5031">
        <v>182424</v>
      </c>
      <c r="B5031">
        <v>4357323</v>
      </c>
      <c r="C5031" s="32">
        <v>43071.512604166666</v>
      </c>
    </row>
    <row r="5032" spans="1:3">
      <c r="A5032">
        <v>837732</v>
      </c>
      <c r="B5032">
        <v>2949136</v>
      </c>
      <c r="C5032" s="32">
        <v>43072.263981481483</v>
      </c>
    </row>
    <row r="5033" spans="1:3">
      <c r="A5033">
        <v>623254</v>
      </c>
      <c r="B5033">
        <v>1922644</v>
      </c>
      <c r="C5033" s="32">
        <v>43072.559675925928</v>
      </c>
    </row>
    <row r="5034" spans="1:3">
      <c r="A5034">
        <v>17544</v>
      </c>
      <c r="B5034">
        <v>1729993</v>
      </c>
      <c r="C5034" s="32">
        <v>43072.595914351848</v>
      </c>
    </row>
    <row r="5035" spans="1:3">
      <c r="A5035">
        <v>107585</v>
      </c>
      <c r="B5035">
        <v>4750127</v>
      </c>
      <c r="C5035" s="32">
        <v>43071.601030092592</v>
      </c>
    </row>
    <row r="5036" spans="1:3">
      <c r="A5036">
        <v>670922</v>
      </c>
      <c r="B5036">
        <v>996449</v>
      </c>
      <c r="C5036" s="32">
        <v>43069.967962962961</v>
      </c>
    </row>
    <row r="5037" spans="1:3">
      <c r="A5037">
        <v>158267</v>
      </c>
      <c r="B5037">
        <v>2640118</v>
      </c>
      <c r="C5037" s="32">
        <v>43072.647048611114</v>
      </c>
    </row>
    <row r="5038" spans="1:3">
      <c r="A5038">
        <v>90075</v>
      </c>
      <c r="B5038">
        <v>149192</v>
      </c>
      <c r="C5038" s="32">
        <v>43071.697893518518</v>
      </c>
    </row>
    <row r="5039" spans="1:3">
      <c r="A5039">
        <v>209690</v>
      </c>
      <c r="B5039">
        <v>4145813</v>
      </c>
      <c r="C5039" s="32">
        <v>43070.504444444443</v>
      </c>
    </row>
    <row r="5040" spans="1:3">
      <c r="A5040">
        <v>86124</v>
      </c>
      <c r="B5040">
        <v>4003886</v>
      </c>
      <c r="C5040" s="32">
        <v>43070.592615740738</v>
      </c>
    </row>
    <row r="5041" spans="1:3">
      <c r="A5041">
        <v>703238</v>
      </c>
      <c r="B5041">
        <v>1464116</v>
      </c>
      <c r="C5041" s="32">
        <v>43070.531006944446</v>
      </c>
    </row>
    <row r="5042" spans="1:3">
      <c r="A5042">
        <v>885085</v>
      </c>
      <c r="B5042">
        <v>901282</v>
      </c>
      <c r="C5042" s="32">
        <v>43072.492465277777</v>
      </c>
    </row>
    <row r="5043" spans="1:3">
      <c r="A5043">
        <v>780873</v>
      </c>
      <c r="B5043">
        <v>965809</v>
      </c>
      <c r="C5043" s="32">
        <v>43071.302222222221</v>
      </c>
    </row>
    <row r="5044" spans="1:3">
      <c r="A5044">
        <v>605979</v>
      </c>
      <c r="B5044">
        <v>3371868</v>
      </c>
      <c r="C5044" s="32">
        <v>43072.482291666667</v>
      </c>
    </row>
    <row r="5045" spans="1:3">
      <c r="A5045">
        <v>56678</v>
      </c>
      <c r="B5045">
        <v>4357323</v>
      </c>
      <c r="C5045" s="32">
        <v>43070.347453703704</v>
      </c>
    </row>
    <row r="5046" spans="1:3">
      <c r="A5046">
        <v>299475</v>
      </c>
      <c r="B5046">
        <v>800581</v>
      </c>
      <c r="C5046" s="32">
        <v>43071.555983796294</v>
      </c>
    </row>
    <row r="5047" spans="1:3">
      <c r="A5047">
        <v>46856</v>
      </c>
      <c r="B5047">
        <v>982926</v>
      </c>
      <c r="C5047" s="32">
        <v>43071.171458333331</v>
      </c>
    </row>
    <row r="5048" spans="1:3">
      <c r="A5048">
        <v>313915</v>
      </c>
      <c r="B5048">
        <v>1050007</v>
      </c>
      <c r="C5048" s="32">
        <v>43072.259652777779</v>
      </c>
    </row>
    <row r="5049" spans="1:3">
      <c r="A5049">
        <v>35305</v>
      </c>
      <c r="B5049">
        <v>3132593</v>
      </c>
      <c r="C5049" s="32">
        <v>43070.613182870373</v>
      </c>
    </row>
    <row r="5050" spans="1:3">
      <c r="A5050">
        <v>809885</v>
      </c>
      <c r="B5050">
        <v>3312150</v>
      </c>
      <c r="C5050" s="32">
        <v>43070.550844907404</v>
      </c>
    </row>
    <row r="5051" spans="1:3">
      <c r="A5051">
        <v>300232</v>
      </c>
      <c r="B5051">
        <v>3607361</v>
      </c>
      <c r="C5051" s="32">
        <v>43071.138692129629</v>
      </c>
    </row>
    <row r="5052" spans="1:3">
      <c r="A5052">
        <v>555823</v>
      </c>
      <c r="B5052">
        <v>4801426</v>
      </c>
      <c r="C5052" s="32">
        <v>43071.4762962963</v>
      </c>
    </row>
    <row r="5053" spans="1:3">
      <c r="A5053">
        <v>969136</v>
      </c>
      <c r="B5053">
        <v>2355072</v>
      </c>
      <c r="C5053" s="32">
        <v>43071.984259259261</v>
      </c>
    </row>
    <row r="5054" spans="1:3">
      <c r="A5054">
        <v>517267</v>
      </c>
      <c r="B5054">
        <v>1787510</v>
      </c>
      <c r="C5054" s="32">
        <v>43070.368356481478</v>
      </c>
    </row>
    <row r="5055" spans="1:3">
      <c r="A5055">
        <v>513215</v>
      </c>
      <c r="B5055">
        <v>267209</v>
      </c>
      <c r="C5055" s="32">
        <v>43072.455266203702</v>
      </c>
    </row>
    <row r="5056" spans="1:3">
      <c r="A5056">
        <v>732681</v>
      </c>
      <c r="B5056">
        <v>3624696</v>
      </c>
      <c r="C5056" s="32">
        <v>43069.708923611113</v>
      </c>
    </row>
    <row r="5057" spans="1:3">
      <c r="A5057">
        <v>513824</v>
      </c>
      <c r="B5057">
        <v>4756105</v>
      </c>
      <c r="C5057" s="32">
        <v>43071.386932870373</v>
      </c>
    </row>
    <row r="5058" spans="1:3">
      <c r="A5058">
        <v>425089</v>
      </c>
      <c r="B5058">
        <v>2181935</v>
      </c>
      <c r="C5058" s="32">
        <v>43072.358460648145</v>
      </c>
    </row>
    <row r="5059" spans="1:3">
      <c r="A5059">
        <v>995829</v>
      </c>
      <c r="B5059">
        <v>4801426</v>
      </c>
      <c r="C5059" s="32">
        <v>43070.540497685186</v>
      </c>
    </row>
    <row r="5060" spans="1:3">
      <c r="A5060">
        <v>310598</v>
      </c>
      <c r="B5060">
        <v>2355072</v>
      </c>
      <c r="C5060" s="32">
        <v>43071.148055555554</v>
      </c>
    </row>
    <row r="5061" spans="1:3">
      <c r="A5061">
        <v>467396</v>
      </c>
      <c r="B5061">
        <v>4145813</v>
      </c>
      <c r="C5061" s="32">
        <v>43070.562662037039</v>
      </c>
    </row>
    <row r="5062" spans="1:3">
      <c r="A5062">
        <v>812365</v>
      </c>
      <c r="B5062">
        <v>753984</v>
      </c>
      <c r="C5062" s="32">
        <v>43072.56349537037</v>
      </c>
    </row>
    <row r="5063" spans="1:3">
      <c r="A5063">
        <v>994816</v>
      </c>
      <c r="B5063">
        <v>1029459</v>
      </c>
      <c r="C5063" s="32">
        <v>43071.366724537038</v>
      </c>
    </row>
    <row r="5064" spans="1:3">
      <c r="A5064">
        <v>932229</v>
      </c>
      <c r="B5064">
        <v>2465336</v>
      </c>
      <c r="C5064" s="32">
        <v>43072.211319444446</v>
      </c>
    </row>
    <row r="5065" spans="1:3">
      <c r="A5065">
        <v>555433</v>
      </c>
      <c r="B5065">
        <v>4181361</v>
      </c>
      <c r="C5065" s="32">
        <v>43070.991898148146</v>
      </c>
    </row>
    <row r="5066" spans="1:3">
      <c r="A5066">
        <v>848187</v>
      </c>
      <c r="B5066">
        <v>2355072</v>
      </c>
      <c r="C5066" s="32">
        <v>43071.383449074077</v>
      </c>
    </row>
    <row r="5067" spans="1:3">
      <c r="A5067">
        <v>109819</v>
      </c>
      <c r="B5067">
        <v>2096639</v>
      </c>
      <c r="C5067" s="32">
        <v>43072.287465277775</v>
      </c>
    </row>
    <row r="5068" spans="1:3">
      <c r="A5068">
        <v>303885</v>
      </c>
      <c r="B5068">
        <v>2827444</v>
      </c>
      <c r="C5068" s="32">
        <v>43071.587256944447</v>
      </c>
    </row>
    <row r="5069" spans="1:3">
      <c r="A5069">
        <v>597654</v>
      </c>
      <c r="B5069">
        <v>1051370</v>
      </c>
      <c r="C5069" s="32">
        <v>43070.500451388885</v>
      </c>
    </row>
    <row r="5070" spans="1:3">
      <c r="A5070">
        <v>620705</v>
      </c>
      <c r="B5070">
        <v>1859277</v>
      </c>
      <c r="C5070" s="32">
        <v>43070.638182870367</v>
      </c>
    </row>
    <row r="5071" spans="1:3">
      <c r="A5071">
        <v>222498</v>
      </c>
      <c r="B5071">
        <v>1488813</v>
      </c>
      <c r="C5071" s="32">
        <v>43071.232789351852</v>
      </c>
    </row>
    <row r="5072" spans="1:3">
      <c r="A5072">
        <v>695719</v>
      </c>
      <c r="B5072">
        <v>1420205</v>
      </c>
      <c r="C5072" s="32">
        <v>43071.593009259261</v>
      </c>
    </row>
    <row r="5073" spans="1:3">
      <c r="A5073">
        <v>891989</v>
      </c>
      <c r="B5073">
        <v>903809</v>
      </c>
      <c r="C5073" s="32">
        <v>43070.644629629627</v>
      </c>
    </row>
    <row r="5074" spans="1:3">
      <c r="A5074">
        <v>832364</v>
      </c>
      <c r="B5074">
        <v>4756105</v>
      </c>
      <c r="C5074" s="32">
        <v>43071.070115740738</v>
      </c>
    </row>
    <row r="5075" spans="1:3">
      <c r="A5075">
        <v>742483</v>
      </c>
      <c r="B5075">
        <v>1787510</v>
      </c>
      <c r="C5075" s="32">
        <v>43071.116284722222</v>
      </c>
    </row>
    <row r="5076" spans="1:3">
      <c r="A5076">
        <v>463800</v>
      </c>
      <c r="B5076">
        <v>1506018</v>
      </c>
      <c r="C5076" s="32">
        <v>43070.243414351855</v>
      </c>
    </row>
    <row r="5077" spans="1:3">
      <c r="A5077">
        <v>976266</v>
      </c>
      <c r="B5077">
        <v>4690421</v>
      </c>
      <c r="C5077" s="32">
        <v>43071.485844907409</v>
      </c>
    </row>
    <row r="5078" spans="1:3">
      <c r="A5078">
        <v>418764</v>
      </c>
      <c r="B5078">
        <v>4801426</v>
      </c>
      <c r="C5078" s="32">
        <v>43071.564930555556</v>
      </c>
    </row>
    <row r="5079" spans="1:3">
      <c r="A5079">
        <v>381566</v>
      </c>
      <c r="B5079">
        <v>3090850</v>
      </c>
      <c r="C5079" s="32">
        <v>43071.499456018515</v>
      </c>
    </row>
    <row r="5080" spans="1:3">
      <c r="A5080">
        <v>708630</v>
      </c>
      <c r="B5080">
        <v>1944905</v>
      </c>
      <c r="C5080" s="32">
        <v>43071.139826388891</v>
      </c>
    </row>
    <row r="5081" spans="1:3">
      <c r="A5081">
        <v>1009347</v>
      </c>
      <c r="B5081">
        <v>1275696</v>
      </c>
      <c r="C5081" s="32">
        <v>43070.527048611111</v>
      </c>
    </row>
    <row r="5082" spans="1:3">
      <c r="A5082">
        <v>255523</v>
      </c>
      <c r="B5082">
        <v>3607361</v>
      </c>
      <c r="C5082" s="32">
        <v>43072.572094907409</v>
      </c>
    </row>
    <row r="5083" spans="1:3">
      <c r="A5083">
        <v>102781</v>
      </c>
      <c r="B5083">
        <v>446701</v>
      </c>
      <c r="C5083" s="32">
        <v>43070.96371527778</v>
      </c>
    </row>
    <row r="5084" spans="1:3">
      <c r="A5084">
        <v>413478</v>
      </c>
      <c r="B5084">
        <v>2293367</v>
      </c>
      <c r="C5084" s="32">
        <v>43072.502835648149</v>
      </c>
    </row>
    <row r="5085" spans="1:3">
      <c r="A5085">
        <v>111824</v>
      </c>
      <c r="B5085">
        <v>1653613</v>
      </c>
      <c r="C5085" s="32">
        <v>43070.745185185187</v>
      </c>
    </row>
    <row r="5086" spans="1:3">
      <c r="A5086">
        <v>948404</v>
      </c>
      <c r="B5086">
        <v>1320293</v>
      </c>
      <c r="C5086" s="32">
        <v>43070.231979166667</v>
      </c>
    </row>
    <row r="5087" spans="1:3">
      <c r="A5087">
        <v>741422</v>
      </c>
      <c r="B5087">
        <v>2578647</v>
      </c>
      <c r="C5087" s="32">
        <v>43071.484560185185</v>
      </c>
    </row>
    <row r="5088" spans="1:3">
      <c r="A5088">
        <v>107121</v>
      </c>
      <c r="B5088">
        <v>3860845</v>
      </c>
      <c r="C5088" s="32">
        <v>43072.639606481483</v>
      </c>
    </row>
    <row r="5089" spans="1:3">
      <c r="A5089">
        <v>349259</v>
      </c>
      <c r="B5089">
        <v>1859277</v>
      </c>
      <c r="C5089" s="32">
        <v>43070.444664351853</v>
      </c>
    </row>
    <row r="5090" spans="1:3">
      <c r="A5090">
        <v>328213</v>
      </c>
      <c r="B5090">
        <v>903809</v>
      </c>
      <c r="C5090" s="32">
        <v>43072.184027777781</v>
      </c>
    </row>
    <row r="5091" spans="1:3">
      <c r="A5091">
        <v>781977</v>
      </c>
      <c r="B5091">
        <v>4756105</v>
      </c>
      <c r="C5091" s="32">
        <v>43072.570543981485</v>
      </c>
    </row>
    <row r="5092" spans="1:3">
      <c r="A5092">
        <v>42121</v>
      </c>
      <c r="B5092">
        <v>2520377</v>
      </c>
      <c r="C5092" s="32">
        <v>43071.143206018518</v>
      </c>
    </row>
    <row r="5093" spans="1:3">
      <c r="A5093">
        <v>556743</v>
      </c>
      <c r="B5093">
        <v>1074254</v>
      </c>
      <c r="C5093" s="32">
        <v>43071.572118055556</v>
      </c>
    </row>
    <row r="5094" spans="1:3">
      <c r="A5094">
        <v>146930</v>
      </c>
      <c r="B5094">
        <v>982926</v>
      </c>
      <c r="C5094" s="32">
        <v>43072.382164351853</v>
      </c>
    </row>
    <row r="5095" spans="1:3">
      <c r="A5095">
        <v>405149</v>
      </c>
      <c r="B5095">
        <v>3138705</v>
      </c>
      <c r="C5095" s="32">
        <v>43069.946736111109</v>
      </c>
    </row>
    <row r="5096" spans="1:3">
      <c r="A5096">
        <v>9788</v>
      </c>
      <c r="B5096">
        <v>4217906</v>
      </c>
      <c r="C5096" s="32">
        <v>43072.62190972222</v>
      </c>
    </row>
    <row r="5097" spans="1:3">
      <c r="A5097">
        <v>11624</v>
      </c>
      <c r="B5097">
        <v>982926</v>
      </c>
      <c r="C5097" s="32">
        <v>43072.552662037036</v>
      </c>
    </row>
    <row r="5098" spans="1:3">
      <c r="A5098">
        <v>317310</v>
      </c>
      <c r="B5098">
        <v>4707763</v>
      </c>
      <c r="C5098" s="32">
        <v>43071.479861111111</v>
      </c>
    </row>
    <row r="5099" spans="1:3">
      <c r="A5099">
        <v>806464</v>
      </c>
      <c r="B5099">
        <v>2520377</v>
      </c>
      <c r="C5099" s="32">
        <v>43071.550729166665</v>
      </c>
    </row>
    <row r="5100" spans="1:3">
      <c r="A5100">
        <v>286723</v>
      </c>
      <c r="B5100">
        <v>5071267</v>
      </c>
      <c r="C5100" s="32">
        <v>43072.116180555553</v>
      </c>
    </row>
    <row r="5101" spans="1:3">
      <c r="A5101">
        <v>71520</v>
      </c>
      <c r="B5101">
        <v>753984</v>
      </c>
      <c r="C5101" s="32">
        <v>43072.097222222219</v>
      </c>
    </row>
    <row r="5102" spans="1:3">
      <c r="A5102">
        <v>900161</v>
      </c>
      <c r="B5102">
        <v>4022701</v>
      </c>
      <c r="C5102" s="32">
        <v>43071.248287037037</v>
      </c>
    </row>
    <row r="5103" spans="1:3">
      <c r="A5103">
        <v>460088</v>
      </c>
      <c r="B5103">
        <v>3826089</v>
      </c>
      <c r="C5103" s="32">
        <v>43072.368819444448</v>
      </c>
    </row>
    <row r="5104" spans="1:3">
      <c r="A5104">
        <v>277744</v>
      </c>
      <c r="B5104">
        <v>1051370</v>
      </c>
      <c r="C5104" s="32">
        <v>43072.520462962966</v>
      </c>
    </row>
    <row r="5105" spans="1:3">
      <c r="A5105">
        <v>706773</v>
      </c>
      <c r="B5105">
        <v>1051370</v>
      </c>
      <c r="C5105" s="32">
        <v>43071.524861111109</v>
      </c>
    </row>
    <row r="5106" spans="1:3">
      <c r="A5106">
        <v>646463</v>
      </c>
      <c r="B5106">
        <v>4095810</v>
      </c>
      <c r="C5106" s="32">
        <v>43071.573773148149</v>
      </c>
    </row>
    <row r="5107" spans="1:3">
      <c r="A5107">
        <v>1017632</v>
      </c>
      <c r="B5107">
        <v>96655</v>
      </c>
      <c r="C5107" s="32">
        <v>43072.578865740739</v>
      </c>
    </row>
    <row r="5108" spans="1:3">
      <c r="A5108">
        <v>452985</v>
      </c>
      <c r="B5108">
        <v>4181361</v>
      </c>
      <c r="C5108" s="32">
        <v>43071.279016203705</v>
      </c>
    </row>
    <row r="5109" spans="1:3">
      <c r="A5109">
        <v>1010895</v>
      </c>
      <c r="B5109">
        <v>149192</v>
      </c>
      <c r="C5109" s="32">
        <v>43072.41642361111</v>
      </c>
    </row>
    <row r="5110" spans="1:3">
      <c r="A5110">
        <v>538992</v>
      </c>
      <c r="B5110">
        <v>1568197</v>
      </c>
      <c r="C5110" s="32">
        <v>43070.840081018519</v>
      </c>
    </row>
    <row r="5111" spans="1:3">
      <c r="A5111">
        <v>238519</v>
      </c>
      <c r="B5111">
        <v>4145813</v>
      </c>
      <c r="C5111" s="32">
        <v>43071.050370370373</v>
      </c>
    </row>
    <row r="5112" spans="1:3">
      <c r="A5112">
        <v>613893</v>
      </c>
      <c r="B5112">
        <v>4181361</v>
      </c>
      <c r="C5112" s="32">
        <v>43072.604837962965</v>
      </c>
    </row>
    <row r="5113" spans="1:3">
      <c r="A5113">
        <v>863791</v>
      </c>
      <c r="B5113">
        <v>3607361</v>
      </c>
      <c r="C5113" s="32">
        <v>43072.614745370367</v>
      </c>
    </row>
    <row r="5114" spans="1:3">
      <c r="A5114">
        <v>384231</v>
      </c>
      <c r="B5114">
        <v>1046047</v>
      </c>
      <c r="C5114" s="32">
        <v>43071.996620370373</v>
      </c>
    </row>
    <row r="5115" spans="1:3">
      <c r="A5115">
        <v>744056</v>
      </c>
      <c r="B5115">
        <v>1068933</v>
      </c>
      <c r="C5115" s="32">
        <v>43071.053981481484</v>
      </c>
    </row>
    <row r="5116" spans="1:3">
      <c r="A5116">
        <v>62079</v>
      </c>
      <c r="B5116">
        <v>3138705</v>
      </c>
      <c r="C5116" s="32">
        <v>43072.59097222222</v>
      </c>
    </row>
    <row r="5117" spans="1:3">
      <c r="A5117">
        <v>875446</v>
      </c>
      <c r="B5117">
        <v>3738615</v>
      </c>
      <c r="C5117" s="32">
        <v>43072.429444444446</v>
      </c>
    </row>
    <row r="5118" spans="1:3">
      <c r="A5118">
        <v>209793</v>
      </c>
      <c r="B5118">
        <v>1575622</v>
      </c>
      <c r="C5118" s="32">
        <v>43070.097557870373</v>
      </c>
    </row>
    <row r="5119" spans="1:3">
      <c r="A5119">
        <v>675551</v>
      </c>
      <c r="B5119">
        <v>3439012</v>
      </c>
      <c r="C5119" s="32">
        <v>43070.409282407411</v>
      </c>
    </row>
    <row r="5120" spans="1:3">
      <c r="A5120">
        <v>269637</v>
      </c>
      <c r="B5120">
        <v>2433095</v>
      </c>
      <c r="C5120" s="32">
        <v>43072.652349537035</v>
      </c>
    </row>
    <row r="5121" spans="1:3">
      <c r="A5121">
        <v>481993</v>
      </c>
      <c r="B5121">
        <v>4357323</v>
      </c>
      <c r="C5121" s="32">
        <v>43072.086261574077</v>
      </c>
    </row>
    <row r="5122" spans="1:3">
      <c r="A5122">
        <v>140166</v>
      </c>
      <c r="B5122">
        <v>2355072</v>
      </c>
      <c r="C5122" s="32">
        <v>43070.59778935185</v>
      </c>
    </row>
    <row r="5123" spans="1:3">
      <c r="A5123">
        <v>906706</v>
      </c>
      <c r="B5123">
        <v>2885642</v>
      </c>
      <c r="C5123" s="32">
        <v>43071.54824074074</v>
      </c>
    </row>
    <row r="5124" spans="1:3">
      <c r="A5124">
        <v>998356</v>
      </c>
      <c r="B5124">
        <v>1488813</v>
      </c>
      <c r="C5124" s="32">
        <v>43071.536087962966</v>
      </c>
    </row>
    <row r="5125" spans="1:3">
      <c r="A5125">
        <v>771813</v>
      </c>
      <c r="B5125">
        <v>4145813</v>
      </c>
      <c r="C5125" s="32">
        <v>43070.070520833331</v>
      </c>
    </row>
    <row r="5126" spans="1:3">
      <c r="A5126">
        <v>774655</v>
      </c>
      <c r="B5126">
        <v>2355072</v>
      </c>
      <c r="C5126" s="32">
        <v>43072.291331018518</v>
      </c>
    </row>
    <row r="5127" spans="1:3">
      <c r="A5127">
        <v>167261</v>
      </c>
      <c r="B5127">
        <v>1789614</v>
      </c>
      <c r="C5127" s="32">
        <v>43072.299120370371</v>
      </c>
    </row>
    <row r="5128" spans="1:3">
      <c r="A5128">
        <v>586719</v>
      </c>
      <c r="B5128">
        <v>4181361</v>
      </c>
      <c r="C5128" s="32">
        <v>43071.586712962962</v>
      </c>
    </row>
    <row r="5129" spans="1:3">
      <c r="A5129">
        <v>145694</v>
      </c>
      <c r="B5129">
        <v>2208799</v>
      </c>
      <c r="C5129" s="32">
        <v>43071.553807870368</v>
      </c>
    </row>
    <row r="5130" spans="1:3">
      <c r="A5130">
        <v>818434</v>
      </c>
      <c r="B5130">
        <v>4690421</v>
      </c>
      <c r="C5130" s="32">
        <v>43071.582986111112</v>
      </c>
    </row>
    <row r="5131" spans="1:3">
      <c r="A5131">
        <v>294862</v>
      </c>
      <c r="B5131">
        <v>2945933</v>
      </c>
      <c r="C5131" s="32">
        <v>43071.280914351853</v>
      </c>
    </row>
    <row r="5132" spans="1:3">
      <c r="A5132">
        <v>161166</v>
      </c>
      <c r="B5132">
        <v>4151801</v>
      </c>
      <c r="C5132" s="32">
        <v>43072.179722222223</v>
      </c>
    </row>
    <row r="5133" spans="1:3">
      <c r="A5133">
        <v>267903</v>
      </c>
      <c r="B5133">
        <v>200278</v>
      </c>
      <c r="C5133" s="32">
        <v>43072.213043981479</v>
      </c>
    </row>
    <row r="5134" spans="1:3">
      <c r="A5134">
        <v>588172</v>
      </c>
      <c r="B5134">
        <v>4181361</v>
      </c>
      <c r="C5134" s="32">
        <v>43071.01390046296</v>
      </c>
    </row>
    <row r="5135" spans="1:3">
      <c r="A5135">
        <v>581669</v>
      </c>
      <c r="B5135">
        <v>2492895</v>
      </c>
      <c r="C5135" s="32">
        <v>43071.089513888888</v>
      </c>
    </row>
    <row r="5136" spans="1:3">
      <c r="A5136">
        <v>322854</v>
      </c>
      <c r="B5136">
        <v>2599558</v>
      </c>
      <c r="C5136" s="32">
        <v>43071.280868055554</v>
      </c>
    </row>
    <row r="5137" spans="1:3">
      <c r="A5137">
        <v>722122</v>
      </c>
      <c r="B5137">
        <v>2978503</v>
      </c>
      <c r="C5137" s="32">
        <v>43069.867511574077</v>
      </c>
    </row>
    <row r="5138" spans="1:3">
      <c r="A5138">
        <v>737030</v>
      </c>
      <c r="B5138">
        <v>1807416</v>
      </c>
      <c r="C5138" s="32">
        <v>43072.613587962966</v>
      </c>
    </row>
    <row r="5139" spans="1:3">
      <c r="A5139">
        <v>1016622</v>
      </c>
      <c r="B5139">
        <v>1320293</v>
      </c>
      <c r="C5139" s="32">
        <v>43071.430902777778</v>
      </c>
    </row>
    <row r="5140" spans="1:3">
      <c r="A5140">
        <v>584980</v>
      </c>
      <c r="B5140">
        <v>2520771</v>
      </c>
      <c r="C5140" s="32">
        <v>43071.299004629633</v>
      </c>
    </row>
    <row r="5141" spans="1:3">
      <c r="A5141">
        <v>609911</v>
      </c>
      <c r="B5141">
        <v>366112</v>
      </c>
      <c r="C5141" s="32">
        <v>43071.598449074074</v>
      </c>
    </row>
    <row r="5142" spans="1:3">
      <c r="A5142">
        <v>484438</v>
      </c>
      <c r="B5142">
        <v>149192</v>
      </c>
      <c r="C5142" s="32">
        <v>43072.553368055553</v>
      </c>
    </row>
    <row r="5143" spans="1:3">
      <c r="A5143">
        <v>1017615</v>
      </c>
      <c r="B5143">
        <v>2558204</v>
      </c>
      <c r="C5143" s="32">
        <v>43071.257835648146</v>
      </c>
    </row>
    <row r="5144" spans="1:3">
      <c r="A5144">
        <v>152643</v>
      </c>
      <c r="B5144">
        <v>3645362</v>
      </c>
      <c r="C5144" s="32">
        <v>43071.187615740739</v>
      </c>
    </row>
    <row r="5145" spans="1:3">
      <c r="A5145">
        <v>295020</v>
      </c>
      <c r="B5145">
        <v>2355072</v>
      </c>
      <c r="C5145" s="32">
        <v>43070.836851851855</v>
      </c>
    </row>
    <row r="5146" spans="1:3">
      <c r="A5146">
        <v>328981</v>
      </c>
      <c r="B5146">
        <v>154040</v>
      </c>
      <c r="C5146" s="32">
        <v>43071.286631944444</v>
      </c>
    </row>
    <row r="5147" spans="1:3">
      <c r="A5147">
        <v>173846</v>
      </c>
      <c r="B5147">
        <v>321567</v>
      </c>
      <c r="C5147" s="32">
        <v>43070.607476851852</v>
      </c>
    </row>
    <row r="5148" spans="1:3">
      <c r="A5148">
        <v>913769</v>
      </c>
      <c r="B5148">
        <v>3738615</v>
      </c>
      <c r="C5148" s="32">
        <v>43071.157418981478</v>
      </c>
    </row>
    <row r="5149" spans="1:3">
      <c r="A5149">
        <v>188359</v>
      </c>
      <c r="B5149">
        <v>982926</v>
      </c>
      <c r="C5149" s="32">
        <v>43070.058969907404</v>
      </c>
    </row>
    <row r="5150" spans="1:3">
      <c r="A5150">
        <v>848642</v>
      </c>
      <c r="B5150">
        <v>3002561</v>
      </c>
      <c r="C5150" s="32">
        <v>43069.966249999998</v>
      </c>
    </row>
    <row r="5151" spans="1:3">
      <c r="A5151">
        <v>103257</v>
      </c>
      <c r="B5151">
        <v>1879194</v>
      </c>
      <c r="C5151" s="32">
        <v>43072.137800925928</v>
      </c>
    </row>
    <row r="5152" spans="1:3">
      <c r="A5152">
        <v>861283</v>
      </c>
      <c r="B5152">
        <v>1080785</v>
      </c>
      <c r="C5152" s="32">
        <v>43071.751273148147</v>
      </c>
    </row>
    <row r="5153" spans="1:3">
      <c r="A5153">
        <v>352369</v>
      </c>
      <c r="B5153">
        <v>3299155</v>
      </c>
      <c r="C5153" s="32">
        <v>43072.415821759256</v>
      </c>
    </row>
    <row r="5154" spans="1:3">
      <c r="A5154">
        <v>1013087</v>
      </c>
      <c r="B5154">
        <v>1851156</v>
      </c>
      <c r="C5154" s="32">
        <v>43070.283402777779</v>
      </c>
    </row>
    <row r="5155" spans="1:3">
      <c r="A5155">
        <v>52602</v>
      </c>
      <c r="B5155">
        <v>4537973</v>
      </c>
      <c r="C5155" s="32">
        <v>43072.173067129632</v>
      </c>
    </row>
    <row r="5156" spans="1:3">
      <c r="A5156">
        <v>54356</v>
      </c>
      <c r="B5156">
        <v>2476560</v>
      </c>
      <c r="C5156" s="32">
        <v>43071.993773148148</v>
      </c>
    </row>
    <row r="5157" spans="1:3">
      <c r="A5157">
        <v>444073</v>
      </c>
      <c r="B5157">
        <v>1080785</v>
      </c>
      <c r="C5157" s="32">
        <v>43070.131979166668</v>
      </c>
    </row>
    <row r="5158" spans="1:3">
      <c r="A5158">
        <v>637896</v>
      </c>
      <c r="B5158">
        <v>4756105</v>
      </c>
      <c r="C5158" s="32">
        <v>43071.664212962962</v>
      </c>
    </row>
    <row r="5159" spans="1:3">
      <c r="A5159">
        <v>684154</v>
      </c>
      <c r="B5159">
        <v>2355072</v>
      </c>
      <c r="C5159" s="32">
        <v>43071.598819444444</v>
      </c>
    </row>
    <row r="5160" spans="1:3">
      <c r="A5160">
        <v>514825</v>
      </c>
      <c r="B5160">
        <v>3524510</v>
      </c>
      <c r="C5160" s="32">
        <v>43071.339722222219</v>
      </c>
    </row>
    <row r="5161" spans="1:3">
      <c r="A5161">
        <v>61396</v>
      </c>
      <c r="B5161">
        <v>982926</v>
      </c>
      <c r="C5161" s="32">
        <v>43072.637569444443</v>
      </c>
    </row>
    <row r="5162" spans="1:3">
      <c r="A5162">
        <v>818611</v>
      </c>
      <c r="B5162">
        <v>2337395</v>
      </c>
      <c r="C5162" s="32">
        <v>43071.539120370369</v>
      </c>
    </row>
    <row r="5163" spans="1:3">
      <c r="A5163">
        <v>864610</v>
      </c>
      <c r="B5163">
        <v>4643350</v>
      </c>
      <c r="C5163" s="32">
        <v>43071.68550925926</v>
      </c>
    </row>
    <row r="5164" spans="1:3">
      <c r="A5164">
        <v>512185</v>
      </c>
      <c r="B5164">
        <v>621786</v>
      </c>
      <c r="C5164" s="32">
        <v>43071.020833333336</v>
      </c>
    </row>
    <row r="5165" spans="1:3">
      <c r="A5165">
        <v>50242</v>
      </c>
      <c r="B5165">
        <v>1320293</v>
      </c>
      <c r="C5165" s="32">
        <v>43072.524895833332</v>
      </c>
    </row>
    <row r="5166" spans="1:3">
      <c r="A5166">
        <v>530869</v>
      </c>
      <c r="B5166">
        <v>447553</v>
      </c>
      <c r="C5166" s="32">
        <v>43072.484502314815</v>
      </c>
    </row>
    <row r="5167" spans="1:3">
      <c r="A5167">
        <v>826518</v>
      </c>
      <c r="B5167">
        <v>1859277</v>
      </c>
      <c r="C5167" s="32">
        <v>43072.306319444448</v>
      </c>
    </row>
    <row r="5168" spans="1:3">
      <c r="A5168">
        <v>513778</v>
      </c>
      <c r="B5168">
        <v>1320293</v>
      </c>
      <c r="C5168" s="32">
        <v>43071.618715277778</v>
      </c>
    </row>
    <row r="5169" spans="1:3">
      <c r="A5169">
        <v>762826</v>
      </c>
      <c r="B5169">
        <v>2735466</v>
      </c>
      <c r="C5169" s="32">
        <v>43070.056400462963</v>
      </c>
    </row>
    <row r="5170" spans="1:3">
      <c r="A5170">
        <v>681654</v>
      </c>
      <c r="B5170">
        <v>2782399</v>
      </c>
      <c r="C5170" s="32">
        <v>43071.182800925926</v>
      </c>
    </row>
    <row r="5171" spans="1:3">
      <c r="A5171">
        <v>151251</v>
      </c>
      <c r="B5171">
        <v>1567637</v>
      </c>
      <c r="C5171" s="32">
        <v>43071.163530092592</v>
      </c>
    </row>
    <row r="5172" spans="1:3">
      <c r="A5172">
        <v>130020</v>
      </c>
      <c r="B5172">
        <v>2994558</v>
      </c>
      <c r="C5172" s="32">
        <v>43071.10423611111</v>
      </c>
    </row>
    <row r="5173" spans="1:3">
      <c r="A5173">
        <v>480884</v>
      </c>
      <c r="B5173">
        <v>3776866</v>
      </c>
      <c r="C5173" s="32">
        <v>43072.02621527778</v>
      </c>
    </row>
    <row r="5174" spans="1:3">
      <c r="A5174">
        <v>650789</v>
      </c>
      <c r="B5174">
        <v>2520377</v>
      </c>
      <c r="C5174" s="32">
        <v>43070.357465277775</v>
      </c>
    </row>
    <row r="5175" spans="1:3">
      <c r="A5175">
        <v>796434</v>
      </c>
      <c r="B5175">
        <v>4756105</v>
      </c>
      <c r="C5175" s="32">
        <v>43071.624224537038</v>
      </c>
    </row>
    <row r="5176" spans="1:3">
      <c r="A5176">
        <v>876099</v>
      </c>
      <c r="B5176">
        <v>2355072</v>
      </c>
      <c r="C5176" s="32">
        <v>43070.667916666665</v>
      </c>
    </row>
    <row r="5177" spans="1:3">
      <c r="A5177">
        <v>80749</v>
      </c>
      <c r="B5177">
        <v>2520771</v>
      </c>
      <c r="C5177" s="32">
        <v>43072.607071759259</v>
      </c>
    </row>
    <row r="5178" spans="1:3">
      <c r="A5178">
        <v>981267</v>
      </c>
      <c r="B5178">
        <v>982926</v>
      </c>
      <c r="C5178" s="32">
        <v>43070.131469907406</v>
      </c>
    </row>
    <row r="5179" spans="1:3">
      <c r="A5179">
        <v>878344</v>
      </c>
      <c r="B5179">
        <v>3177877</v>
      </c>
      <c r="C5179" s="32">
        <v>43071.581157407411</v>
      </c>
    </row>
    <row r="5180" spans="1:3">
      <c r="A5180">
        <v>520793</v>
      </c>
      <c r="B5180">
        <v>2572604</v>
      </c>
      <c r="C5180" s="32">
        <v>43072.437731481485</v>
      </c>
    </row>
    <row r="5181" spans="1:3">
      <c r="A5181">
        <v>323944</v>
      </c>
      <c r="B5181">
        <v>1154246</v>
      </c>
      <c r="C5181" s="32">
        <v>43072.649050925924</v>
      </c>
    </row>
    <row r="5182" spans="1:3">
      <c r="A5182">
        <v>591862</v>
      </c>
      <c r="B5182">
        <v>886203</v>
      </c>
      <c r="C5182" s="32">
        <v>43071.557233796295</v>
      </c>
    </row>
    <row r="5183" spans="1:3">
      <c r="A5183">
        <v>777929</v>
      </c>
      <c r="B5183">
        <v>2640118</v>
      </c>
      <c r="C5183" s="32">
        <v>43071.62122685185</v>
      </c>
    </row>
    <row r="5184" spans="1:3">
      <c r="A5184">
        <v>182903</v>
      </c>
      <c r="B5184">
        <v>3299155</v>
      </c>
      <c r="C5184" s="32">
        <v>43072.616365740738</v>
      </c>
    </row>
    <row r="5185" spans="1:3">
      <c r="A5185">
        <v>549835</v>
      </c>
      <c r="B5185">
        <v>1464116</v>
      </c>
      <c r="C5185" s="32">
        <v>43070.50949074074</v>
      </c>
    </row>
    <row r="5186" spans="1:3">
      <c r="A5186">
        <v>369294</v>
      </c>
      <c r="B5186">
        <v>4145813</v>
      </c>
      <c r="C5186" s="32">
        <v>43072.581423611111</v>
      </c>
    </row>
    <row r="5187" spans="1:3">
      <c r="A5187">
        <v>329403</v>
      </c>
      <c r="B5187">
        <v>3641399</v>
      </c>
      <c r="C5187" s="32">
        <v>43070.40388888889</v>
      </c>
    </row>
    <row r="5188" spans="1:3">
      <c r="A5188">
        <v>629330</v>
      </c>
      <c r="B5188">
        <v>2939262</v>
      </c>
      <c r="C5188" s="32">
        <v>43070.465763888889</v>
      </c>
    </row>
    <row r="5189" spans="1:3">
      <c r="A5189">
        <v>1002596</v>
      </c>
      <c r="B5189">
        <v>3002561</v>
      </c>
      <c r="C5189" s="32">
        <v>43072.311481481483</v>
      </c>
    </row>
    <row r="5190" spans="1:3">
      <c r="A5190">
        <v>1008891</v>
      </c>
      <c r="B5190">
        <v>2314022</v>
      </c>
      <c r="C5190" s="32">
        <v>43069.691307870373</v>
      </c>
    </row>
    <row r="5191" spans="1:3">
      <c r="A5191">
        <v>1006523</v>
      </c>
      <c r="B5191">
        <v>4756105</v>
      </c>
      <c r="C5191" s="32">
        <v>43070.278136574074</v>
      </c>
    </row>
    <row r="5192" spans="1:3">
      <c r="A5192">
        <v>470293</v>
      </c>
      <c r="B5192">
        <v>1073768</v>
      </c>
      <c r="C5192" s="32">
        <v>43071.021793981483</v>
      </c>
    </row>
    <row r="5193" spans="1:3">
      <c r="A5193">
        <v>172373</v>
      </c>
      <c r="B5193">
        <v>4756105</v>
      </c>
      <c r="C5193" s="32">
        <v>43070.449120370373</v>
      </c>
    </row>
    <row r="5194" spans="1:3">
      <c r="A5194">
        <v>307703</v>
      </c>
      <c r="B5194">
        <v>2520771</v>
      </c>
      <c r="C5194" s="32">
        <v>43071.608935185184</v>
      </c>
    </row>
    <row r="5195" spans="1:3">
      <c r="A5195">
        <v>642369</v>
      </c>
      <c r="B5195">
        <v>3138705</v>
      </c>
      <c r="C5195" s="32">
        <v>43072.021574074075</v>
      </c>
    </row>
    <row r="5196" spans="1:3">
      <c r="A5196">
        <v>947449</v>
      </c>
      <c r="B5196">
        <v>5063923</v>
      </c>
      <c r="C5196" s="32">
        <v>43070.67454861111</v>
      </c>
    </row>
    <row r="5197" spans="1:3">
      <c r="A5197">
        <v>14932</v>
      </c>
      <c r="B5197">
        <v>2304296</v>
      </c>
      <c r="C5197" s="32">
        <v>43071.276354166665</v>
      </c>
    </row>
    <row r="5198" spans="1:3">
      <c r="A5198">
        <v>201349</v>
      </c>
      <c r="B5198">
        <v>3738615</v>
      </c>
      <c r="C5198" s="32">
        <v>43071.570393518516</v>
      </c>
    </row>
    <row r="5199" spans="1:3">
      <c r="A5199">
        <v>570022</v>
      </c>
      <c r="B5199">
        <v>1884322</v>
      </c>
      <c r="C5199" s="32">
        <v>43072.623379629629</v>
      </c>
    </row>
    <row r="5200" spans="1:3">
      <c r="A5200">
        <v>302501</v>
      </c>
      <c r="B5200">
        <v>2578647</v>
      </c>
      <c r="C5200" s="32">
        <v>43072.355567129627</v>
      </c>
    </row>
    <row r="5201" spans="1:3">
      <c r="A5201">
        <v>496822</v>
      </c>
      <c r="B5201">
        <v>2465336</v>
      </c>
      <c r="C5201" s="32">
        <v>43071.523935185185</v>
      </c>
    </row>
    <row r="5202" spans="1:3">
      <c r="A5202">
        <v>920198</v>
      </c>
      <c r="B5202">
        <v>3381583</v>
      </c>
      <c r="C5202" s="32">
        <v>43071.325115740743</v>
      </c>
    </row>
    <row r="5203" spans="1:3">
      <c r="A5203">
        <v>451324</v>
      </c>
      <c r="B5203">
        <v>2629787</v>
      </c>
      <c r="C5203" s="32">
        <v>43071.613344907404</v>
      </c>
    </row>
    <row r="5204" spans="1:3">
      <c r="A5204">
        <v>299778</v>
      </c>
      <c r="B5204">
        <v>2885642</v>
      </c>
      <c r="C5204" s="32">
        <v>43071.618773148148</v>
      </c>
    </row>
    <row r="5205" spans="1:3">
      <c r="A5205">
        <v>521061</v>
      </c>
      <c r="B5205">
        <v>4756105</v>
      </c>
      <c r="C5205" s="32">
        <v>43070.227187500001</v>
      </c>
    </row>
    <row r="5206" spans="1:3">
      <c r="A5206">
        <v>163859</v>
      </c>
      <c r="B5206">
        <v>2465336</v>
      </c>
      <c r="C5206" s="32">
        <v>43072.071921296294</v>
      </c>
    </row>
    <row r="5207" spans="1:3">
      <c r="A5207">
        <v>255687</v>
      </c>
      <c r="B5207">
        <v>1158475</v>
      </c>
      <c r="C5207" s="32">
        <v>43072.031770833331</v>
      </c>
    </row>
    <row r="5208" spans="1:3">
      <c r="A5208">
        <v>389416</v>
      </c>
      <c r="B5208">
        <v>4145813</v>
      </c>
      <c r="C5208" s="32">
        <v>43071.295312499999</v>
      </c>
    </row>
    <row r="5209" spans="1:3">
      <c r="A5209">
        <v>90721</v>
      </c>
      <c r="B5209">
        <v>2131531</v>
      </c>
      <c r="C5209" s="32">
        <v>43070.661099537036</v>
      </c>
    </row>
    <row r="5210" spans="1:3">
      <c r="A5210">
        <v>331358</v>
      </c>
      <c r="B5210">
        <v>4145813</v>
      </c>
      <c r="C5210" s="32">
        <v>43072.445694444446</v>
      </c>
    </row>
    <row r="5211" spans="1:3">
      <c r="A5211">
        <v>17093</v>
      </c>
      <c r="B5211">
        <v>4217906</v>
      </c>
      <c r="C5211" s="32">
        <v>43070.497534722221</v>
      </c>
    </row>
    <row r="5212" spans="1:3">
      <c r="A5212">
        <v>213951</v>
      </c>
      <c r="B5212">
        <v>3738615</v>
      </c>
      <c r="C5212" s="32">
        <v>43070.691076388888</v>
      </c>
    </row>
    <row r="5213" spans="1:3">
      <c r="A5213">
        <v>463905</v>
      </c>
      <c r="B5213">
        <v>2342116</v>
      </c>
      <c r="C5213" s="32">
        <v>43072.241006944445</v>
      </c>
    </row>
    <row r="5214" spans="1:3">
      <c r="A5214">
        <v>789188</v>
      </c>
      <c r="B5214">
        <v>4015257</v>
      </c>
      <c r="C5214" s="32">
        <v>43070.667824074073</v>
      </c>
    </row>
    <row r="5215" spans="1:3">
      <c r="A5215">
        <v>956393</v>
      </c>
      <c r="B5215">
        <v>4696710</v>
      </c>
      <c r="C5215" s="32">
        <v>43072.043032407404</v>
      </c>
    </row>
    <row r="5216" spans="1:3">
      <c r="A5216">
        <v>17251</v>
      </c>
      <c r="B5216">
        <v>4339722</v>
      </c>
      <c r="C5216" s="32">
        <v>43070.647928240738</v>
      </c>
    </row>
    <row r="5217" spans="1:3">
      <c r="A5217">
        <v>420353</v>
      </c>
      <c r="B5217">
        <v>2945933</v>
      </c>
      <c r="C5217" s="32">
        <v>43071.22929398148</v>
      </c>
    </row>
    <row r="5218" spans="1:3">
      <c r="A5218">
        <v>852226</v>
      </c>
      <c r="B5218">
        <v>2578647</v>
      </c>
      <c r="C5218" s="32">
        <v>43071.53733796296</v>
      </c>
    </row>
    <row r="5219" spans="1:3">
      <c r="A5219">
        <v>946844</v>
      </c>
      <c r="B5219">
        <v>1610764</v>
      </c>
      <c r="C5219" s="32">
        <v>43072.133252314816</v>
      </c>
    </row>
    <row r="5220" spans="1:3">
      <c r="A5220">
        <v>48419</v>
      </c>
      <c r="B5220">
        <v>2558244</v>
      </c>
      <c r="C5220" s="32">
        <v>43071.576342592591</v>
      </c>
    </row>
    <row r="5221" spans="1:3">
      <c r="A5221">
        <v>548366</v>
      </c>
      <c r="B5221">
        <v>856718</v>
      </c>
      <c r="C5221" s="32">
        <v>43072.589918981481</v>
      </c>
    </row>
    <row r="5222" spans="1:3">
      <c r="A5222">
        <v>703597</v>
      </c>
      <c r="B5222">
        <v>5108899</v>
      </c>
      <c r="C5222" s="32">
        <v>43070.966087962966</v>
      </c>
    </row>
    <row r="5223" spans="1:3">
      <c r="A5223">
        <v>15166</v>
      </c>
      <c r="B5223">
        <v>4756105</v>
      </c>
      <c r="C5223" s="32">
        <v>43071.412939814814</v>
      </c>
    </row>
    <row r="5224" spans="1:3">
      <c r="A5224">
        <v>943152</v>
      </c>
      <c r="B5224">
        <v>3004853</v>
      </c>
      <c r="C5224" s="32">
        <v>43072.047395833331</v>
      </c>
    </row>
    <row r="5225" spans="1:3">
      <c r="A5225">
        <v>324246</v>
      </c>
      <c r="B5225">
        <v>4756105</v>
      </c>
      <c r="C5225" s="32">
        <v>43072.234409722223</v>
      </c>
    </row>
    <row r="5226" spans="1:3">
      <c r="A5226">
        <v>821844</v>
      </c>
      <c r="B5226">
        <v>3002561</v>
      </c>
      <c r="C5226" s="32">
        <v>43070.141944444447</v>
      </c>
    </row>
    <row r="5227" spans="1:3">
      <c r="A5227">
        <v>821655</v>
      </c>
      <c r="B5227">
        <v>924708</v>
      </c>
      <c r="C5227" s="32">
        <v>43071.569432870368</v>
      </c>
    </row>
    <row r="5228" spans="1:3">
      <c r="A5228">
        <v>686487</v>
      </c>
      <c r="B5228">
        <v>4355436</v>
      </c>
      <c r="C5228" s="32">
        <v>43071.639270833337</v>
      </c>
    </row>
    <row r="5229" spans="1:3">
      <c r="A5229">
        <v>898422</v>
      </c>
      <c r="B5229">
        <v>4756105</v>
      </c>
      <c r="C5229" s="32">
        <v>43071.500671296293</v>
      </c>
    </row>
    <row r="5230" spans="1:3">
      <c r="A5230">
        <v>613053</v>
      </c>
      <c r="B5230">
        <v>5046132</v>
      </c>
      <c r="C5230" s="32">
        <v>43070.012060185189</v>
      </c>
    </row>
    <row r="5231" spans="1:3">
      <c r="A5231">
        <v>177318</v>
      </c>
      <c r="B5231">
        <v>3579754</v>
      </c>
      <c r="C5231" s="32">
        <v>43070.736388888887</v>
      </c>
    </row>
    <row r="5232" spans="1:3">
      <c r="A5232">
        <v>8584</v>
      </c>
      <c r="B5232">
        <v>1595193</v>
      </c>
      <c r="C5232" s="32">
        <v>43071.115729166668</v>
      </c>
    </row>
    <row r="5233" spans="1:3">
      <c r="A5233">
        <v>713838</v>
      </c>
      <c r="B5233">
        <v>1349634</v>
      </c>
      <c r="C5233" s="32">
        <v>43070.60359953704</v>
      </c>
    </row>
    <row r="5234" spans="1:3">
      <c r="A5234">
        <v>588475</v>
      </c>
      <c r="B5234">
        <v>2939262</v>
      </c>
      <c r="C5234" s="32">
        <v>43070.699131944442</v>
      </c>
    </row>
    <row r="5235" spans="1:3">
      <c r="A5235">
        <v>497403</v>
      </c>
      <c r="B5235">
        <v>3739206</v>
      </c>
      <c r="C5235" s="32">
        <v>43071.38354166667</v>
      </c>
    </row>
    <row r="5236" spans="1:3">
      <c r="A5236">
        <v>675263</v>
      </c>
      <c r="B5236">
        <v>1928278</v>
      </c>
      <c r="C5236" s="32">
        <v>43070.650752314818</v>
      </c>
    </row>
    <row r="5237" spans="1:3">
      <c r="A5237">
        <v>919646</v>
      </c>
      <c r="B5237">
        <v>4145813</v>
      </c>
      <c r="C5237" s="32">
        <v>43070.144282407404</v>
      </c>
    </row>
    <row r="5238" spans="1:3">
      <c r="A5238">
        <v>1014066</v>
      </c>
      <c r="B5238">
        <v>3738615</v>
      </c>
      <c r="C5238" s="32">
        <v>43071.089282407411</v>
      </c>
    </row>
    <row r="5239" spans="1:3">
      <c r="A5239">
        <v>803364</v>
      </c>
      <c r="B5239">
        <v>2520377</v>
      </c>
      <c r="C5239" s="32">
        <v>43070.627986111111</v>
      </c>
    </row>
    <row r="5240" spans="1:3">
      <c r="A5240">
        <v>484229</v>
      </c>
      <c r="B5240">
        <v>2409814</v>
      </c>
      <c r="C5240" s="32">
        <v>43071.539884259262</v>
      </c>
    </row>
    <row r="5241" spans="1:3">
      <c r="A5241">
        <v>731533</v>
      </c>
      <c r="B5241">
        <v>2596428</v>
      </c>
      <c r="C5241" s="32">
        <v>43071.624525462961</v>
      </c>
    </row>
    <row r="5242" spans="1:3">
      <c r="A5242">
        <v>204429</v>
      </c>
      <c r="B5242">
        <v>4576874</v>
      </c>
      <c r="C5242" s="32">
        <v>43071.277557870373</v>
      </c>
    </row>
    <row r="5243" spans="1:3">
      <c r="A5243">
        <v>724976</v>
      </c>
      <c r="B5243">
        <v>1872294</v>
      </c>
      <c r="C5243" s="32">
        <v>43071.695462962962</v>
      </c>
    </row>
    <row r="5244" spans="1:3">
      <c r="A5244">
        <v>286325</v>
      </c>
      <c r="B5244">
        <v>2355072</v>
      </c>
      <c r="C5244" s="32">
        <v>43070.561932870369</v>
      </c>
    </row>
    <row r="5245" spans="1:3">
      <c r="A5245">
        <v>549255</v>
      </c>
      <c r="B5245">
        <v>2228184</v>
      </c>
      <c r="C5245" s="32">
        <v>43070.396168981482</v>
      </c>
    </row>
    <row r="5246" spans="1:3">
      <c r="A5246">
        <v>983074</v>
      </c>
      <c r="B5246">
        <v>285583</v>
      </c>
      <c r="C5246" s="32">
        <v>43072.143113425926</v>
      </c>
    </row>
    <row r="5247" spans="1:3">
      <c r="A5247">
        <v>10453</v>
      </c>
      <c r="B5247">
        <v>1299190</v>
      </c>
      <c r="C5247" s="32">
        <v>43071.417673611111</v>
      </c>
    </row>
    <row r="5248" spans="1:3">
      <c r="A5248">
        <v>823881</v>
      </c>
      <c r="B5248">
        <v>1299190</v>
      </c>
      <c r="C5248" s="32">
        <v>43072.107048611113</v>
      </c>
    </row>
    <row r="5249" spans="1:3">
      <c r="A5249">
        <v>246866</v>
      </c>
      <c r="B5249">
        <v>1127566</v>
      </c>
      <c r="C5249" s="32">
        <v>43071.733425925922</v>
      </c>
    </row>
    <row r="5250" spans="1:3">
      <c r="A5250">
        <v>921102</v>
      </c>
      <c r="B5250">
        <v>295183</v>
      </c>
      <c r="C5250" s="32">
        <v>43071.631284722222</v>
      </c>
    </row>
    <row r="5251" spans="1:3">
      <c r="A5251">
        <v>290807</v>
      </c>
      <c r="B5251">
        <v>2735466</v>
      </c>
      <c r="C5251" s="32">
        <v>43071.557893518519</v>
      </c>
    </row>
    <row r="5252" spans="1:3">
      <c r="A5252">
        <v>129447</v>
      </c>
      <c r="B5252">
        <v>4801426</v>
      </c>
      <c r="C5252" s="32">
        <v>43071.562303240738</v>
      </c>
    </row>
    <row r="5253" spans="1:3">
      <c r="A5253">
        <v>122833</v>
      </c>
      <c r="B5253">
        <v>2042400</v>
      </c>
      <c r="C5253" s="32">
        <v>43070.145995370367</v>
      </c>
    </row>
    <row r="5254" spans="1:3">
      <c r="A5254">
        <v>438747</v>
      </c>
      <c r="B5254">
        <v>1008362</v>
      </c>
      <c r="C5254" s="32">
        <v>43072.632754629631</v>
      </c>
    </row>
    <row r="5255" spans="1:3">
      <c r="A5255">
        <v>153885</v>
      </c>
      <c r="B5255">
        <v>1929875</v>
      </c>
      <c r="C5255" s="32">
        <v>43071.221643518518</v>
      </c>
    </row>
    <row r="5256" spans="1:3">
      <c r="A5256">
        <v>811515</v>
      </c>
      <c r="B5256">
        <v>3002561</v>
      </c>
      <c r="C5256" s="32">
        <v>43071.401388888888</v>
      </c>
    </row>
    <row r="5257" spans="1:3">
      <c r="A5257">
        <v>22239</v>
      </c>
      <c r="B5257">
        <v>238434</v>
      </c>
      <c r="C5257" s="32">
        <v>43071.134699074071</v>
      </c>
    </row>
    <row r="5258" spans="1:3">
      <c r="A5258">
        <v>468702</v>
      </c>
      <c r="B5258">
        <v>2529187</v>
      </c>
      <c r="C5258" s="32">
        <v>43072.662106481483</v>
      </c>
    </row>
    <row r="5259" spans="1:3">
      <c r="A5259">
        <v>878728</v>
      </c>
      <c r="B5259">
        <v>739663</v>
      </c>
      <c r="C5259" s="32">
        <v>43071.209513888891</v>
      </c>
    </row>
    <row r="5260" spans="1:3">
      <c r="A5260">
        <v>818563</v>
      </c>
      <c r="B5260">
        <v>4217906</v>
      </c>
      <c r="C5260" s="32">
        <v>43070.947638888887</v>
      </c>
    </row>
    <row r="5261" spans="1:3">
      <c r="A5261">
        <v>29362</v>
      </c>
      <c r="B5261">
        <v>1177618</v>
      </c>
      <c r="C5261" s="32">
        <v>43070.628321759257</v>
      </c>
    </row>
    <row r="5262" spans="1:3">
      <c r="A5262">
        <v>834804</v>
      </c>
      <c r="B5262">
        <v>338646</v>
      </c>
      <c r="C5262" s="32">
        <v>43070.110046296293</v>
      </c>
    </row>
    <row r="5263" spans="1:3">
      <c r="A5263">
        <v>903573</v>
      </c>
      <c r="B5263">
        <v>1879194</v>
      </c>
      <c r="C5263" s="32">
        <v>43071.276759259257</v>
      </c>
    </row>
    <row r="5264" spans="1:3">
      <c r="A5264">
        <v>209490</v>
      </c>
      <c r="B5264">
        <v>3607361</v>
      </c>
      <c r="C5264" s="32">
        <v>43070.178807870368</v>
      </c>
    </row>
    <row r="5265" spans="1:3">
      <c r="A5265">
        <v>335888</v>
      </c>
      <c r="B5265">
        <v>3607361</v>
      </c>
      <c r="C5265" s="32">
        <v>43070.346296296295</v>
      </c>
    </row>
    <row r="5266" spans="1:3">
      <c r="A5266">
        <v>95722</v>
      </c>
      <c r="B5266">
        <v>4756105</v>
      </c>
      <c r="C5266" s="32">
        <v>43072.64702546296</v>
      </c>
    </row>
    <row r="5267" spans="1:3">
      <c r="A5267">
        <v>113661</v>
      </c>
      <c r="B5267">
        <v>3189935</v>
      </c>
      <c r="C5267" s="32">
        <v>43070.486238425925</v>
      </c>
    </row>
    <row r="5268" spans="1:3">
      <c r="A5268">
        <v>957252</v>
      </c>
      <c r="B5268">
        <v>295183</v>
      </c>
      <c r="C5268" s="32">
        <v>43071.196018518516</v>
      </c>
    </row>
    <row r="5269" spans="1:3">
      <c r="A5269">
        <v>841177</v>
      </c>
      <c r="B5269">
        <v>4170419</v>
      </c>
      <c r="C5269" s="32">
        <v>43070.59034722222</v>
      </c>
    </row>
    <row r="5270" spans="1:3">
      <c r="A5270">
        <v>790341</v>
      </c>
      <c r="B5270">
        <v>4145813</v>
      </c>
      <c r="C5270" s="32">
        <v>43071.306701388887</v>
      </c>
    </row>
    <row r="5271" spans="1:3">
      <c r="A5271">
        <v>18368</v>
      </c>
      <c r="B5271">
        <v>1464116</v>
      </c>
      <c r="C5271" s="32">
        <v>43071.137141203704</v>
      </c>
    </row>
    <row r="5272" spans="1:3">
      <c r="A5272">
        <v>440756</v>
      </c>
      <c r="B5272">
        <v>411153</v>
      </c>
      <c r="C5272" s="32">
        <v>43072.482546296298</v>
      </c>
    </row>
    <row r="5273" spans="1:3">
      <c r="A5273">
        <v>621119</v>
      </c>
      <c r="B5273">
        <v>411153</v>
      </c>
      <c r="C5273" s="32">
        <v>43071.505023148151</v>
      </c>
    </row>
    <row r="5274" spans="1:3">
      <c r="A5274">
        <v>552568</v>
      </c>
      <c r="B5274">
        <v>1691699</v>
      </c>
      <c r="C5274" s="32">
        <v>43072.113032407404</v>
      </c>
    </row>
    <row r="5275" spans="1:3">
      <c r="A5275">
        <v>466421</v>
      </c>
      <c r="B5275">
        <v>4756105</v>
      </c>
      <c r="C5275" s="32">
        <v>43071.60664351852</v>
      </c>
    </row>
    <row r="5276" spans="1:3">
      <c r="A5276">
        <v>624576</v>
      </c>
      <c r="B5276">
        <v>3607361</v>
      </c>
      <c r="C5276" s="32">
        <v>43070.955752314818</v>
      </c>
    </row>
    <row r="5277" spans="1:3">
      <c r="A5277">
        <v>411763</v>
      </c>
      <c r="B5277">
        <v>119741</v>
      </c>
      <c r="C5277" s="32">
        <v>43072.222962962966</v>
      </c>
    </row>
    <row r="5278" spans="1:3">
      <c r="A5278">
        <v>336996</v>
      </c>
      <c r="B5278">
        <v>3776866</v>
      </c>
      <c r="C5278" s="32">
        <v>43072.177164351851</v>
      </c>
    </row>
    <row r="5279" spans="1:3">
      <c r="A5279">
        <v>357880</v>
      </c>
      <c r="B5279">
        <v>3138705</v>
      </c>
      <c r="C5279" s="32">
        <v>43070.985555555555</v>
      </c>
    </row>
    <row r="5280" spans="1:3">
      <c r="A5280">
        <v>255033</v>
      </c>
      <c r="B5280">
        <v>4722263</v>
      </c>
      <c r="C5280" s="32">
        <v>43071.519166666665</v>
      </c>
    </row>
    <row r="5281" spans="1:3">
      <c r="A5281">
        <v>148249</v>
      </c>
      <c r="B5281">
        <v>4145813</v>
      </c>
      <c r="C5281" s="32">
        <v>43071.46837962963</v>
      </c>
    </row>
    <row r="5282" spans="1:3">
      <c r="A5282">
        <v>359929</v>
      </c>
      <c r="B5282">
        <v>4756105</v>
      </c>
      <c r="C5282" s="32">
        <v>43070.385983796295</v>
      </c>
    </row>
    <row r="5283" spans="1:3">
      <c r="A5283">
        <v>484960</v>
      </c>
      <c r="B5283">
        <v>3607361</v>
      </c>
      <c r="C5283" s="32">
        <v>43070.289351851854</v>
      </c>
    </row>
    <row r="5284" spans="1:3">
      <c r="A5284">
        <v>346532</v>
      </c>
      <c r="B5284">
        <v>570735</v>
      </c>
      <c r="C5284" s="32">
        <v>43070.218773148146</v>
      </c>
    </row>
    <row r="5285" spans="1:3">
      <c r="A5285">
        <v>310660</v>
      </c>
      <c r="B5285">
        <v>4756105</v>
      </c>
      <c r="C5285" s="32">
        <v>43071.253900462965</v>
      </c>
    </row>
    <row r="5286" spans="1:3">
      <c r="A5286">
        <v>329432</v>
      </c>
      <c r="B5286">
        <v>5071267</v>
      </c>
      <c r="C5286" s="32">
        <v>43072.514976851853</v>
      </c>
    </row>
    <row r="5287" spans="1:3">
      <c r="A5287">
        <v>586513</v>
      </c>
      <c r="B5287">
        <v>2355072</v>
      </c>
      <c r="C5287" s="32">
        <v>43070.338449074072</v>
      </c>
    </row>
    <row r="5288" spans="1:3">
      <c r="A5288">
        <v>634335</v>
      </c>
      <c r="B5288">
        <v>1859277</v>
      </c>
      <c r="C5288" s="32">
        <v>43070.410474537035</v>
      </c>
    </row>
    <row r="5289" spans="1:3">
      <c r="A5289">
        <v>74467</v>
      </c>
      <c r="B5289">
        <v>2939262</v>
      </c>
      <c r="C5289" s="32">
        <v>43070.545787037037</v>
      </c>
    </row>
    <row r="5290" spans="1:3">
      <c r="A5290">
        <v>553776</v>
      </c>
      <c r="B5290">
        <v>2629787</v>
      </c>
      <c r="C5290" s="32">
        <v>43072.447395833333</v>
      </c>
    </row>
    <row r="5291" spans="1:3">
      <c r="A5291">
        <v>668001</v>
      </c>
      <c r="B5291">
        <v>2878148</v>
      </c>
      <c r="C5291" s="32">
        <v>43072.402916666666</v>
      </c>
    </row>
    <row r="5292" spans="1:3">
      <c r="A5292">
        <v>507679</v>
      </c>
      <c r="B5292">
        <v>2355072</v>
      </c>
      <c r="C5292" s="32">
        <v>43070.701898148145</v>
      </c>
    </row>
    <row r="5293" spans="1:3">
      <c r="A5293">
        <v>780023</v>
      </c>
      <c r="B5293">
        <v>2721770</v>
      </c>
      <c r="C5293" s="32">
        <v>43070.065196759257</v>
      </c>
    </row>
    <row r="5294" spans="1:3">
      <c r="A5294">
        <v>930567</v>
      </c>
      <c r="B5294">
        <v>3607361</v>
      </c>
      <c r="C5294" s="32">
        <v>43071.442152777781</v>
      </c>
    </row>
    <row r="5295" spans="1:3">
      <c r="A5295">
        <v>823183</v>
      </c>
      <c r="B5295">
        <v>3962843</v>
      </c>
      <c r="C5295" s="32">
        <v>43072.597222222219</v>
      </c>
    </row>
    <row r="5296" spans="1:3">
      <c r="A5296">
        <v>140037</v>
      </c>
      <c r="B5296">
        <v>3616520</v>
      </c>
      <c r="C5296" s="32">
        <v>43070.188391203701</v>
      </c>
    </row>
    <row r="5297" spans="1:3">
      <c r="A5297">
        <v>755246</v>
      </c>
      <c r="B5297">
        <v>3371868</v>
      </c>
      <c r="C5297" s="32">
        <v>43070.409178240741</v>
      </c>
    </row>
    <row r="5298" spans="1:3">
      <c r="A5298">
        <v>532826</v>
      </c>
      <c r="B5298">
        <v>2578647</v>
      </c>
      <c r="C5298" s="32">
        <v>43072.62939814815</v>
      </c>
    </row>
    <row r="5299" spans="1:3">
      <c r="A5299">
        <v>818920</v>
      </c>
      <c r="B5299">
        <v>2735466</v>
      </c>
      <c r="C5299" s="32">
        <v>43071.649930555555</v>
      </c>
    </row>
    <row r="5300" spans="1:3">
      <c r="A5300">
        <v>977200</v>
      </c>
      <c r="B5300">
        <v>856718</v>
      </c>
      <c r="C5300" s="32">
        <v>43071.5000462963</v>
      </c>
    </row>
    <row r="5301" spans="1:3">
      <c r="A5301">
        <v>753862</v>
      </c>
      <c r="B5301">
        <v>753984</v>
      </c>
      <c r="C5301" s="32">
        <v>43071.125833333332</v>
      </c>
    </row>
    <row r="5302" spans="1:3">
      <c r="A5302">
        <v>119193</v>
      </c>
      <c r="B5302">
        <v>3607361</v>
      </c>
      <c r="C5302" s="32">
        <v>43072.633946759262</v>
      </c>
    </row>
    <row r="5303" spans="1:3">
      <c r="A5303">
        <v>199994</v>
      </c>
      <c r="B5303">
        <v>2520377</v>
      </c>
      <c r="C5303" s="32">
        <v>43072.656423611108</v>
      </c>
    </row>
    <row r="5304" spans="1:3">
      <c r="A5304">
        <v>415228</v>
      </c>
      <c r="B5304">
        <v>1299190</v>
      </c>
      <c r="C5304" s="32">
        <v>43070.976643518516</v>
      </c>
    </row>
    <row r="5305" spans="1:3">
      <c r="A5305">
        <v>217944</v>
      </c>
      <c r="B5305">
        <v>4357323</v>
      </c>
      <c r="C5305" s="32">
        <v>43070.579236111109</v>
      </c>
    </row>
    <row r="5306" spans="1:3">
      <c r="A5306">
        <v>708940</v>
      </c>
      <c r="B5306">
        <v>3138705</v>
      </c>
      <c r="C5306" s="32">
        <v>43070.266053240739</v>
      </c>
    </row>
    <row r="5307" spans="1:3">
      <c r="A5307">
        <v>551050</v>
      </c>
      <c r="B5307">
        <v>1299190</v>
      </c>
      <c r="C5307" s="32">
        <v>43071.578888888886</v>
      </c>
    </row>
    <row r="5308" spans="1:3">
      <c r="A5308">
        <v>985268</v>
      </c>
      <c r="B5308">
        <v>2465336</v>
      </c>
      <c r="C5308" s="32">
        <v>43072.26222222222</v>
      </c>
    </row>
    <row r="5309" spans="1:3">
      <c r="A5309">
        <v>454856</v>
      </c>
      <c r="B5309">
        <v>2735466</v>
      </c>
      <c r="C5309" s="32">
        <v>43072.542245370372</v>
      </c>
    </row>
    <row r="5310" spans="1:3">
      <c r="A5310">
        <v>643863</v>
      </c>
      <c r="B5310">
        <v>2633883</v>
      </c>
      <c r="C5310" s="32">
        <v>43071.706990740742</v>
      </c>
    </row>
    <row r="5311" spans="1:3">
      <c r="A5311">
        <v>793278</v>
      </c>
      <c r="B5311">
        <v>1464116</v>
      </c>
      <c r="C5311" s="32">
        <v>43072.585115740738</v>
      </c>
    </row>
    <row r="5312" spans="1:3">
      <c r="A5312">
        <v>193763</v>
      </c>
      <c r="B5312">
        <v>381850</v>
      </c>
      <c r="C5312" s="32">
        <v>43070.9841087963</v>
      </c>
    </row>
    <row r="5313" spans="1:3">
      <c r="A5313">
        <v>679483</v>
      </c>
      <c r="B5313">
        <v>3898483</v>
      </c>
      <c r="C5313" s="32">
        <v>43070.025578703702</v>
      </c>
    </row>
    <row r="5314" spans="1:3">
      <c r="A5314">
        <v>856094</v>
      </c>
      <c r="B5314">
        <v>4006013</v>
      </c>
      <c r="C5314" s="32">
        <v>43071.345856481479</v>
      </c>
    </row>
    <row r="5315" spans="1:3">
      <c r="A5315">
        <v>421685</v>
      </c>
      <c r="B5315">
        <v>2885642</v>
      </c>
      <c r="C5315" s="32">
        <v>43072.201064814813</v>
      </c>
    </row>
    <row r="5316" spans="1:3">
      <c r="A5316">
        <v>759903</v>
      </c>
      <c r="B5316">
        <v>113102</v>
      </c>
      <c r="C5316" s="32">
        <v>43071.20925925926</v>
      </c>
    </row>
    <row r="5317" spans="1:3">
      <c r="A5317">
        <v>226799</v>
      </c>
      <c r="B5317">
        <v>634390</v>
      </c>
      <c r="C5317" s="32">
        <v>43070.696203703701</v>
      </c>
    </row>
    <row r="5318" spans="1:3">
      <c r="A5318">
        <v>153317</v>
      </c>
      <c r="B5318">
        <v>3209590</v>
      </c>
      <c r="C5318" s="32">
        <v>43071.501134259262</v>
      </c>
    </row>
    <row r="5319" spans="1:3">
      <c r="A5319">
        <v>7093</v>
      </c>
      <c r="B5319">
        <v>4145813</v>
      </c>
      <c r="C5319" s="32">
        <v>43069.998854166668</v>
      </c>
    </row>
    <row r="5320" spans="1:3">
      <c r="A5320">
        <v>592417</v>
      </c>
      <c r="B5320">
        <v>1575622</v>
      </c>
      <c r="C5320" s="32">
        <v>43071.575995370367</v>
      </c>
    </row>
    <row r="5321" spans="1:3">
      <c r="A5321">
        <v>494333</v>
      </c>
      <c r="B5321">
        <v>737184</v>
      </c>
      <c r="C5321" s="32">
        <v>43072.286597222221</v>
      </c>
    </row>
    <row r="5322" spans="1:3">
      <c r="A5322">
        <v>666623</v>
      </c>
      <c r="B5322">
        <v>102272</v>
      </c>
      <c r="C5322" s="32">
        <v>43070.938009259262</v>
      </c>
    </row>
    <row r="5323" spans="1:3">
      <c r="A5323">
        <v>528207</v>
      </c>
      <c r="B5323">
        <v>4801426</v>
      </c>
      <c r="C5323" s="32">
        <v>43072.637118055558</v>
      </c>
    </row>
    <row r="5324" spans="1:3">
      <c r="A5324">
        <v>823999</v>
      </c>
      <c r="B5324">
        <v>1216617</v>
      </c>
      <c r="C5324" s="32">
        <v>43072.493125000001</v>
      </c>
    </row>
    <row r="5325" spans="1:3">
      <c r="A5325">
        <v>806405</v>
      </c>
      <c r="B5325">
        <v>2735466</v>
      </c>
      <c r="C5325" s="32">
        <v>43072.262349537035</v>
      </c>
    </row>
    <row r="5326" spans="1:3">
      <c r="A5326">
        <v>975651</v>
      </c>
      <c r="B5326">
        <v>1050007</v>
      </c>
      <c r="C5326" s="32">
        <v>43070.537511574075</v>
      </c>
    </row>
    <row r="5327" spans="1:3">
      <c r="A5327">
        <v>713167</v>
      </c>
      <c r="B5327">
        <v>772894</v>
      </c>
      <c r="C5327" s="32">
        <v>43072.64880787037</v>
      </c>
    </row>
    <row r="5328" spans="1:3">
      <c r="A5328">
        <v>942</v>
      </c>
      <c r="B5328">
        <v>2355072</v>
      </c>
      <c r="C5328" s="32">
        <v>43071.627175925925</v>
      </c>
    </row>
    <row r="5329" spans="1:3">
      <c r="A5329">
        <v>196961</v>
      </c>
      <c r="B5329">
        <v>3833912</v>
      </c>
      <c r="C5329" s="32">
        <v>43071.232372685183</v>
      </c>
    </row>
    <row r="5330" spans="1:3">
      <c r="A5330">
        <v>810292</v>
      </c>
      <c r="B5330">
        <v>3738615</v>
      </c>
      <c r="C5330" s="32">
        <v>43070.108148148145</v>
      </c>
    </row>
    <row r="5331" spans="1:3">
      <c r="A5331">
        <v>898053</v>
      </c>
      <c r="B5331">
        <v>2735466</v>
      </c>
      <c r="C5331" s="32">
        <v>43072.554409722223</v>
      </c>
    </row>
    <row r="5332" spans="1:3">
      <c r="A5332">
        <v>939010</v>
      </c>
      <c r="B5332">
        <v>149192</v>
      </c>
      <c r="C5332" s="32">
        <v>43071.66306712963</v>
      </c>
    </row>
    <row r="5333" spans="1:3">
      <c r="A5333">
        <v>48873</v>
      </c>
      <c r="B5333">
        <v>3002561</v>
      </c>
      <c r="C5333" s="32">
        <v>43071.645011574074</v>
      </c>
    </row>
    <row r="5334" spans="1:3">
      <c r="A5334">
        <v>189570</v>
      </c>
      <c r="B5334">
        <v>171529</v>
      </c>
      <c r="C5334" s="32">
        <v>43070.625763888886</v>
      </c>
    </row>
    <row r="5335" spans="1:3">
      <c r="A5335">
        <v>283950</v>
      </c>
      <c r="B5335">
        <v>3171095</v>
      </c>
      <c r="C5335" s="32">
        <v>43071.017743055556</v>
      </c>
    </row>
    <row r="5336" spans="1:3">
      <c r="A5336">
        <v>398977</v>
      </c>
      <c r="B5336">
        <v>2465336</v>
      </c>
      <c r="C5336" s="32">
        <v>43070.651932870373</v>
      </c>
    </row>
    <row r="5337" spans="1:3">
      <c r="A5337">
        <v>609970</v>
      </c>
      <c r="B5337">
        <v>4069500</v>
      </c>
      <c r="C5337" s="32">
        <v>43069.667581018519</v>
      </c>
    </row>
    <row r="5338" spans="1:3">
      <c r="A5338">
        <v>901545</v>
      </c>
      <c r="B5338">
        <v>4145813</v>
      </c>
      <c r="C5338" s="32">
        <v>43072.643206018518</v>
      </c>
    </row>
    <row r="5339" spans="1:3">
      <c r="A5339">
        <v>2419</v>
      </c>
      <c r="B5339">
        <v>384755</v>
      </c>
      <c r="C5339" s="32">
        <v>43070.431331018517</v>
      </c>
    </row>
    <row r="5340" spans="1:3">
      <c r="A5340">
        <v>266696</v>
      </c>
      <c r="B5340">
        <v>883960</v>
      </c>
      <c r="C5340" s="32">
        <v>43072.122118055559</v>
      </c>
    </row>
    <row r="5341" spans="1:3">
      <c r="A5341">
        <v>698616</v>
      </c>
      <c r="B5341">
        <v>3461823</v>
      </c>
      <c r="C5341" s="32">
        <v>43071.1637962963</v>
      </c>
    </row>
    <row r="5342" spans="1:3">
      <c r="A5342">
        <v>869590</v>
      </c>
      <c r="B5342">
        <v>3189162</v>
      </c>
      <c r="C5342" s="32">
        <v>43071.032280092593</v>
      </c>
    </row>
    <row r="5343" spans="1:3">
      <c r="A5343">
        <v>262325</v>
      </c>
      <c r="B5343">
        <v>4756105</v>
      </c>
      <c r="C5343" s="32">
        <v>43071.224224537036</v>
      </c>
    </row>
    <row r="5344" spans="1:3">
      <c r="A5344">
        <v>150572</v>
      </c>
      <c r="B5344">
        <v>4962280</v>
      </c>
      <c r="C5344" s="32">
        <v>43070.665902777779</v>
      </c>
    </row>
    <row r="5345" spans="1:3">
      <c r="A5345">
        <v>675190</v>
      </c>
      <c r="B5345">
        <v>2355072</v>
      </c>
      <c r="C5345" s="32">
        <v>43071.648738425924</v>
      </c>
    </row>
    <row r="5346" spans="1:3">
      <c r="A5346">
        <v>834761</v>
      </c>
      <c r="B5346">
        <v>4756105</v>
      </c>
      <c r="C5346" s="32">
        <v>43071.987488425926</v>
      </c>
    </row>
    <row r="5347" spans="1:3">
      <c r="A5347">
        <v>915179</v>
      </c>
      <c r="B5347">
        <v>4370528</v>
      </c>
      <c r="C5347" s="32">
        <v>43071.477453703701</v>
      </c>
    </row>
    <row r="5348" spans="1:3">
      <c r="A5348">
        <v>1009242</v>
      </c>
      <c r="B5348">
        <v>3439012</v>
      </c>
      <c r="C5348" s="32">
        <v>43071.290798611109</v>
      </c>
    </row>
    <row r="5349" spans="1:3">
      <c r="A5349">
        <v>774640</v>
      </c>
      <c r="B5349">
        <v>2476560</v>
      </c>
      <c r="C5349" s="32">
        <v>43072.629594907405</v>
      </c>
    </row>
    <row r="5350" spans="1:3">
      <c r="A5350">
        <v>443089</v>
      </c>
      <c r="B5350">
        <v>1834026</v>
      </c>
      <c r="C5350" s="32">
        <v>43070.421238425923</v>
      </c>
    </row>
    <row r="5351" spans="1:3">
      <c r="A5351">
        <v>421284</v>
      </c>
      <c r="B5351">
        <v>553365</v>
      </c>
      <c r="C5351" s="32">
        <v>43072.546886574077</v>
      </c>
    </row>
    <row r="5352" spans="1:3">
      <c r="A5352">
        <v>808275</v>
      </c>
      <c r="B5352">
        <v>2419959</v>
      </c>
      <c r="C5352" s="32">
        <v>43069.670844907407</v>
      </c>
    </row>
    <row r="5353" spans="1:3">
      <c r="A5353">
        <v>494188</v>
      </c>
      <c r="B5353">
        <v>1379146</v>
      </c>
      <c r="C5353" s="32">
        <v>43070.185300925928</v>
      </c>
    </row>
    <row r="5354" spans="1:3">
      <c r="A5354">
        <v>987655</v>
      </c>
      <c r="B5354">
        <v>1910923</v>
      </c>
      <c r="C5354" s="32">
        <v>43072.523379629631</v>
      </c>
    </row>
    <row r="5355" spans="1:3">
      <c r="A5355">
        <v>156146</v>
      </c>
      <c r="B5355">
        <v>3747017</v>
      </c>
      <c r="C5355" s="32">
        <v>43071.142361111109</v>
      </c>
    </row>
    <row r="5356" spans="1:3">
      <c r="A5356">
        <v>598038</v>
      </c>
      <c r="B5356">
        <v>2479420</v>
      </c>
      <c r="C5356" s="32">
        <v>43071.700740740744</v>
      </c>
    </row>
    <row r="5357" spans="1:3">
      <c r="A5357">
        <v>620456</v>
      </c>
      <c r="B5357">
        <v>1524094</v>
      </c>
      <c r="C5357" s="32">
        <v>43072.594155092593</v>
      </c>
    </row>
    <row r="5358" spans="1:3">
      <c r="A5358">
        <v>1003330</v>
      </c>
      <c r="B5358">
        <v>384755</v>
      </c>
      <c r="C5358" s="32">
        <v>43072.270416666666</v>
      </c>
    </row>
    <row r="5359" spans="1:3">
      <c r="A5359">
        <v>33180</v>
      </c>
      <c r="B5359">
        <v>2355072</v>
      </c>
      <c r="C5359" s="32">
        <v>43071.600034722222</v>
      </c>
    </row>
    <row r="5360" spans="1:3">
      <c r="A5360">
        <v>582864</v>
      </c>
      <c r="B5360">
        <v>3607361</v>
      </c>
      <c r="C5360" s="32">
        <v>43070.944814814815</v>
      </c>
    </row>
    <row r="5361" spans="1:3">
      <c r="A5361">
        <v>993282</v>
      </c>
      <c r="B5361">
        <v>1397912</v>
      </c>
      <c r="C5361" s="32">
        <v>43072.147256944445</v>
      </c>
    </row>
    <row r="5362" spans="1:3">
      <c r="A5362">
        <v>188467</v>
      </c>
      <c r="B5362">
        <v>3826089</v>
      </c>
      <c r="C5362" s="32">
        <v>43072.456875000003</v>
      </c>
    </row>
    <row r="5363" spans="1:3">
      <c r="A5363">
        <v>22239</v>
      </c>
      <c r="B5363">
        <v>410749</v>
      </c>
      <c r="C5363" s="32">
        <v>43071.112673611111</v>
      </c>
    </row>
    <row r="5364" spans="1:3">
      <c r="A5364">
        <v>219212</v>
      </c>
      <c r="B5364">
        <v>1320293</v>
      </c>
      <c r="C5364" s="32">
        <v>43072.286562499998</v>
      </c>
    </row>
    <row r="5365" spans="1:3">
      <c r="A5365">
        <v>493601</v>
      </c>
      <c r="B5365">
        <v>3904106</v>
      </c>
      <c r="C5365" s="32">
        <v>43070.642465277779</v>
      </c>
    </row>
    <row r="5366" spans="1:3">
      <c r="A5366">
        <v>59216</v>
      </c>
      <c r="B5366">
        <v>4583884</v>
      </c>
      <c r="C5366" s="32">
        <v>43070.593946759262</v>
      </c>
    </row>
    <row r="5367" spans="1:3">
      <c r="A5367">
        <v>192627</v>
      </c>
      <c r="B5367">
        <v>2578647</v>
      </c>
      <c r="C5367" s="32">
        <v>43072.521238425928</v>
      </c>
    </row>
    <row r="5368" spans="1:3">
      <c r="A5368">
        <v>889556</v>
      </c>
      <c r="B5368">
        <v>149192</v>
      </c>
      <c r="C5368" s="32">
        <v>43071.537905092591</v>
      </c>
    </row>
    <row r="5369" spans="1:3">
      <c r="A5369">
        <v>581634</v>
      </c>
      <c r="B5369">
        <v>1872294</v>
      </c>
      <c r="C5369" s="32">
        <v>43072.551805555559</v>
      </c>
    </row>
    <row r="5370" spans="1:3">
      <c r="A5370">
        <v>549477</v>
      </c>
      <c r="B5370">
        <v>2982027</v>
      </c>
      <c r="C5370" s="32">
        <v>43072.619293981479</v>
      </c>
    </row>
    <row r="5371" spans="1:3">
      <c r="A5371">
        <v>653629</v>
      </c>
      <c r="B5371">
        <v>3738615</v>
      </c>
      <c r="C5371" s="32">
        <v>43071.174166666664</v>
      </c>
    </row>
    <row r="5372" spans="1:3">
      <c r="A5372">
        <v>776699</v>
      </c>
      <c r="B5372">
        <v>2926020</v>
      </c>
      <c r="C5372" s="32">
        <v>43070.538298611114</v>
      </c>
    </row>
    <row r="5373" spans="1:3">
      <c r="A5373">
        <v>440879</v>
      </c>
      <c r="B5373">
        <v>4458428</v>
      </c>
      <c r="C5373" s="32">
        <v>43070.649155092593</v>
      </c>
    </row>
    <row r="5374" spans="1:3">
      <c r="A5374">
        <v>657459</v>
      </c>
      <c r="B5374">
        <v>4145813</v>
      </c>
      <c r="C5374" s="32">
        <v>43071.515763888892</v>
      </c>
    </row>
    <row r="5375" spans="1:3">
      <c r="A5375">
        <v>490279</v>
      </c>
      <c r="B5375">
        <v>1379146</v>
      </c>
      <c r="C5375" s="32">
        <v>43071.50037037037</v>
      </c>
    </row>
    <row r="5376" spans="1:3">
      <c r="A5376">
        <v>26161</v>
      </c>
      <c r="B5376">
        <v>992700</v>
      </c>
      <c r="C5376" s="32">
        <v>43070.621863425928</v>
      </c>
    </row>
    <row r="5377" spans="1:3">
      <c r="A5377">
        <v>861848</v>
      </c>
      <c r="B5377">
        <v>149192</v>
      </c>
      <c r="C5377" s="32">
        <v>43070.599965277775</v>
      </c>
    </row>
    <row r="5378" spans="1:3">
      <c r="A5378">
        <v>150203</v>
      </c>
      <c r="B5378">
        <v>4145813</v>
      </c>
      <c r="C5378" s="32">
        <v>43071.550868055558</v>
      </c>
    </row>
    <row r="5379" spans="1:3">
      <c r="A5379">
        <v>921685</v>
      </c>
      <c r="B5379">
        <v>2640118</v>
      </c>
      <c r="C5379" s="32">
        <v>43072.633067129631</v>
      </c>
    </row>
    <row r="5380" spans="1:3">
      <c r="A5380">
        <v>123611</v>
      </c>
      <c r="B5380">
        <v>2640118</v>
      </c>
      <c r="C5380" s="32">
        <v>43070.580497685187</v>
      </c>
    </row>
    <row r="5381" spans="1:3">
      <c r="A5381">
        <v>369962</v>
      </c>
      <c r="B5381">
        <v>2520377</v>
      </c>
      <c r="C5381" s="32">
        <v>43072.548796296294</v>
      </c>
    </row>
    <row r="5382" spans="1:3">
      <c r="A5382">
        <v>618647</v>
      </c>
      <c r="B5382">
        <v>2409814</v>
      </c>
      <c r="C5382" s="32">
        <v>43071.637083333335</v>
      </c>
    </row>
    <row r="5383" spans="1:3">
      <c r="A5383">
        <v>185736</v>
      </c>
      <c r="B5383">
        <v>4801426</v>
      </c>
      <c r="C5383" s="32">
        <v>43070.542974537035</v>
      </c>
    </row>
    <row r="5384" spans="1:3">
      <c r="A5384">
        <v>583825</v>
      </c>
      <c r="B5384">
        <v>2735466</v>
      </c>
      <c r="C5384" s="32">
        <v>43070.664212962962</v>
      </c>
    </row>
    <row r="5385" spans="1:3">
      <c r="A5385">
        <v>993038</v>
      </c>
      <c r="B5385">
        <v>1635619</v>
      </c>
      <c r="C5385" s="32">
        <v>43071.945034722223</v>
      </c>
    </row>
    <row r="5386" spans="1:3">
      <c r="A5386">
        <v>608605</v>
      </c>
      <c r="B5386">
        <v>1464116</v>
      </c>
      <c r="C5386" s="32">
        <v>43071.787766203706</v>
      </c>
    </row>
    <row r="5387" spans="1:3">
      <c r="A5387">
        <v>875999</v>
      </c>
      <c r="B5387">
        <v>366112</v>
      </c>
      <c r="C5387" s="32">
        <v>43070.530821759261</v>
      </c>
    </row>
    <row r="5388" spans="1:3">
      <c r="A5388">
        <v>666068</v>
      </c>
      <c r="B5388">
        <v>4756105</v>
      </c>
      <c r="C5388" s="32">
        <v>43072.581793981481</v>
      </c>
    </row>
    <row r="5389" spans="1:3">
      <c r="A5389">
        <v>624756</v>
      </c>
      <c r="B5389">
        <v>2735466</v>
      </c>
      <c r="C5389" s="32">
        <v>43070.147766203707</v>
      </c>
    </row>
    <row r="5390" spans="1:3">
      <c r="A5390">
        <v>848748</v>
      </c>
      <c r="B5390">
        <v>1299190</v>
      </c>
      <c r="C5390" s="32">
        <v>43071.059212962966</v>
      </c>
    </row>
    <row r="5391" spans="1:3">
      <c r="A5391">
        <v>944555</v>
      </c>
      <c r="B5391">
        <v>4181361</v>
      </c>
      <c r="C5391" s="32">
        <v>43071.311597222222</v>
      </c>
    </row>
    <row r="5392" spans="1:3">
      <c r="A5392">
        <v>779338</v>
      </c>
      <c r="B5392">
        <v>2877672</v>
      </c>
      <c r="C5392" s="32">
        <v>43071.652314814812</v>
      </c>
    </row>
    <row r="5393" spans="1:3">
      <c r="A5393">
        <v>833968</v>
      </c>
      <c r="B5393">
        <v>4069500</v>
      </c>
      <c r="C5393" s="32">
        <v>43070.291458333333</v>
      </c>
    </row>
    <row r="5394" spans="1:3">
      <c r="A5394">
        <v>103266</v>
      </c>
      <c r="B5394">
        <v>235534</v>
      </c>
      <c r="C5394" s="32">
        <v>43072.53193287037</v>
      </c>
    </row>
    <row r="5395" spans="1:3">
      <c r="A5395">
        <v>156046</v>
      </c>
      <c r="B5395">
        <v>2321441</v>
      </c>
      <c r="C5395" s="32">
        <v>43070.998530092591</v>
      </c>
    </row>
    <row r="5396" spans="1:3">
      <c r="A5396">
        <v>186299</v>
      </c>
      <c r="B5396">
        <v>1813610</v>
      </c>
      <c r="C5396" s="32">
        <v>43072.443020833336</v>
      </c>
    </row>
    <row r="5397" spans="1:3">
      <c r="A5397">
        <v>382327</v>
      </c>
      <c r="B5397">
        <v>3844144</v>
      </c>
      <c r="C5397" s="32">
        <v>43072.295752314814</v>
      </c>
    </row>
    <row r="5398" spans="1:3">
      <c r="A5398">
        <v>837292</v>
      </c>
      <c r="B5398">
        <v>3138705</v>
      </c>
      <c r="C5398" s="32">
        <v>43071.649004629631</v>
      </c>
    </row>
    <row r="5399" spans="1:3">
      <c r="A5399">
        <v>969766</v>
      </c>
      <c r="B5399">
        <v>3002561</v>
      </c>
      <c r="C5399" s="32">
        <v>43072.608715277776</v>
      </c>
    </row>
    <row r="5400" spans="1:3">
      <c r="A5400">
        <v>281178</v>
      </c>
      <c r="B5400">
        <v>3002561</v>
      </c>
      <c r="C5400" s="32">
        <v>43071.378506944442</v>
      </c>
    </row>
    <row r="5401" spans="1:3">
      <c r="A5401">
        <v>809696</v>
      </c>
      <c r="B5401">
        <v>1789614</v>
      </c>
      <c r="C5401" s="32">
        <v>43072.040532407409</v>
      </c>
    </row>
    <row r="5402" spans="1:3">
      <c r="A5402">
        <v>377312</v>
      </c>
      <c r="B5402">
        <v>1320293</v>
      </c>
      <c r="C5402" s="32">
        <v>43071.655543981484</v>
      </c>
    </row>
    <row r="5403" spans="1:3">
      <c r="A5403">
        <v>867223</v>
      </c>
      <c r="B5403">
        <v>1320293</v>
      </c>
      <c r="C5403" s="32">
        <v>43071.589502314811</v>
      </c>
    </row>
    <row r="5404" spans="1:3">
      <c r="A5404">
        <v>473940</v>
      </c>
      <c r="B5404">
        <v>72526</v>
      </c>
      <c r="C5404" s="32">
        <v>43070.712708333333</v>
      </c>
    </row>
    <row r="5405" spans="1:3">
      <c r="A5405">
        <v>674264</v>
      </c>
      <c r="B5405">
        <v>1029459</v>
      </c>
      <c r="C5405" s="32">
        <v>43070.578425925924</v>
      </c>
    </row>
    <row r="5406" spans="1:3">
      <c r="A5406">
        <v>958231</v>
      </c>
      <c r="B5406">
        <v>259455</v>
      </c>
      <c r="C5406" s="32">
        <v>43072.050543981481</v>
      </c>
    </row>
    <row r="5407" spans="1:3">
      <c r="A5407">
        <v>694518</v>
      </c>
      <c r="B5407">
        <v>901282</v>
      </c>
      <c r="C5407" s="32">
        <v>43070.177094907405</v>
      </c>
    </row>
    <row r="5408" spans="1:3">
      <c r="A5408">
        <v>892122</v>
      </c>
      <c r="B5408">
        <v>4801426</v>
      </c>
      <c r="C5408" s="32">
        <v>43071.468923611108</v>
      </c>
    </row>
    <row r="5409" spans="1:3">
      <c r="A5409">
        <v>247380</v>
      </c>
      <c r="B5409">
        <v>4789432</v>
      </c>
      <c r="C5409" s="32">
        <v>43070.517696759256</v>
      </c>
    </row>
    <row r="5410" spans="1:3">
      <c r="A5410">
        <v>439097</v>
      </c>
      <c r="B5410">
        <v>4244487</v>
      </c>
      <c r="C5410" s="32">
        <v>43072.584282407406</v>
      </c>
    </row>
    <row r="5411" spans="1:3">
      <c r="A5411">
        <v>533979</v>
      </c>
      <c r="B5411">
        <v>327651</v>
      </c>
      <c r="C5411" s="32">
        <v>43070.222731481481</v>
      </c>
    </row>
    <row r="5412" spans="1:3">
      <c r="A5412">
        <v>409447</v>
      </c>
      <c r="B5412">
        <v>4801426</v>
      </c>
      <c r="C5412" s="32">
        <v>43071.713587962964</v>
      </c>
    </row>
    <row r="5413" spans="1:3">
      <c r="A5413">
        <v>900251</v>
      </c>
      <c r="B5413">
        <v>4643350</v>
      </c>
      <c r="C5413" s="32">
        <v>43072.550347222219</v>
      </c>
    </row>
    <row r="5414" spans="1:3">
      <c r="A5414">
        <v>1015875</v>
      </c>
      <c r="B5414">
        <v>4145813</v>
      </c>
      <c r="C5414" s="32">
        <v>43072.081307870372</v>
      </c>
    </row>
    <row r="5415" spans="1:3">
      <c r="A5415">
        <v>81892</v>
      </c>
      <c r="B5415">
        <v>982926</v>
      </c>
      <c r="C5415" s="32">
        <v>43071.548576388886</v>
      </c>
    </row>
    <row r="5416" spans="1:3">
      <c r="A5416">
        <v>353708</v>
      </c>
      <c r="B5416">
        <v>3833912</v>
      </c>
      <c r="C5416" s="32">
        <v>43071.720173611109</v>
      </c>
    </row>
    <row r="5417" spans="1:3">
      <c r="A5417">
        <v>199957</v>
      </c>
      <c r="B5417">
        <v>4756105</v>
      </c>
      <c r="C5417" s="32">
        <v>43072.499016203707</v>
      </c>
    </row>
    <row r="5418" spans="1:3">
      <c r="A5418">
        <v>531289</v>
      </c>
      <c r="B5418">
        <v>4643350</v>
      </c>
      <c r="C5418" s="32">
        <v>43072.069328703707</v>
      </c>
    </row>
    <row r="5419" spans="1:3">
      <c r="A5419">
        <v>564607</v>
      </c>
      <c r="B5419">
        <v>1051370</v>
      </c>
      <c r="C5419" s="32">
        <v>43072.488958333335</v>
      </c>
    </row>
    <row r="5420" spans="1:3">
      <c r="A5420">
        <v>899216</v>
      </c>
      <c r="B5420">
        <v>4159072</v>
      </c>
      <c r="C5420" s="32">
        <v>43071.301805555559</v>
      </c>
    </row>
    <row r="5421" spans="1:3">
      <c r="A5421">
        <v>669445</v>
      </c>
      <c r="B5421">
        <v>274067</v>
      </c>
      <c r="C5421" s="32">
        <v>43072.1091087963</v>
      </c>
    </row>
    <row r="5422" spans="1:3">
      <c r="A5422">
        <v>338343</v>
      </c>
      <c r="B5422">
        <v>3065645</v>
      </c>
      <c r="C5422" s="32">
        <v>43072.282141203701</v>
      </c>
    </row>
    <row r="5423" spans="1:3">
      <c r="A5423">
        <v>161602</v>
      </c>
      <c r="B5423">
        <v>1449177</v>
      </c>
      <c r="C5423" s="32">
        <v>43072.205231481479</v>
      </c>
    </row>
    <row r="5424" spans="1:3">
      <c r="A5424">
        <v>321705</v>
      </c>
      <c r="B5424">
        <v>2994558</v>
      </c>
      <c r="C5424" s="32">
        <v>43072.527812499997</v>
      </c>
    </row>
    <row r="5425" spans="1:3">
      <c r="A5425">
        <v>132084</v>
      </c>
      <c r="B5425">
        <v>2982027</v>
      </c>
      <c r="C5425" s="32">
        <v>43070.61619212963</v>
      </c>
    </row>
    <row r="5426" spans="1:3">
      <c r="A5426">
        <v>995929</v>
      </c>
      <c r="B5426">
        <v>3607361</v>
      </c>
      <c r="C5426" s="32">
        <v>43071.238275462965</v>
      </c>
    </row>
    <row r="5427" spans="1:3">
      <c r="A5427">
        <v>361454</v>
      </c>
      <c r="B5427">
        <v>2131531</v>
      </c>
      <c r="C5427" s="32">
        <v>43070.358159722222</v>
      </c>
    </row>
    <row r="5428" spans="1:3">
      <c r="A5428">
        <v>192225</v>
      </c>
      <c r="B5428">
        <v>3672452</v>
      </c>
      <c r="C5428" s="32">
        <v>43070.586643518516</v>
      </c>
    </row>
    <row r="5429" spans="1:3">
      <c r="A5429">
        <v>143904</v>
      </c>
      <c r="B5429">
        <v>4756105</v>
      </c>
      <c r="C5429" s="32">
        <v>43070.242743055554</v>
      </c>
    </row>
    <row r="5430" spans="1:3">
      <c r="A5430">
        <v>955835</v>
      </c>
      <c r="B5430">
        <v>411153</v>
      </c>
      <c r="C5430" s="32">
        <v>43072.013321759259</v>
      </c>
    </row>
    <row r="5431" spans="1:3">
      <c r="A5431">
        <v>912891</v>
      </c>
      <c r="B5431">
        <v>3108044</v>
      </c>
      <c r="C5431" s="32">
        <v>43072.15425925926</v>
      </c>
    </row>
    <row r="5432" spans="1:3">
      <c r="A5432">
        <v>447432</v>
      </c>
      <c r="B5432">
        <v>2293367</v>
      </c>
      <c r="C5432" s="32">
        <v>43070.880902777775</v>
      </c>
    </row>
    <row r="5433" spans="1:3">
      <c r="A5433">
        <v>818619</v>
      </c>
      <c r="B5433">
        <v>3299155</v>
      </c>
      <c r="C5433" s="32">
        <v>43070.577118055553</v>
      </c>
    </row>
    <row r="5434" spans="1:3">
      <c r="A5434">
        <v>731133</v>
      </c>
      <c r="B5434">
        <v>2131531</v>
      </c>
      <c r="C5434" s="32">
        <v>43071.547303240739</v>
      </c>
    </row>
    <row r="5435" spans="1:3">
      <c r="A5435">
        <v>466347</v>
      </c>
      <c r="B5435">
        <v>4956748</v>
      </c>
      <c r="C5435" s="32">
        <v>43070.261469907404</v>
      </c>
    </row>
    <row r="5436" spans="1:3">
      <c r="A5436">
        <v>832857</v>
      </c>
      <c r="B5436">
        <v>4145813</v>
      </c>
      <c r="C5436" s="32">
        <v>43070.514016203706</v>
      </c>
    </row>
    <row r="5437" spans="1:3">
      <c r="A5437">
        <v>458543</v>
      </c>
      <c r="B5437">
        <v>3738615</v>
      </c>
      <c r="C5437" s="32">
        <v>43071.477951388886</v>
      </c>
    </row>
    <row r="5438" spans="1:3">
      <c r="A5438">
        <v>625707</v>
      </c>
      <c r="B5438">
        <v>737184</v>
      </c>
      <c r="C5438" s="32">
        <v>43072.413680555554</v>
      </c>
    </row>
    <row r="5439" spans="1:3">
      <c r="A5439">
        <v>489938</v>
      </c>
      <c r="B5439">
        <v>2735466</v>
      </c>
      <c r="C5439" s="32">
        <v>43070.513032407405</v>
      </c>
    </row>
    <row r="5440" spans="1:3">
      <c r="A5440">
        <v>239593</v>
      </c>
      <c r="B5440">
        <v>982926</v>
      </c>
      <c r="C5440" s="32">
        <v>43072.617407407408</v>
      </c>
    </row>
    <row r="5441" spans="1:3">
      <c r="A5441">
        <v>743387</v>
      </c>
      <c r="B5441">
        <v>3826089</v>
      </c>
      <c r="C5441" s="32">
        <v>43071.206701388888</v>
      </c>
    </row>
    <row r="5442" spans="1:3">
      <c r="A5442">
        <v>604754</v>
      </c>
      <c r="B5442">
        <v>2702525</v>
      </c>
      <c r="C5442" s="32">
        <v>43071.6484375</v>
      </c>
    </row>
    <row r="5443" spans="1:3">
      <c r="A5443">
        <v>321773</v>
      </c>
      <c r="B5443">
        <v>3415438</v>
      </c>
      <c r="C5443" s="32">
        <v>43072.146678240744</v>
      </c>
    </row>
    <row r="5444" spans="1:3">
      <c r="A5444">
        <v>213557</v>
      </c>
      <c r="B5444">
        <v>2355072</v>
      </c>
      <c r="C5444" s="32">
        <v>43071.256226851852</v>
      </c>
    </row>
    <row r="5445" spans="1:3">
      <c r="A5445">
        <v>725475</v>
      </c>
      <c r="B5445">
        <v>4217906</v>
      </c>
      <c r="C5445" s="32">
        <v>43072.330694444441</v>
      </c>
    </row>
    <row r="5446" spans="1:3">
      <c r="A5446">
        <v>515557</v>
      </c>
      <c r="B5446">
        <v>3172967</v>
      </c>
      <c r="C5446" s="32">
        <v>43070.623252314814</v>
      </c>
    </row>
    <row r="5447" spans="1:3">
      <c r="A5447">
        <v>562485</v>
      </c>
      <c r="B5447">
        <v>4801426</v>
      </c>
      <c r="C5447" s="32">
        <v>43072.621481481481</v>
      </c>
    </row>
    <row r="5448" spans="1:3">
      <c r="A5448">
        <v>9261</v>
      </c>
      <c r="B5448">
        <v>4690421</v>
      </c>
      <c r="C5448" s="32">
        <v>43072.401388888888</v>
      </c>
    </row>
    <row r="5449" spans="1:3">
      <c r="A5449">
        <v>117582</v>
      </c>
      <c r="B5449">
        <v>1474371</v>
      </c>
      <c r="C5449" s="32">
        <v>43072.018460648149</v>
      </c>
    </row>
    <row r="5450" spans="1:3">
      <c r="A5450">
        <v>643904</v>
      </c>
      <c r="B5450">
        <v>2966303</v>
      </c>
      <c r="C5450" s="32">
        <v>43071.285810185182</v>
      </c>
    </row>
    <row r="5451" spans="1:3">
      <c r="A5451">
        <v>139562</v>
      </c>
      <c r="B5451">
        <v>3138705</v>
      </c>
      <c r="C5451" s="32">
        <v>43071.369375000002</v>
      </c>
    </row>
    <row r="5452" spans="1:3">
      <c r="A5452">
        <v>344724</v>
      </c>
      <c r="B5452">
        <v>4145813</v>
      </c>
      <c r="C5452" s="32">
        <v>43070.597280092596</v>
      </c>
    </row>
    <row r="5453" spans="1:3">
      <c r="A5453">
        <v>189833</v>
      </c>
      <c r="B5453">
        <v>2920476</v>
      </c>
      <c r="C5453" s="32">
        <v>43072.16306712963</v>
      </c>
    </row>
    <row r="5454" spans="1:3">
      <c r="A5454">
        <v>143779</v>
      </c>
      <c r="B5454">
        <v>1320293</v>
      </c>
      <c r="C5454" s="32">
        <v>43072.539085648146</v>
      </c>
    </row>
    <row r="5455" spans="1:3">
      <c r="A5455">
        <v>1013834</v>
      </c>
      <c r="B5455">
        <v>4089476</v>
      </c>
      <c r="C5455" s="32">
        <v>43070.630995370368</v>
      </c>
    </row>
    <row r="5456" spans="1:3">
      <c r="A5456">
        <v>389598</v>
      </c>
      <c r="B5456">
        <v>4756105</v>
      </c>
      <c r="C5456" s="32">
        <v>43072.396828703706</v>
      </c>
    </row>
    <row r="5457" spans="1:3">
      <c r="A5457">
        <v>953041</v>
      </c>
      <c r="B5457">
        <v>1575622</v>
      </c>
      <c r="C5457" s="32">
        <v>43071.58935185185</v>
      </c>
    </row>
    <row r="5458" spans="1:3">
      <c r="A5458">
        <v>1001693</v>
      </c>
      <c r="B5458">
        <v>1051370</v>
      </c>
      <c r="C5458" s="32">
        <v>43071.602094907408</v>
      </c>
    </row>
    <row r="5459" spans="1:3">
      <c r="A5459">
        <v>328909</v>
      </c>
      <c r="B5459">
        <v>4217906</v>
      </c>
      <c r="C5459" s="32">
        <v>43070.33934027778</v>
      </c>
    </row>
    <row r="5460" spans="1:3">
      <c r="A5460">
        <v>166663</v>
      </c>
      <c r="B5460">
        <v>5052842</v>
      </c>
      <c r="C5460" s="32">
        <v>43071.025381944448</v>
      </c>
    </row>
    <row r="5461" spans="1:3">
      <c r="A5461">
        <v>839387</v>
      </c>
      <c r="B5461">
        <v>2476560</v>
      </c>
      <c r="C5461" s="32">
        <v>43072.277465277781</v>
      </c>
    </row>
    <row r="5462" spans="1:3">
      <c r="A5462">
        <v>878611</v>
      </c>
      <c r="B5462">
        <v>267209</v>
      </c>
      <c r="C5462" s="32">
        <v>43071.255231481482</v>
      </c>
    </row>
    <row r="5463" spans="1:3">
      <c r="A5463">
        <v>800207</v>
      </c>
      <c r="B5463">
        <v>2158079</v>
      </c>
      <c r="C5463" s="32">
        <v>43071.784513888888</v>
      </c>
    </row>
    <row r="5464" spans="1:3">
      <c r="A5464">
        <v>230244</v>
      </c>
      <c r="B5464">
        <v>149192</v>
      </c>
      <c r="C5464" s="32">
        <v>43072.124212962961</v>
      </c>
    </row>
    <row r="5465" spans="1:3">
      <c r="A5465">
        <v>160351</v>
      </c>
      <c r="B5465">
        <v>3607361</v>
      </c>
      <c r="C5465" s="32">
        <v>43070.529293981483</v>
      </c>
    </row>
    <row r="5466" spans="1:3">
      <c r="A5466">
        <v>537519</v>
      </c>
      <c r="B5466">
        <v>3112817</v>
      </c>
      <c r="C5466" s="32">
        <v>43071.116712962961</v>
      </c>
    </row>
    <row r="5467" spans="1:3">
      <c r="A5467">
        <v>12149</v>
      </c>
      <c r="B5467">
        <v>2891408</v>
      </c>
      <c r="C5467" s="32">
        <v>43070.708321759259</v>
      </c>
    </row>
    <row r="5468" spans="1:3">
      <c r="A5468">
        <v>684020</v>
      </c>
      <c r="B5468">
        <v>4756105</v>
      </c>
      <c r="C5468" s="32">
        <v>43071.225416666668</v>
      </c>
    </row>
    <row r="5469" spans="1:3">
      <c r="A5469">
        <v>111025</v>
      </c>
      <c r="B5469">
        <v>3604509</v>
      </c>
      <c r="C5469" s="32">
        <v>43072.092453703706</v>
      </c>
    </row>
    <row r="5470" spans="1:3">
      <c r="A5470">
        <v>724831</v>
      </c>
      <c r="B5470">
        <v>2520377</v>
      </c>
      <c r="C5470" s="32">
        <v>43071.571886574071</v>
      </c>
    </row>
    <row r="5471" spans="1:3">
      <c r="A5471">
        <v>222053</v>
      </c>
      <c r="B5471">
        <v>753984</v>
      </c>
      <c r="C5471" s="32">
        <v>43070.141006944446</v>
      </c>
    </row>
    <row r="5472" spans="1:3">
      <c r="A5472">
        <v>268023</v>
      </c>
      <c r="B5472">
        <v>4756105</v>
      </c>
      <c r="C5472" s="32">
        <v>43072.435844907406</v>
      </c>
    </row>
    <row r="5473" spans="1:3">
      <c r="A5473">
        <v>717145</v>
      </c>
      <c r="B5473">
        <v>3323023</v>
      </c>
      <c r="C5473" s="32">
        <v>43071.55978009259</v>
      </c>
    </row>
    <row r="5474" spans="1:3">
      <c r="A5474">
        <v>46979</v>
      </c>
      <c r="B5474">
        <v>1320293</v>
      </c>
      <c r="C5474" s="32">
        <v>43070.637812499997</v>
      </c>
    </row>
    <row r="5475" spans="1:3">
      <c r="A5475">
        <v>231737</v>
      </c>
      <c r="B5475">
        <v>1080785</v>
      </c>
      <c r="C5475" s="32">
        <v>43071.682314814818</v>
      </c>
    </row>
    <row r="5476" spans="1:3">
      <c r="A5476">
        <v>919955</v>
      </c>
      <c r="B5476">
        <v>3864364</v>
      </c>
      <c r="C5476" s="32">
        <v>43071.157604166663</v>
      </c>
    </row>
    <row r="5477" spans="1:3">
      <c r="A5477">
        <v>27195</v>
      </c>
      <c r="B5477">
        <v>4756105</v>
      </c>
      <c r="C5477" s="32">
        <v>43070.526666666665</v>
      </c>
    </row>
    <row r="5478" spans="1:3">
      <c r="A5478">
        <v>914509</v>
      </c>
      <c r="B5478">
        <v>4756105</v>
      </c>
      <c r="C5478" s="32">
        <v>43072.231215277781</v>
      </c>
    </row>
    <row r="5479" spans="1:3">
      <c r="A5479">
        <v>186299</v>
      </c>
      <c r="B5479">
        <v>4756105</v>
      </c>
      <c r="C5479" s="32">
        <v>43072.259340277778</v>
      </c>
    </row>
    <row r="5480" spans="1:3">
      <c r="A5480">
        <v>190886</v>
      </c>
      <c r="B5480">
        <v>4145813</v>
      </c>
      <c r="C5480" s="32">
        <v>43071.073368055557</v>
      </c>
    </row>
    <row r="5481" spans="1:3">
      <c r="A5481">
        <v>810512</v>
      </c>
      <c r="B5481">
        <v>3188631</v>
      </c>
      <c r="C5481" s="32">
        <v>43071.387256944443</v>
      </c>
    </row>
    <row r="5482" spans="1:3">
      <c r="A5482">
        <v>981781</v>
      </c>
      <c r="B5482">
        <v>3004853</v>
      </c>
      <c r="C5482" s="32">
        <v>43071.634780092594</v>
      </c>
    </row>
    <row r="5483" spans="1:3">
      <c r="A5483">
        <v>797600</v>
      </c>
      <c r="B5483">
        <v>2644484</v>
      </c>
      <c r="C5483" s="32">
        <v>43070.622199074074</v>
      </c>
    </row>
    <row r="5484" spans="1:3">
      <c r="A5484">
        <v>313236</v>
      </c>
      <c r="B5484">
        <v>4145813</v>
      </c>
      <c r="C5484" s="32">
        <v>43070.715057870373</v>
      </c>
    </row>
    <row r="5485" spans="1:3">
      <c r="A5485">
        <v>824168</v>
      </c>
      <c r="B5485">
        <v>4357323</v>
      </c>
      <c r="C5485" s="32">
        <v>43071.658078703702</v>
      </c>
    </row>
    <row r="5486" spans="1:3">
      <c r="A5486">
        <v>466807</v>
      </c>
      <c r="B5486">
        <v>570735</v>
      </c>
      <c r="C5486" s="32">
        <v>43070.347430555557</v>
      </c>
    </row>
    <row r="5487" spans="1:3">
      <c r="A5487">
        <v>683920</v>
      </c>
      <c r="B5487">
        <v>4756105</v>
      </c>
      <c r="C5487" s="32">
        <v>43071.535555555558</v>
      </c>
    </row>
    <row r="5488" spans="1:3">
      <c r="A5488">
        <v>36470</v>
      </c>
      <c r="B5488">
        <v>4801426</v>
      </c>
      <c r="C5488" s="32">
        <v>43071.08792824074</v>
      </c>
    </row>
    <row r="5489" spans="1:3">
      <c r="A5489">
        <v>581823</v>
      </c>
      <c r="B5489">
        <v>4801426</v>
      </c>
      <c r="C5489" s="32">
        <v>43070.38177083333</v>
      </c>
    </row>
    <row r="5490" spans="1:3">
      <c r="A5490">
        <v>726230</v>
      </c>
      <c r="B5490">
        <v>245312</v>
      </c>
      <c r="C5490" s="32">
        <v>43072.543090277781</v>
      </c>
    </row>
    <row r="5491" spans="1:3">
      <c r="A5491">
        <v>205383</v>
      </c>
      <c r="B5491">
        <v>411153</v>
      </c>
      <c r="C5491" s="32">
        <v>43072.606400462966</v>
      </c>
    </row>
    <row r="5492" spans="1:3">
      <c r="A5492">
        <v>629837</v>
      </c>
      <c r="B5492">
        <v>3189162</v>
      </c>
      <c r="C5492" s="32">
        <v>43071.640208333331</v>
      </c>
    </row>
    <row r="5493" spans="1:3">
      <c r="A5493">
        <v>268882</v>
      </c>
      <c r="B5493">
        <v>4181361</v>
      </c>
      <c r="C5493" s="32">
        <v>43072.573912037034</v>
      </c>
    </row>
    <row r="5494" spans="1:3">
      <c r="A5494">
        <v>356255</v>
      </c>
      <c r="B5494">
        <v>2181935</v>
      </c>
      <c r="C5494" s="32">
        <v>43071.263090277775</v>
      </c>
    </row>
    <row r="5495" spans="1:3">
      <c r="A5495">
        <v>696753</v>
      </c>
      <c r="B5495">
        <v>753984</v>
      </c>
      <c r="C5495" s="32">
        <v>43070.679918981485</v>
      </c>
    </row>
    <row r="5496" spans="1:3">
      <c r="A5496">
        <v>173576</v>
      </c>
      <c r="B5496">
        <v>1349561</v>
      </c>
      <c r="C5496" s="32">
        <v>43070.516643518517</v>
      </c>
    </row>
    <row r="5497" spans="1:3">
      <c r="A5497">
        <v>194165</v>
      </c>
      <c r="B5497">
        <v>982926</v>
      </c>
      <c r="C5497" s="32">
        <v>43071.583564814813</v>
      </c>
    </row>
    <row r="5498" spans="1:3">
      <c r="A5498">
        <v>370160</v>
      </c>
      <c r="B5498">
        <v>3645362</v>
      </c>
      <c r="C5498" s="32">
        <v>43071.618680555555</v>
      </c>
    </row>
    <row r="5499" spans="1:3">
      <c r="A5499">
        <v>229030</v>
      </c>
      <c r="B5499">
        <v>2355072</v>
      </c>
      <c r="C5499" s="32">
        <v>43071.374780092592</v>
      </c>
    </row>
    <row r="5500" spans="1:3">
      <c r="A5500">
        <v>329639</v>
      </c>
      <c r="B5500">
        <v>3081594</v>
      </c>
      <c r="C5500" s="32">
        <v>43072.597326388888</v>
      </c>
    </row>
    <row r="5501" spans="1:3">
      <c r="A5501">
        <v>841966</v>
      </c>
      <c r="B5501">
        <v>4284875</v>
      </c>
      <c r="C5501" s="32">
        <v>43071.643946759257</v>
      </c>
    </row>
    <row r="5502" spans="1:3">
      <c r="A5502">
        <v>738482</v>
      </c>
      <c r="B5502">
        <v>809709</v>
      </c>
      <c r="C5502" s="32">
        <v>43070.568344907406</v>
      </c>
    </row>
    <row r="5503" spans="1:3">
      <c r="A5503">
        <v>705101</v>
      </c>
      <c r="B5503">
        <v>4756105</v>
      </c>
      <c r="C5503" s="32">
        <v>43069.982233796298</v>
      </c>
    </row>
    <row r="5504" spans="1:3">
      <c r="A5504">
        <v>969699</v>
      </c>
      <c r="B5504">
        <v>222415</v>
      </c>
      <c r="C5504" s="32">
        <v>43072.380266203705</v>
      </c>
    </row>
    <row r="5505" spans="1:3">
      <c r="A5505">
        <v>749672</v>
      </c>
      <c r="B5505">
        <v>2355072</v>
      </c>
      <c r="C5505" s="32">
        <v>43071.318229166667</v>
      </c>
    </row>
    <row r="5506" spans="1:3">
      <c r="A5506">
        <v>338388</v>
      </c>
      <c r="B5506">
        <v>3123784</v>
      </c>
      <c r="C5506" s="32">
        <v>43072.04246527778</v>
      </c>
    </row>
    <row r="5507" spans="1:3">
      <c r="A5507">
        <v>118398</v>
      </c>
      <c r="B5507">
        <v>3673049</v>
      </c>
      <c r="C5507" s="32">
        <v>43071.169085648151</v>
      </c>
    </row>
    <row r="5508" spans="1:3">
      <c r="A5508">
        <v>181180</v>
      </c>
      <c r="B5508">
        <v>4015820</v>
      </c>
      <c r="C5508" s="32">
        <v>43072.180891203701</v>
      </c>
    </row>
    <row r="5509" spans="1:3">
      <c r="A5509">
        <v>362833</v>
      </c>
      <c r="B5509">
        <v>1288487</v>
      </c>
      <c r="C5509" s="32">
        <v>43071.535069444442</v>
      </c>
    </row>
    <row r="5510" spans="1:3">
      <c r="A5510">
        <v>154367</v>
      </c>
      <c r="B5510">
        <v>3232473</v>
      </c>
      <c r="C5510" s="32">
        <v>43070.231666666667</v>
      </c>
    </row>
    <row r="5511" spans="1:3">
      <c r="A5511">
        <v>953862</v>
      </c>
      <c r="B5511">
        <v>3248072</v>
      </c>
      <c r="C5511" s="32">
        <v>43072.180046296293</v>
      </c>
    </row>
    <row r="5512" spans="1:3">
      <c r="A5512">
        <v>633619</v>
      </c>
      <c r="B5512">
        <v>65720</v>
      </c>
      <c r="C5512" s="32">
        <v>43072.065370370372</v>
      </c>
    </row>
    <row r="5513" spans="1:3">
      <c r="A5513">
        <v>518753</v>
      </c>
      <c r="B5513">
        <v>1807416</v>
      </c>
      <c r="C5513" s="32">
        <v>43070.699652777781</v>
      </c>
    </row>
    <row r="5514" spans="1:3">
      <c r="A5514">
        <v>506656</v>
      </c>
      <c r="B5514">
        <v>3865465</v>
      </c>
      <c r="C5514" s="32">
        <v>43071.341574074075</v>
      </c>
    </row>
    <row r="5515" spans="1:3">
      <c r="A5515">
        <v>652026</v>
      </c>
      <c r="B5515">
        <v>4801426</v>
      </c>
      <c r="C5515" s="32">
        <v>43071.089803240742</v>
      </c>
    </row>
    <row r="5516" spans="1:3">
      <c r="A5516">
        <v>673292</v>
      </c>
      <c r="B5516">
        <v>1568197</v>
      </c>
      <c r="C5516" s="32">
        <v>43072.091689814813</v>
      </c>
    </row>
    <row r="5517" spans="1:3">
      <c r="A5517">
        <v>610535</v>
      </c>
      <c r="B5517">
        <v>4801426</v>
      </c>
      <c r="C5517" s="32">
        <v>43071.232106481482</v>
      </c>
    </row>
    <row r="5518" spans="1:3">
      <c r="A5518">
        <v>723820</v>
      </c>
      <c r="B5518">
        <v>3512409</v>
      </c>
      <c r="C5518" s="32">
        <v>43071.668587962966</v>
      </c>
    </row>
    <row r="5519" spans="1:3">
      <c r="A5519">
        <v>15346</v>
      </c>
      <c r="B5519">
        <v>3189162</v>
      </c>
      <c r="C5519" s="32">
        <v>43072.262824074074</v>
      </c>
    </row>
    <row r="5520" spans="1:3">
      <c r="A5520">
        <v>361454</v>
      </c>
      <c r="B5520">
        <v>4756105</v>
      </c>
      <c r="C5520" s="32">
        <v>43070.381030092591</v>
      </c>
    </row>
    <row r="5521" spans="1:3">
      <c r="A5521">
        <v>406344</v>
      </c>
      <c r="B5521">
        <v>2465336</v>
      </c>
      <c r="C5521" s="32">
        <v>43072.337870370371</v>
      </c>
    </row>
    <row r="5522" spans="1:3">
      <c r="A5522">
        <v>280006</v>
      </c>
      <c r="B5522">
        <v>590997</v>
      </c>
      <c r="C5522" s="32">
        <v>43070.211724537039</v>
      </c>
    </row>
    <row r="5523" spans="1:3">
      <c r="A5523">
        <v>237990</v>
      </c>
      <c r="B5523">
        <v>4801426</v>
      </c>
      <c r="C5523" s="32">
        <v>43071.276030092595</v>
      </c>
    </row>
    <row r="5524" spans="1:3">
      <c r="A5524">
        <v>90200</v>
      </c>
      <c r="B5524">
        <v>2355072</v>
      </c>
      <c r="C5524" s="32">
        <v>43070.957766203705</v>
      </c>
    </row>
    <row r="5525" spans="1:3">
      <c r="A5525">
        <v>521682</v>
      </c>
      <c r="B5525">
        <v>1879194</v>
      </c>
      <c r="C5525" s="32">
        <v>43072.366678240738</v>
      </c>
    </row>
    <row r="5526" spans="1:3">
      <c r="A5526">
        <v>119254</v>
      </c>
      <c r="B5526">
        <v>1080785</v>
      </c>
      <c r="C5526" s="32">
        <v>43071.65452546296</v>
      </c>
    </row>
    <row r="5527" spans="1:3">
      <c r="A5527">
        <v>329561</v>
      </c>
      <c r="B5527">
        <v>2926020</v>
      </c>
      <c r="C5527" s="32">
        <v>43071.487673611111</v>
      </c>
    </row>
    <row r="5528" spans="1:3">
      <c r="A5528">
        <v>205748</v>
      </c>
      <c r="B5528">
        <v>2355072</v>
      </c>
      <c r="C5528" s="32">
        <v>43072.185659722221</v>
      </c>
    </row>
    <row r="5529" spans="1:3">
      <c r="A5529">
        <v>628283</v>
      </c>
      <c r="B5529">
        <v>4829449</v>
      </c>
      <c r="C5529" s="32">
        <v>43070.642638888887</v>
      </c>
    </row>
    <row r="5530" spans="1:3">
      <c r="A5530">
        <v>456943</v>
      </c>
      <c r="B5530">
        <v>149192</v>
      </c>
      <c r="C5530" s="32">
        <v>43071.69059027778</v>
      </c>
    </row>
    <row r="5531" spans="1:3">
      <c r="A5531">
        <v>360121</v>
      </c>
      <c r="B5531">
        <v>2131531</v>
      </c>
      <c r="C5531" s="32">
        <v>43072.5234375</v>
      </c>
    </row>
    <row r="5532" spans="1:3">
      <c r="A5532">
        <v>911769</v>
      </c>
      <c r="B5532">
        <v>4048352</v>
      </c>
      <c r="C5532" s="32">
        <v>43071.03528935185</v>
      </c>
    </row>
    <row r="5533" spans="1:3">
      <c r="A5533">
        <v>729058</v>
      </c>
      <c r="B5533">
        <v>4756105</v>
      </c>
      <c r="C5533" s="32">
        <v>43071.628275462965</v>
      </c>
    </row>
    <row r="5534" spans="1:3">
      <c r="A5534">
        <v>176991</v>
      </c>
      <c r="B5534">
        <v>1868811</v>
      </c>
      <c r="C5534" s="32">
        <v>43071.288969907408</v>
      </c>
    </row>
    <row r="5535" spans="1:3">
      <c r="A5535">
        <v>527773</v>
      </c>
      <c r="B5535">
        <v>4393424</v>
      </c>
      <c r="C5535" s="32">
        <v>43071.470277777778</v>
      </c>
    </row>
    <row r="5536" spans="1:3">
      <c r="A5536">
        <v>250493</v>
      </c>
      <c r="B5536">
        <v>2572604</v>
      </c>
      <c r="C5536" s="32">
        <v>43070.664664351854</v>
      </c>
    </row>
    <row r="5537" spans="1:3">
      <c r="A5537">
        <v>13600</v>
      </c>
      <c r="B5537">
        <v>1851156</v>
      </c>
      <c r="C5537" s="32">
        <v>43072.078900462962</v>
      </c>
    </row>
    <row r="5538" spans="1:3">
      <c r="A5538">
        <v>956729</v>
      </c>
      <c r="B5538">
        <v>3645362</v>
      </c>
      <c r="C5538" s="32">
        <v>43071.509965277779</v>
      </c>
    </row>
    <row r="5539" spans="1:3">
      <c r="A5539">
        <v>660992</v>
      </c>
      <c r="B5539">
        <v>1464116</v>
      </c>
      <c r="C5539" s="32">
        <v>43070.584780092591</v>
      </c>
    </row>
    <row r="5540" spans="1:3">
      <c r="A5540">
        <v>242973</v>
      </c>
      <c r="B5540">
        <v>102272</v>
      </c>
      <c r="C5540" s="32">
        <v>43071.372731481482</v>
      </c>
    </row>
    <row r="5541" spans="1:3">
      <c r="A5541">
        <v>584881</v>
      </c>
      <c r="B5541">
        <v>4801426</v>
      </c>
      <c r="C5541" s="32">
        <v>43070.110127314816</v>
      </c>
    </row>
    <row r="5542" spans="1:3">
      <c r="A5542">
        <v>869715</v>
      </c>
      <c r="B5542">
        <v>1859277</v>
      </c>
      <c r="C5542" s="32">
        <v>43072.561481481483</v>
      </c>
    </row>
    <row r="5543" spans="1:3">
      <c r="A5543">
        <v>519083</v>
      </c>
      <c r="B5543">
        <v>2355072</v>
      </c>
      <c r="C5543" s="32">
        <v>43072.133993055555</v>
      </c>
    </row>
    <row r="5544" spans="1:3">
      <c r="A5544">
        <v>571871</v>
      </c>
      <c r="B5544">
        <v>4580532</v>
      </c>
      <c r="C5544" s="32">
        <v>43070.550717592596</v>
      </c>
    </row>
    <row r="5545" spans="1:3">
      <c r="A5545">
        <v>783826</v>
      </c>
      <c r="B5545">
        <v>2154669</v>
      </c>
      <c r="C5545" s="32">
        <v>43071.209201388891</v>
      </c>
    </row>
    <row r="5546" spans="1:3">
      <c r="A5546">
        <v>534172</v>
      </c>
      <c r="B5546">
        <v>1320293</v>
      </c>
      <c r="C5546" s="32">
        <v>43070.64466435185</v>
      </c>
    </row>
    <row r="5547" spans="1:3">
      <c r="A5547">
        <v>286364</v>
      </c>
      <c r="B5547">
        <v>149192</v>
      </c>
      <c r="C5547" s="32">
        <v>43071.203645833331</v>
      </c>
    </row>
    <row r="5548" spans="1:3">
      <c r="A5548">
        <v>58022</v>
      </c>
      <c r="B5548">
        <v>2958664</v>
      </c>
      <c r="C5548" s="32">
        <v>43071.837199074071</v>
      </c>
    </row>
    <row r="5549" spans="1:3">
      <c r="A5549">
        <v>225064</v>
      </c>
      <c r="B5549">
        <v>2581941</v>
      </c>
      <c r="C5549" s="32">
        <v>43072.365532407406</v>
      </c>
    </row>
    <row r="5550" spans="1:3">
      <c r="A5550">
        <v>554210</v>
      </c>
      <c r="B5550">
        <v>1637260</v>
      </c>
      <c r="C5550" s="32">
        <v>43070.501643518517</v>
      </c>
    </row>
    <row r="5551" spans="1:3">
      <c r="A5551">
        <v>27198</v>
      </c>
      <c r="B5551">
        <v>2966303</v>
      </c>
      <c r="C5551" s="32">
        <v>43071.197395833333</v>
      </c>
    </row>
    <row r="5552" spans="1:3">
      <c r="A5552">
        <v>391666</v>
      </c>
      <c r="B5552">
        <v>1080785</v>
      </c>
      <c r="C5552" s="32">
        <v>43071.131898148145</v>
      </c>
    </row>
    <row r="5553" spans="1:3">
      <c r="A5553">
        <v>957588</v>
      </c>
      <c r="B5553">
        <v>815501</v>
      </c>
      <c r="C5553" s="32">
        <v>43072.317002314812</v>
      </c>
    </row>
    <row r="5554" spans="1:3">
      <c r="A5554">
        <v>601832</v>
      </c>
      <c r="B5554">
        <v>3435808</v>
      </c>
      <c r="C5554" s="32">
        <v>43072.550162037034</v>
      </c>
    </row>
    <row r="5555" spans="1:3">
      <c r="A5555">
        <v>339638</v>
      </c>
      <c r="B5555">
        <v>1859277</v>
      </c>
      <c r="C5555" s="32">
        <v>43070.2424537037</v>
      </c>
    </row>
    <row r="5556" spans="1:3">
      <c r="A5556">
        <v>494808</v>
      </c>
      <c r="B5556">
        <v>753984</v>
      </c>
      <c r="C5556" s="32">
        <v>43071.661111111112</v>
      </c>
    </row>
    <row r="5557" spans="1:3">
      <c r="A5557">
        <v>458018</v>
      </c>
      <c r="B5557">
        <v>4756105</v>
      </c>
      <c r="C5557" s="32">
        <v>43071.28979166667</v>
      </c>
    </row>
    <row r="5558" spans="1:3">
      <c r="A5558">
        <v>605174</v>
      </c>
      <c r="B5558">
        <v>3554917</v>
      </c>
      <c r="C5558" s="32">
        <v>43071.238541666666</v>
      </c>
    </row>
    <row r="5559" spans="1:3">
      <c r="A5559">
        <v>667436</v>
      </c>
      <c r="B5559">
        <v>2735466</v>
      </c>
      <c r="C5559" s="32">
        <v>43071.286168981482</v>
      </c>
    </row>
    <row r="5560" spans="1:3">
      <c r="A5560">
        <v>485518</v>
      </c>
      <c r="B5560">
        <v>3607361</v>
      </c>
      <c r="C5560" s="32">
        <v>43072.223043981481</v>
      </c>
    </row>
    <row r="5561" spans="1:3">
      <c r="A5561">
        <v>510295</v>
      </c>
      <c r="B5561">
        <v>3002561</v>
      </c>
      <c r="C5561" s="32">
        <v>43071.297673611109</v>
      </c>
    </row>
    <row r="5562" spans="1:3">
      <c r="A5562">
        <v>550063</v>
      </c>
      <c r="B5562">
        <v>832574</v>
      </c>
      <c r="C5562" s="32">
        <v>43069.782905092594</v>
      </c>
    </row>
    <row r="5563" spans="1:3">
      <c r="A5563">
        <v>332060</v>
      </c>
      <c r="B5563">
        <v>3736316</v>
      </c>
      <c r="C5563" s="32">
        <v>43071.362638888888</v>
      </c>
    </row>
    <row r="5564" spans="1:3">
      <c r="A5564">
        <v>715483</v>
      </c>
      <c r="B5564">
        <v>411153</v>
      </c>
      <c r="C5564" s="32">
        <v>43072.065162037034</v>
      </c>
    </row>
    <row r="5565" spans="1:3">
      <c r="A5565">
        <v>627026</v>
      </c>
      <c r="B5565">
        <v>2520771</v>
      </c>
      <c r="C5565" s="32">
        <v>43072.563263888886</v>
      </c>
    </row>
    <row r="5566" spans="1:3">
      <c r="A5566">
        <v>14787</v>
      </c>
      <c r="B5566">
        <v>1575622</v>
      </c>
      <c r="C5566" s="32">
        <v>43070.129791666666</v>
      </c>
    </row>
    <row r="5567" spans="1:3">
      <c r="A5567">
        <v>151317</v>
      </c>
      <c r="B5567">
        <v>4357323</v>
      </c>
      <c r="C5567" s="32">
        <v>43071.968275462961</v>
      </c>
    </row>
    <row r="5568" spans="1:3">
      <c r="A5568">
        <v>122981</v>
      </c>
      <c r="B5568">
        <v>4801426</v>
      </c>
      <c r="C5568" s="32">
        <v>43070.981145833335</v>
      </c>
    </row>
    <row r="5569" spans="1:3">
      <c r="A5569">
        <v>261516</v>
      </c>
      <c r="B5569">
        <v>2520377</v>
      </c>
      <c r="C5569" s="32">
        <v>43072.481134259258</v>
      </c>
    </row>
    <row r="5570" spans="1:3">
      <c r="A5570">
        <v>374723</v>
      </c>
      <c r="B5570">
        <v>4801426</v>
      </c>
      <c r="C5570" s="32">
        <v>43072.527662037035</v>
      </c>
    </row>
    <row r="5571" spans="1:3">
      <c r="A5571">
        <v>54996</v>
      </c>
      <c r="B5571">
        <v>4145813</v>
      </c>
      <c r="C5571" s="32">
        <v>43071.454467592594</v>
      </c>
    </row>
    <row r="5572" spans="1:3">
      <c r="A5572">
        <v>58030</v>
      </c>
      <c r="B5572">
        <v>1787510</v>
      </c>
      <c r="C5572" s="32">
        <v>43070.356412037036</v>
      </c>
    </row>
    <row r="5573" spans="1:3">
      <c r="A5573">
        <v>280093</v>
      </c>
      <c r="B5573">
        <v>1620537</v>
      </c>
      <c r="C5573" s="32">
        <v>43071.645578703705</v>
      </c>
    </row>
    <row r="5574" spans="1:3">
      <c r="A5574">
        <v>172959</v>
      </c>
      <c r="B5574">
        <v>4339722</v>
      </c>
      <c r="C5574" s="32">
        <v>43072.585462962961</v>
      </c>
    </row>
    <row r="5575" spans="1:3">
      <c r="A5575">
        <v>97765</v>
      </c>
      <c r="B5575">
        <v>4883737</v>
      </c>
      <c r="C5575" s="32">
        <v>43071.644456018519</v>
      </c>
    </row>
    <row r="5576" spans="1:3">
      <c r="A5576">
        <v>505242</v>
      </c>
      <c r="B5576">
        <v>2671397</v>
      </c>
      <c r="C5576" s="32">
        <v>43071.664826388886</v>
      </c>
    </row>
    <row r="5577" spans="1:3">
      <c r="A5577">
        <v>707337</v>
      </c>
      <c r="B5577">
        <v>4794845</v>
      </c>
      <c r="C5577" s="32">
        <v>43069.767708333333</v>
      </c>
    </row>
    <row r="5578" spans="1:3">
      <c r="A5578">
        <v>658205</v>
      </c>
      <c r="B5578">
        <v>4129924</v>
      </c>
      <c r="C5578" s="32">
        <v>43070.93644675926</v>
      </c>
    </row>
    <row r="5579" spans="1:3">
      <c r="A5579">
        <v>985518</v>
      </c>
      <c r="B5579">
        <v>2885642</v>
      </c>
      <c r="C5579" s="32">
        <v>43072.489618055559</v>
      </c>
    </row>
    <row r="5580" spans="1:3">
      <c r="A5580">
        <v>16695</v>
      </c>
      <c r="B5580">
        <v>1320293</v>
      </c>
      <c r="C5580" s="32">
        <v>43069.918807870374</v>
      </c>
    </row>
    <row r="5581" spans="1:3">
      <c r="A5581">
        <v>91140</v>
      </c>
      <c r="B5581">
        <v>590997</v>
      </c>
      <c r="C5581" s="32">
        <v>43070.535300925927</v>
      </c>
    </row>
    <row r="5582" spans="1:3">
      <c r="A5582">
        <v>783987</v>
      </c>
      <c r="B5582">
        <v>2440115</v>
      </c>
      <c r="C5582" s="32">
        <v>43070.70449074074</v>
      </c>
    </row>
    <row r="5583" spans="1:3">
      <c r="A5583">
        <v>766963</v>
      </c>
      <c r="B5583">
        <v>4801426</v>
      </c>
      <c r="C5583" s="32">
        <v>43070.255208333336</v>
      </c>
    </row>
    <row r="5584" spans="1:3">
      <c r="A5584">
        <v>891077</v>
      </c>
      <c r="B5584">
        <v>4449178</v>
      </c>
      <c r="C5584" s="32">
        <v>43071.3596412037</v>
      </c>
    </row>
    <row r="5585" spans="1:3">
      <c r="A5585">
        <v>56658</v>
      </c>
      <c r="B5585">
        <v>2253970</v>
      </c>
      <c r="C5585" s="32">
        <v>43071.096736111111</v>
      </c>
    </row>
    <row r="5586" spans="1:3">
      <c r="A5586">
        <v>79682</v>
      </c>
      <c r="B5586">
        <v>3682757</v>
      </c>
      <c r="C5586" s="32">
        <v>43070.023194444446</v>
      </c>
    </row>
    <row r="5587" spans="1:3">
      <c r="A5587">
        <v>464951</v>
      </c>
      <c r="B5587">
        <v>4789432</v>
      </c>
      <c r="C5587" s="32">
        <v>43071.599918981483</v>
      </c>
    </row>
    <row r="5588" spans="1:3">
      <c r="A5588">
        <v>889159</v>
      </c>
      <c r="B5588">
        <v>4756105</v>
      </c>
      <c r="C5588" s="32">
        <v>43072.040763888886</v>
      </c>
    </row>
    <row r="5589" spans="1:3">
      <c r="A5589">
        <v>224947</v>
      </c>
      <c r="B5589">
        <v>2276883</v>
      </c>
      <c r="C5589" s="32">
        <v>43070.635555555556</v>
      </c>
    </row>
    <row r="5590" spans="1:3">
      <c r="A5590">
        <v>100576</v>
      </c>
      <c r="B5590">
        <v>895939</v>
      </c>
      <c r="C5590" s="32">
        <v>43071.596145833333</v>
      </c>
    </row>
    <row r="5591" spans="1:3">
      <c r="A5591">
        <v>484260</v>
      </c>
      <c r="B5591">
        <v>2558244</v>
      </c>
      <c r="C5591" s="32">
        <v>43071.198796296296</v>
      </c>
    </row>
    <row r="5592" spans="1:3">
      <c r="A5592">
        <v>100249</v>
      </c>
      <c r="B5592">
        <v>2355072</v>
      </c>
      <c r="C5592" s="32">
        <v>43071.374166666668</v>
      </c>
    </row>
    <row r="5593" spans="1:3">
      <c r="A5593">
        <v>664595</v>
      </c>
      <c r="B5593">
        <v>1530704</v>
      </c>
      <c r="C5593" s="32">
        <v>43070.66814814815</v>
      </c>
    </row>
    <row r="5594" spans="1:3">
      <c r="A5594">
        <v>803470</v>
      </c>
      <c r="B5594">
        <v>1943877</v>
      </c>
      <c r="C5594" s="32">
        <v>43072.537164351852</v>
      </c>
    </row>
    <row r="5595" spans="1:3">
      <c r="A5595">
        <v>942540</v>
      </c>
      <c r="B5595">
        <v>4159072</v>
      </c>
      <c r="C5595" s="32">
        <v>43070.526099537034</v>
      </c>
    </row>
    <row r="5596" spans="1:3">
      <c r="A5596">
        <v>100533</v>
      </c>
      <c r="B5596">
        <v>4173315</v>
      </c>
      <c r="C5596" s="32">
        <v>43072.04891203704</v>
      </c>
    </row>
    <row r="5597" spans="1:3">
      <c r="A5597">
        <v>842487</v>
      </c>
      <c r="B5597">
        <v>4901188</v>
      </c>
      <c r="C5597" s="32">
        <v>43070.527974537035</v>
      </c>
    </row>
    <row r="5598" spans="1:3">
      <c r="A5598">
        <v>944556</v>
      </c>
      <c r="B5598">
        <v>79451</v>
      </c>
      <c r="C5598" s="32">
        <v>43072.627430555556</v>
      </c>
    </row>
    <row r="5599" spans="1:3">
      <c r="A5599">
        <v>943055</v>
      </c>
      <c r="B5599">
        <v>1299190</v>
      </c>
      <c r="C5599" s="32">
        <v>43070.64271990741</v>
      </c>
    </row>
    <row r="5600" spans="1:3">
      <c r="A5600">
        <v>1004072</v>
      </c>
      <c r="B5600">
        <v>4801426</v>
      </c>
      <c r="C5600" s="32">
        <v>43070.075509259259</v>
      </c>
    </row>
    <row r="5601" spans="1:3">
      <c r="A5601">
        <v>344717</v>
      </c>
      <c r="B5601">
        <v>4756105</v>
      </c>
      <c r="C5601" s="32">
        <v>43072.612187500003</v>
      </c>
    </row>
    <row r="5602" spans="1:3">
      <c r="A5602">
        <v>488875</v>
      </c>
      <c r="B5602">
        <v>2640118</v>
      </c>
      <c r="C5602" s="32">
        <v>43072.591273148151</v>
      </c>
    </row>
    <row r="5603" spans="1:3">
      <c r="A5603">
        <v>950166</v>
      </c>
      <c r="B5603">
        <v>2572604</v>
      </c>
      <c r="C5603" s="32">
        <v>43071.060659722221</v>
      </c>
    </row>
    <row r="5604" spans="1:3">
      <c r="A5604">
        <v>22299</v>
      </c>
      <c r="B5604">
        <v>4181361</v>
      </c>
      <c r="C5604" s="32">
        <v>43071.26421296296</v>
      </c>
    </row>
    <row r="5605" spans="1:3">
      <c r="A5605">
        <v>823491</v>
      </c>
      <c r="B5605">
        <v>1040356</v>
      </c>
      <c r="C5605" s="32">
        <v>43072.255173611113</v>
      </c>
    </row>
    <row r="5606" spans="1:3">
      <c r="A5606">
        <v>870259</v>
      </c>
      <c r="B5606">
        <v>672001</v>
      </c>
      <c r="C5606" s="32">
        <v>43071.350023148145</v>
      </c>
    </row>
    <row r="5607" spans="1:3">
      <c r="A5607">
        <v>466272</v>
      </c>
      <c r="B5607">
        <v>2640118</v>
      </c>
      <c r="C5607" s="32">
        <v>43071.179907407408</v>
      </c>
    </row>
    <row r="5608" spans="1:3">
      <c r="A5608">
        <v>974672</v>
      </c>
      <c r="B5608">
        <v>4993094</v>
      </c>
      <c r="C5608" s="32">
        <v>43070.358078703706</v>
      </c>
    </row>
    <row r="5609" spans="1:3">
      <c r="A5609">
        <v>865037</v>
      </c>
      <c r="B5609">
        <v>1506018</v>
      </c>
      <c r="C5609" s="32">
        <v>43071.071712962963</v>
      </c>
    </row>
    <row r="5610" spans="1:3">
      <c r="A5610">
        <v>191463</v>
      </c>
      <c r="B5610">
        <v>2440115</v>
      </c>
      <c r="C5610" s="32">
        <v>43070.685578703706</v>
      </c>
    </row>
    <row r="5611" spans="1:3">
      <c r="A5611">
        <v>334361</v>
      </c>
      <c r="B5611">
        <v>3758209</v>
      </c>
      <c r="C5611" s="32">
        <v>43072.140787037039</v>
      </c>
    </row>
    <row r="5612" spans="1:3">
      <c r="A5612">
        <v>473174</v>
      </c>
      <c r="B5612">
        <v>2640118</v>
      </c>
      <c r="C5612" s="32">
        <v>43070.614965277775</v>
      </c>
    </row>
    <row r="5613" spans="1:3">
      <c r="A5613">
        <v>724092</v>
      </c>
      <c r="B5613">
        <v>1320293</v>
      </c>
      <c r="C5613" s="32">
        <v>43070.582650462966</v>
      </c>
    </row>
    <row r="5614" spans="1:3">
      <c r="A5614">
        <v>931634</v>
      </c>
      <c r="B5614">
        <v>4181361</v>
      </c>
      <c r="C5614" s="32">
        <v>43071.130312499998</v>
      </c>
    </row>
    <row r="5615" spans="1:3">
      <c r="A5615">
        <v>942991</v>
      </c>
      <c r="B5615">
        <v>2465336</v>
      </c>
      <c r="C5615" s="32">
        <v>43072.058263888888</v>
      </c>
    </row>
    <row r="5616" spans="1:3">
      <c r="A5616">
        <v>105168</v>
      </c>
      <c r="B5616">
        <v>4145813</v>
      </c>
      <c r="C5616" s="32">
        <v>43071.556481481479</v>
      </c>
    </row>
    <row r="5617" spans="1:3">
      <c r="A5617">
        <v>9379</v>
      </c>
      <c r="B5617">
        <v>3579754</v>
      </c>
      <c r="C5617" s="32">
        <v>43071.011597222219</v>
      </c>
    </row>
    <row r="5618" spans="1:3">
      <c r="A5618">
        <v>214140</v>
      </c>
      <c r="B5618">
        <v>4801426</v>
      </c>
      <c r="C5618" s="32">
        <v>43071.388437499998</v>
      </c>
    </row>
    <row r="5619" spans="1:3">
      <c r="A5619">
        <v>449772</v>
      </c>
      <c r="B5619">
        <v>3898483</v>
      </c>
      <c r="C5619" s="32">
        <v>43072.610925925925</v>
      </c>
    </row>
    <row r="5620" spans="1:3">
      <c r="A5620">
        <v>305023</v>
      </c>
      <c r="B5620">
        <v>1113817</v>
      </c>
      <c r="C5620" s="32">
        <v>43071.247430555559</v>
      </c>
    </row>
    <row r="5621" spans="1:3">
      <c r="A5621">
        <v>379044</v>
      </c>
      <c r="B5621">
        <v>1986754</v>
      </c>
      <c r="C5621" s="32">
        <v>43071.628564814811</v>
      </c>
    </row>
    <row r="5622" spans="1:3">
      <c r="A5622">
        <v>574302</v>
      </c>
      <c r="B5622">
        <v>2013622</v>
      </c>
      <c r="C5622" s="32">
        <v>43071.636516203704</v>
      </c>
    </row>
    <row r="5623" spans="1:3">
      <c r="A5623">
        <v>504832</v>
      </c>
      <c r="B5623">
        <v>1464116</v>
      </c>
      <c r="C5623" s="32">
        <v>43070.681018518517</v>
      </c>
    </row>
    <row r="5624" spans="1:3">
      <c r="A5624">
        <v>573730</v>
      </c>
      <c r="B5624">
        <v>4086613</v>
      </c>
      <c r="C5624" s="32">
        <v>43072.522222222222</v>
      </c>
    </row>
    <row r="5625" spans="1:3">
      <c r="A5625">
        <v>618965</v>
      </c>
      <c r="B5625">
        <v>3975787</v>
      </c>
      <c r="C5625" s="32">
        <v>43070.54246527778</v>
      </c>
    </row>
    <row r="5626" spans="1:3">
      <c r="A5626">
        <v>848722</v>
      </c>
      <c r="B5626">
        <v>4756105</v>
      </c>
      <c r="C5626" s="32">
        <v>43070.13722222222</v>
      </c>
    </row>
    <row r="5627" spans="1:3">
      <c r="A5627">
        <v>414377</v>
      </c>
      <c r="B5627">
        <v>3567828</v>
      </c>
      <c r="C5627" s="32">
        <v>43071.395150462966</v>
      </c>
    </row>
    <row r="5628" spans="1:3">
      <c r="A5628">
        <v>151419</v>
      </c>
      <c r="B5628">
        <v>1884568</v>
      </c>
      <c r="C5628" s="32">
        <v>43071.713449074072</v>
      </c>
    </row>
    <row r="5629" spans="1:3">
      <c r="A5629">
        <v>256360</v>
      </c>
      <c r="B5629">
        <v>984238</v>
      </c>
      <c r="C5629" s="32">
        <v>43071.340451388889</v>
      </c>
    </row>
    <row r="5630" spans="1:3">
      <c r="A5630">
        <v>349562</v>
      </c>
      <c r="B5630">
        <v>1051370</v>
      </c>
      <c r="C5630" s="32">
        <v>43070.35460648148</v>
      </c>
    </row>
    <row r="5631" spans="1:3">
      <c r="A5631">
        <v>211911</v>
      </c>
      <c r="B5631">
        <v>801221</v>
      </c>
      <c r="C5631" s="32">
        <v>43071.109247685185</v>
      </c>
    </row>
    <row r="5632" spans="1:3">
      <c r="A5632">
        <v>400672</v>
      </c>
      <c r="B5632">
        <v>4762182</v>
      </c>
      <c r="C5632" s="32">
        <v>43072.356574074074</v>
      </c>
    </row>
    <row r="5633" spans="1:3">
      <c r="A5633">
        <v>221027</v>
      </c>
      <c r="B5633">
        <v>1568197</v>
      </c>
      <c r="C5633" s="32">
        <v>43071.732662037037</v>
      </c>
    </row>
    <row r="5634" spans="1:3">
      <c r="A5634">
        <v>523456</v>
      </c>
      <c r="B5634">
        <v>767106</v>
      </c>
      <c r="C5634" s="32">
        <v>43072.243032407408</v>
      </c>
    </row>
    <row r="5635" spans="1:3">
      <c r="A5635">
        <v>822728</v>
      </c>
      <c r="B5635">
        <v>3209590</v>
      </c>
      <c r="C5635" s="32">
        <v>43070.317962962959</v>
      </c>
    </row>
    <row r="5636" spans="1:3">
      <c r="A5636">
        <v>632471</v>
      </c>
      <c r="B5636">
        <v>4181361</v>
      </c>
      <c r="C5636" s="32">
        <v>43070.481481481482</v>
      </c>
    </row>
    <row r="5637" spans="1:3">
      <c r="A5637">
        <v>688849</v>
      </c>
      <c r="B5637">
        <v>2181935</v>
      </c>
      <c r="C5637" s="32">
        <v>43072.45</v>
      </c>
    </row>
    <row r="5638" spans="1:3">
      <c r="A5638">
        <v>480210</v>
      </c>
      <c r="B5638">
        <v>3738615</v>
      </c>
      <c r="C5638" s="32">
        <v>43071.679872685185</v>
      </c>
    </row>
    <row r="5639" spans="1:3">
      <c r="A5639">
        <v>624941</v>
      </c>
      <c r="B5639">
        <v>4643350</v>
      </c>
      <c r="C5639" s="32">
        <v>43072.319224537037</v>
      </c>
    </row>
    <row r="5640" spans="1:3">
      <c r="A5640">
        <v>485981</v>
      </c>
      <c r="B5640">
        <v>2939262</v>
      </c>
      <c r="C5640" s="32">
        <v>43071.256863425922</v>
      </c>
    </row>
    <row r="5641" spans="1:3">
      <c r="A5641">
        <v>380613</v>
      </c>
      <c r="B5641">
        <v>4145813</v>
      </c>
      <c r="C5641" s="32">
        <v>43069.80704861111</v>
      </c>
    </row>
    <row r="5642" spans="1:3">
      <c r="A5642">
        <v>485615</v>
      </c>
      <c r="B5642">
        <v>1320293</v>
      </c>
      <c r="C5642" s="32">
        <v>43070.349409722221</v>
      </c>
    </row>
    <row r="5643" spans="1:3">
      <c r="A5643">
        <v>555276</v>
      </c>
      <c r="B5643">
        <v>3002561</v>
      </c>
      <c r="C5643" s="32">
        <v>43072.660127314812</v>
      </c>
    </row>
    <row r="5644" spans="1:3">
      <c r="A5644">
        <v>926465</v>
      </c>
      <c r="B5644">
        <v>4789432</v>
      </c>
      <c r="C5644" s="32">
        <v>43071.307164351849</v>
      </c>
    </row>
    <row r="5645" spans="1:3">
      <c r="A5645">
        <v>929641</v>
      </c>
      <c r="B5645">
        <v>3794706</v>
      </c>
      <c r="C5645" s="32">
        <v>43071.018437500003</v>
      </c>
    </row>
    <row r="5646" spans="1:3">
      <c r="A5646">
        <v>940581</v>
      </c>
      <c r="B5646">
        <v>4145813</v>
      </c>
      <c r="C5646" s="32">
        <v>43072.543715277781</v>
      </c>
    </row>
    <row r="5647" spans="1:3">
      <c r="A5647">
        <v>643516</v>
      </c>
      <c r="B5647">
        <v>3354571</v>
      </c>
      <c r="C5647" s="32">
        <v>43072.530798611115</v>
      </c>
    </row>
    <row r="5648" spans="1:3">
      <c r="A5648">
        <v>816445</v>
      </c>
      <c r="B5648">
        <v>3422001</v>
      </c>
      <c r="C5648" s="32">
        <v>43071.692453703705</v>
      </c>
    </row>
    <row r="5649" spans="1:3">
      <c r="A5649">
        <v>26618</v>
      </c>
      <c r="B5649">
        <v>2465336</v>
      </c>
      <c r="C5649" s="32">
        <v>43072.215763888889</v>
      </c>
    </row>
    <row r="5650" spans="1:3">
      <c r="A5650">
        <v>254967</v>
      </c>
      <c r="B5650">
        <v>2778281</v>
      </c>
      <c r="C5650" s="32">
        <v>43072.406006944446</v>
      </c>
    </row>
    <row r="5651" spans="1:3">
      <c r="A5651">
        <v>77213</v>
      </c>
      <c r="B5651">
        <v>3738615</v>
      </c>
      <c r="C5651" s="32">
        <v>43071.140856481485</v>
      </c>
    </row>
    <row r="5652" spans="1:3">
      <c r="A5652">
        <v>80943</v>
      </c>
      <c r="B5652">
        <v>1464116</v>
      </c>
      <c r="C5652" s="32">
        <v>43072.642013888886</v>
      </c>
    </row>
    <row r="5653" spans="1:3">
      <c r="A5653">
        <v>933291</v>
      </c>
      <c r="B5653">
        <v>1859277</v>
      </c>
      <c r="C5653" s="32">
        <v>43072.552581018521</v>
      </c>
    </row>
    <row r="5654" spans="1:3">
      <c r="A5654">
        <v>535651</v>
      </c>
      <c r="B5654">
        <v>3898483</v>
      </c>
      <c r="C5654" s="32">
        <v>43071.562037037038</v>
      </c>
    </row>
    <row r="5655" spans="1:3">
      <c r="A5655">
        <v>512968</v>
      </c>
      <c r="B5655">
        <v>2465336</v>
      </c>
      <c r="C5655" s="32">
        <v>43070.631064814814</v>
      </c>
    </row>
    <row r="5656" spans="1:3">
      <c r="A5656">
        <v>623870</v>
      </c>
      <c r="B5656">
        <v>4756105</v>
      </c>
      <c r="C5656" s="32">
        <v>43070.538182870368</v>
      </c>
    </row>
    <row r="5657" spans="1:3">
      <c r="A5657">
        <v>691115</v>
      </c>
      <c r="B5657">
        <v>4756105</v>
      </c>
      <c r="C5657" s="32">
        <v>43070.098217592589</v>
      </c>
    </row>
    <row r="5658" spans="1:3">
      <c r="A5658">
        <v>383265</v>
      </c>
      <c r="B5658">
        <v>4801426</v>
      </c>
      <c r="C5658" s="32">
        <v>43071.498379629629</v>
      </c>
    </row>
    <row r="5659" spans="1:3">
      <c r="A5659">
        <v>79714</v>
      </c>
      <c r="B5659">
        <v>3065645</v>
      </c>
      <c r="C5659" s="32">
        <v>43071.16333333333</v>
      </c>
    </row>
    <row r="5660" spans="1:3">
      <c r="A5660">
        <v>743434</v>
      </c>
      <c r="B5660">
        <v>1464116</v>
      </c>
      <c r="C5660" s="32">
        <v>43072.168877314813</v>
      </c>
    </row>
    <row r="5661" spans="1:3">
      <c r="A5661">
        <v>761672</v>
      </c>
      <c r="B5661">
        <v>2355072</v>
      </c>
      <c r="C5661" s="32">
        <v>43072.335821759261</v>
      </c>
    </row>
    <row r="5662" spans="1:3">
      <c r="A5662">
        <v>717216</v>
      </c>
      <c r="B5662">
        <v>570735</v>
      </c>
      <c r="C5662" s="32">
        <v>43072.002986111111</v>
      </c>
    </row>
    <row r="5663" spans="1:3">
      <c r="A5663">
        <v>342431</v>
      </c>
      <c r="B5663">
        <v>4170419</v>
      </c>
      <c r="C5663" s="32">
        <v>43072.661365740743</v>
      </c>
    </row>
    <row r="5664" spans="1:3">
      <c r="A5664">
        <v>288506</v>
      </c>
      <c r="B5664">
        <v>941949</v>
      </c>
      <c r="C5664" s="32">
        <v>43070.078055555554</v>
      </c>
    </row>
    <row r="5665" spans="1:3">
      <c r="A5665">
        <v>341431</v>
      </c>
      <c r="B5665">
        <v>4151801</v>
      </c>
      <c r="C5665" s="32">
        <v>43070.350914351853</v>
      </c>
    </row>
    <row r="5666" spans="1:3">
      <c r="A5666">
        <v>198358</v>
      </c>
      <c r="B5666">
        <v>4181361</v>
      </c>
      <c r="C5666" s="32">
        <v>43071.154224537036</v>
      </c>
    </row>
    <row r="5667" spans="1:3">
      <c r="A5667">
        <v>747141</v>
      </c>
      <c r="B5667">
        <v>1884322</v>
      </c>
      <c r="C5667" s="32">
        <v>43071.314201388886</v>
      </c>
    </row>
    <row r="5668" spans="1:3">
      <c r="A5668">
        <v>152986</v>
      </c>
      <c r="B5668">
        <v>4700878</v>
      </c>
      <c r="C5668" s="32">
        <v>43071.452708333331</v>
      </c>
    </row>
    <row r="5669" spans="1:3">
      <c r="A5669">
        <v>353922</v>
      </c>
      <c r="B5669">
        <v>3607361</v>
      </c>
      <c r="C5669" s="32">
        <v>43071.003171296295</v>
      </c>
    </row>
    <row r="5670" spans="1:3">
      <c r="A5670">
        <v>198277</v>
      </c>
      <c r="B5670">
        <v>1061857</v>
      </c>
      <c r="C5670" s="32">
        <v>43070.621759259258</v>
      </c>
    </row>
    <row r="5671" spans="1:3">
      <c r="A5671">
        <v>564007</v>
      </c>
      <c r="B5671">
        <v>1343555</v>
      </c>
      <c r="C5671" s="32">
        <v>43071.274097222224</v>
      </c>
    </row>
    <row r="5672" spans="1:3">
      <c r="A5672">
        <v>91210</v>
      </c>
      <c r="B5672">
        <v>2415168</v>
      </c>
      <c r="C5672" s="32">
        <v>43070.20758101852</v>
      </c>
    </row>
    <row r="5673" spans="1:3">
      <c r="A5673">
        <v>709718</v>
      </c>
      <c r="B5673">
        <v>3277224</v>
      </c>
      <c r="C5673" s="32">
        <v>43071.024421296293</v>
      </c>
    </row>
    <row r="5674" spans="1:3">
      <c r="A5674">
        <v>910693</v>
      </c>
      <c r="B5674">
        <v>982926</v>
      </c>
      <c r="C5674" s="32">
        <v>43072.195798611108</v>
      </c>
    </row>
    <row r="5675" spans="1:3">
      <c r="A5675">
        <v>980766</v>
      </c>
      <c r="B5675">
        <v>2465336</v>
      </c>
      <c r="C5675" s="32">
        <v>43070.341550925928</v>
      </c>
    </row>
    <row r="5676" spans="1:3">
      <c r="A5676">
        <v>543143</v>
      </c>
      <c r="B5676">
        <v>4756105</v>
      </c>
      <c r="C5676" s="32">
        <v>43070.229490740741</v>
      </c>
    </row>
    <row r="5677" spans="1:3">
      <c r="A5677">
        <v>435431</v>
      </c>
      <c r="B5677">
        <v>466400</v>
      </c>
      <c r="C5677" s="32">
        <v>43071.490891203706</v>
      </c>
    </row>
    <row r="5678" spans="1:3">
      <c r="A5678">
        <v>538156</v>
      </c>
      <c r="B5678">
        <v>4022701</v>
      </c>
      <c r="C5678" s="32">
        <v>43071.659189814818</v>
      </c>
    </row>
    <row r="5679" spans="1:3">
      <c r="A5679">
        <v>374960</v>
      </c>
      <c r="B5679">
        <v>1449177</v>
      </c>
      <c r="C5679" s="32">
        <v>43071.104837962965</v>
      </c>
    </row>
    <row r="5680" spans="1:3">
      <c r="A5680">
        <v>704219</v>
      </c>
      <c r="B5680">
        <v>2626421</v>
      </c>
      <c r="C5680" s="32">
        <v>43072.619398148148</v>
      </c>
    </row>
    <row r="5681" spans="1:3">
      <c r="A5681">
        <v>997879</v>
      </c>
      <c r="B5681">
        <v>1010656</v>
      </c>
      <c r="C5681" s="32">
        <v>43071.469884259262</v>
      </c>
    </row>
    <row r="5682" spans="1:3">
      <c r="A5682">
        <v>964545</v>
      </c>
      <c r="B5682">
        <v>1879194</v>
      </c>
      <c r="C5682" s="32">
        <v>43071.570011574076</v>
      </c>
    </row>
    <row r="5683" spans="1:3">
      <c r="A5683">
        <v>241271</v>
      </c>
      <c r="B5683">
        <v>4357323</v>
      </c>
      <c r="C5683" s="32">
        <v>43072.332696759258</v>
      </c>
    </row>
    <row r="5684" spans="1:3">
      <c r="A5684">
        <v>465632</v>
      </c>
      <c r="B5684">
        <v>965809</v>
      </c>
      <c r="C5684" s="32">
        <v>43072.384930555556</v>
      </c>
    </row>
    <row r="5685" spans="1:3">
      <c r="A5685">
        <v>685886</v>
      </c>
      <c r="B5685">
        <v>1379146</v>
      </c>
      <c r="C5685" s="32">
        <v>43071.641759259262</v>
      </c>
    </row>
    <row r="5686" spans="1:3">
      <c r="A5686">
        <v>179047</v>
      </c>
      <c r="B5686">
        <v>4794845</v>
      </c>
      <c r="C5686" s="32">
        <v>43071.504363425927</v>
      </c>
    </row>
    <row r="5687" spans="1:3">
      <c r="A5687">
        <v>106958</v>
      </c>
      <c r="B5687">
        <v>119741</v>
      </c>
      <c r="C5687" s="32">
        <v>43071.225370370368</v>
      </c>
    </row>
    <row r="5688" spans="1:3">
      <c r="A5688">
        <v>615551</v>
      </c>
      <c r="B5688">
        <v>4145813</v>
      </c>
      <c r="C5688" s="32">
        <v>43070.535312499997</v>
      </c>
    </row>
    <row r="5689" spans="1:3">
      <c r="A5689">
        <v>64581</v>
      </c>
      <c r="B5689">
        <v>4576874</v>
      </c>
      <c r="C5689" s="32">
        <v>43072.594513888886</v>
      </c>
    </row>
    <row r="5690" spans="1:3">
      <c r="A5690">
        <v>505532</v>
      </c>
      <c r="B5690">
        <v>801221</v>
      </c>
      <c r="C5690" s="32">
        <v>43072.339594907404</v>
      </c>
    </row>
    <row r="5691" spans="1:3">
      <c r="A5691">
        <v>477846</v>
      </c>
      <c r="B5691">
        <v>3720767</v>
      </c>
      <c r="C5691" s="32">
        <v>43071.488263888888</v>
      </c>
    </row>
    <row r="5692" spans="1:3">
      <c r="A5692">
        <v>17407</v>
      </c>
      <c r="B5692">
        <v>2433095</v>
      </c>
      <c r="C5692" s="32">
        <v>43071.614837962959</v>
      </c>
    </row>
    <row r="5693" spans="1:3">
      <c r="A5693">
        <v>747459</v>
      </c>
      <c r="B5693">
        <v>332127</v>
      </c>
      <c r="C5693" s="32">
        <v>43072.546030092592</v>
      </c>
    </row>
    <row r="5694" spans="1:3">
      <c r="A5694">
        <v>1006516</v>
      </c>
      <c r="B5694">
        <v>154040</v>
      </c>
      <c r="C5694" s="32">
        <v>43072.102395833332</v>
      </c>
    </row>
    <row r="5695" spans="1:3">
      <c r="A5695">
        <v>982936</v>
      </c>
      <c r="B5695">
        <v>2293367</v>
      </c>
      <c r="C5695" s="32">
        <v>43071.588912037034</v>
      </c>
    </row>
    <row r="5696" spans="1:3">
      <c r="A5696">
        <v>104906</v>
      </c>
      <c r="B5696">
        <v>2640118</v>
      </c>
      <c r="C5696" s="32">
        <v>43072.217534722222</v>
      </c>
    </row>
    <row r="5697" spans="1:3">
      <c r="A5697">
        <v>348446</v>
      </c>
      <c r="B5697">
        <v>3299155</v>
      </c>
      <c r="C5697" s="32">
        <v>43071.564699074072</v>
      </c>
    </row>
    <row r="5698" spans="1:3">
      <c r="A5698">
        <v>495891</v>
      </c>
      <c r="B5698">
        <v>366112</v>
      </c>
      <c r="C5698" s="32">
        <v>43071.278495370374</v>
      </c>
    </row>
    <row r="5699" spans="1:3">
      <c r="A5699">
        <v>179449</v>
      </c>
      <c r="B5699">
        <v>590997</v>
      </c>
      <c r="C5699" s="32">
        <v>43070.931898148148</v>
      </c>
    </row>
    <row r="5700" spans="1:3">
      <c r="A5700">
        <v>558224</v>
      </c>
      <c r="B5700">
        <v>245312</v>
      </c>
      <c r="C5700" s="32">
        <v>43070.698078703703</v>
      </c>
    </row>
    <row r="5701" spans="1:3">
      <c r="A5701">
        <v>763748</v>
      </c>
      <c r="B5701">
        <v>4756105</v>
      </c>
      <c r="C5701" s="32">
        <v>43072.597685185188</v>
      </c>
    </row>
    <row r="5702" spans="1:3">
      <c r="A5702">
        <v>670333</v>
      </c>
      <c r="B5702">
        <v>1414261</v>
      </c>
      <c r="C5702" s="32">
        <v>43071.630995370368</v>
      </c>
    </row>
    <row r="5703" spans="1:3">
      <c r="A5703">
        <v>38387</v>
      </c>
      <c r="B5703">
        <v>983613</v>
      </c>
      <c r="C5703" s="32">
        <v>43072.594733796293</v>
      </c>
    </row>
    <row r="5704" spans="1:3">
      <c r="A5704">
        <v>576655</v>
      </c>
      <c r="B5704">
        <v>5071267</v>
      </c>
      <c r="C5704" s="32">
        <v>43072.44091435185</v>
      </c>
    </row>
    <row r="5705" spans="1:3">
      <c r="A5705">
        <v>577488</v>
      </c>
      <c r="B5705">
        <v>1471163</v>
      </c>
      <c r="C5705" s="32">
        <v>43071.630347222221</v>
      </c>
    </row>
    <row r="5706" spans="1:3">
      <c r="A5706">
        <v>1339</v>
      </c>
      <c r="B5706">
        <v>4850194</v>
      </c>
      <c r="C5706" s="32">
        <v>43071.264849537038</v>
      </c>
    </row>
    <row r="5707" spans="1:3">
      <c r="A5707">
        <v>115710</v>
      </c>
      <c r="B5707">
        <v>2520377</v>
      </c>
      <c r="C5707" s="32">
        <v>43071.225868055553</v>
      </c>
    </row>
    <row r="5708" spans="1:3">
      <c r="A5708">
        <v>24430</v>
      </c>
      <c r="B5708">
        <v>1787510</v>
      </c>
      <c r="C5708" s="32">
        <v>43071.205231481479</v>
      </c>
    </row>
    <row r="5709" spans="1:3">
      <c r="A5709">
        <v>175539</v>
      </c>
      <c r="B5709">
        <v>1320293</v>
      </c>
      <c r="C5709" s="32">
        <v>43070.455208333333</v>
      </c>
    </row>
    <row r="5710" spans="1:3">
      <c r="A5710">
        <v>378654</v>
      </c>
      <c r="B5710">
        <v>4882154</v>
      </c>
      <c r="C5710" s="32">
        <v>43072.493067129632</v>
      </c>
    </row>
    <row r="5711" spans="1:3">
      <c r="A5711">
        <v>404930</v>
      </c>
      <c r="B5711">
        <v>4181361</v>
      </c>
      <c r="C5711" s="32">
        <v>43071.607187499998</v>
      </c>
    </row>
    <row r="5712" spans="1:3">
      <c r="A5712">
        <v>475809</v>
      </c>
      <c r="B5712">
        <v>982926</v>
      </c>
      <c r="C5712" s="32">
        <v>43072.204363425924</v>
      </c>
    </row>
    <row r="5713" spans="1:3">
      <c r="A5713">
        <v>883585</v>
      </c>
      <c r="B5713">
        <v>965809</v>
      </c>
      <c r="C5713" s="32">
        <v>43072.057800925926</v>
      </c>
    </row>
    <row r="5714" spans="1:3">
      <c r="A5714">
        <v>902594</v>
      </c>
      <c r="B5714">
        <v>4537973</v>
      </c>
      <c r="C5714" s="32">
        <v>43072.445729166669</v>
      </c>
    </row>
    <row r="5715" spans="1:3">
      <c r="A5715">
        <v>574116</v>
      </c>
      <c r="B5715">
        <v>570735</v>
      </c>
      <c r="C5715" s="32">
        <v>43071.668761574074</v>
      </c>
    </row>
    <row r="5716" spans="1:3">
      <c r="A5716">
        <v>1016439</v>
      </c>
      <c r="B5716">
        <v>4643350</v>
      </c>
      <c r="C5716" s="32">
        <v>43071.638854166667</v>
      </c>
    </row>
    <row r="5717" spans="1:3">
      <c r="A5717">
        <v>175491</v>
      </c>
      <c r="B5717">
        <v>3616520</v>
      </c>
      <c r="C5717" s="32">
        <v>43070.758912037039</v>
      </c>
    </row>
    <row r="5718" spans="1:3">
      <c r="A5718">
        <v>67014</v>
      </c>
      <c r="B5718">
        <v>982926</v>
      </c>
      <c r="C5718" s="32">
        <v>43072.544641203705</v>
      </c>
    </row>
    <row r="5719" spans="1:3">
      <c r="A5719">
        <v>374499</v>
      </c>
      <c r="B5719">
        <v>982926</v>
      </c>
      <c r="C5719" s="32">
        <v>43072.44767361111</v>
      </c>
    </row>
    <row r="5720" spans="1:3">
      <c r="A5720">
        <v>840512</v>
      </c>
      <c r="B5720">
        <v>570735</v>
      </c>
      <c r="C5720" s="32">
        <v>43072.559016203704</v>
      </c>
    </row>
    <row r="5721" spans="1:3">
      <c r="A5721">
        <v>490241</v>
      </c>
      <c r="B5721">
        <v>558076</v>
      </c>
      <c r="C5721" s="32">
        <v>43070.486215277779</v>
      </c>
    </row>
    <row r="5722" spans="1:3">
      <c r="A5722">
        <v>153844</v>
      </c>
      <c r="B5722">
        <v>446701</v>
      </c>
      <c r="C5722" s="32">
        <v>43071.615185185183</v>
      </c>
    </row>
    <row r="5723" spans="1:3">
      <c r="A5723">
        <v>95049</v>
      </c>
      <c r="B5723">
        <v>425327</v>
      </c>
      <c r="C5723" s="32">
        <v>43070.834456018521</v>
      </c>
    </row>
    <row r="5724" spans="1:3">
      <c r="A5724">
        <v>748788</v>
      </c>
      <c r="B5724">
        <v>3323163</v>
      </c>
      <c r="C5724" s="32">
        <v>43071.075335648151</v>
      </c>
    </row>
    <row r="5725" spans="1:3">
      <c r="A5725">
        <v>907462</v>
      </c>
      <c r="B5725">
        <v>2644484</v>
      </c>
      <c r="C5725" s="32">
        <v>43071.15152777778</v>
      </c>
    </row>
    <row r="5726" spans="1:3">
      <c r="A5726">
        <v>997339</v>
      </c>
      <c r="B5726">
        <v>4801426</v>
      </c>
      <c r="C5726" s="32">
        <v>43072.38957175926</v>
      </c>
    </row>
    <row r="5727" spans="1:3">
      <c r="A5727">
        <v>929126</v>
      </c>
      <c r="B5727">
        <v>3002561</v>
      </c>
      <c r="C5727" s="32">
        <v>43072.103437500002</v>
      </c>
    </row>
    <row r="5728" spans="1:3">
      <c r="A5728">
        <v>352800</v>
      </c>
      <c r="B5728">
        <v>903809</v>
      </c>
      <c r="C5728" s="32">
        <v>43070.567650462966</v>
      </c>
    </row>
    <row r="5729" spans="1:3">
      <c r="A5729">
        <v>420700</v>
      </c>
      <c r="B5729">
        <v>181182</v>
      </c>
      <c r="C5729" s="32">
        <v>43072.567777777775</v>
      </c>
    </row>
    <row r="5730" spans="1:3">
      <c r="A5730">
        <v>816499</v>
      </c>
      <c r="B5730">
        <v>4145813</v>
      </c>
      <c r="C5730" s="32">
        <v>43070.495069444441</v>
      </c>
    </row>
    <row r="5731" spans="1:3">
      <c r="A5731">
        <v>737556</v>
      </c>
      <c r="B5731">
        <v>1080785</v>
      </c>
      <c r="C5731" s="32">
        <v>43071.536678240744</v>
      </c>
    </row>
    <row r="5732" spans="1:3">
      <c r="A5732">
        <v>893681</v>
      </c>
      <c r="B5732">
        <v>1464116</v>
      </c>
      <c r="C5732" s="32">
        <v>43071.605543981481</v>
      </c>
    </row>
    <row r="5733" spans="1:3">
      <c r="A5733">
        <v>702844</v>
      </c>
      <c r="B5733">
        <v>3738615</v>
      </c>
      <c r="C5733" s="32">
        <v>43070.810902777775</v>
      </c>
    </row>
    <row r="5734" spans="1:3">
      <c r="A5734">
        <v>1010645</v>
      </c>
      <c r="B5734">
        <v>2945933</v>
      </c>
      <c r="C5734" s="32">
        <v>43072.482523148145</v>
      </c>
    </row>
    <row r="5735" spans="1:3">
      <c r="A5735">
        <v>51562</v>
      </c>
      <c r="B5735">
        <v>4756105</v>
      </c>
      <c r="C5735" s="32">
        <v>43070.564039351855</v>
      </c>
    </row>
    <row r="5736" spans="1:3">
      <c r="A5736">
        <v>248414</v>
      </c>
      <c r="B5736">
        <v>982081</v>
      </c>
      <c r="C5736" s="32">
        <v>43072.073807870373</v>
      </c>
    </row>
    <row r="5737" spans="1:3">
      <c r="A5737">
        <v>998683</v>
      </c>
      <c r="B5737">
        <v>2440115</v>
      </c>
      <c r="C5737" s="32">
        <v>43071.942812499998</v>
      </c>
    </row>
    <row r="5738" spans="1:3">
      <c r="A5738">
        <v>708770</v>
      </c>
      <c r="B5738">
        <v>856718</v>
      </c>
      <c r="C5738" s="32">
        <v>43070.577592592592</v>
      </c>
    </row>
    <row r="5739" spans="1:3">
      <c r="A5739">
        <v>664746</v>
      </c>
      <c r="B5739">
        <v>2520377</v>
      </c>
      <c r="C5739" s="32">
        <v>43070.511412037034</v>
      </c>
    </row>
    <row r="5740" spans="1:3">
      <c r="A5740">
        <v>184432</v>
      </c>
      <c r="B5740">
        <v>3524510</v>
      </c>
      <c r="C5740" s="32">
        <v>43070.630370370367</v>
      </c>
    </row>
    <row r="5741" spans="1:3">
      <c r="A5741">
        <v>860638</v>
      </c>
      <c r="B5741">
        <v>4069500</v>
      </c>
      <c r="C5741" s="32">
        <v>43070.050208333334</v>
      </c>
    </row>
    <row r="5742" spans="1:3">
      <c r="A5742">
        <v>232639</v>
      </c>
      <c r="B5742">
        <v>2520377</v>
      </c>
      <c r="C5742" s="32">
        <v>43072.549189814818</v>
      </c>
    </row>
    <row r="5743" spans="1:3">
      <c r="A5743">
        <v>456366</v>
      </c>
      <c r="B5743">
        <v>1051370</v>
      </c>
      <c r="C5743" s="32">
        <v>43070.256712962961</v>
      </c>
    </row>
    <row r="5744" spans="1:3">
      <c r="A5744">
        <v>239295</v>
      </c>
      <c r="B5744">
        <v>982926</v>
      </c>
      <c r="C5744" s="32">
        <v>43072.648368055554</v>
      </c>
    </row>
    <row r="5745" spans="1:3">
      <c r="A5745">
        <v>798768</v>
      </c>
      <c r="B5745">
        <v>4170419</v>
      </c>
      <c r="C5745" s="32">
        <v>43070.197233796294</v>
      </c>
    </row>
    <row r="5746" spans="1:3">
      <c r="A5746">
        <v>463081</v>
      </c>
      <c r="B5746">
        <v>2693696</v>
      </c>
      <c r="C5746" s="32">
        <v>43072.639722222222</v>
      </c>
    </row>
    <row r="5747" spans="1:3">
      <c r="A5747">
        <v>765558</v>
      </c>
      <c r="B5747">
        <v>1879194</v>
      </c>
      <c r="C5747" s="32">
        <v>43072.383437500001</v>
      </c>
    </row>
    <row r="5748" spans="1:3">
      <c r="A5748">
        <v>572951</v>
      </c>
      <c r="B5748">
        <v>2465336</v>
      </c>
      <c r="C5748" s="32">
        <v>43072.633229166669</v>
      </c>
    </row>
    <row r="5749" spans="1:3">
      <c r="A5749">
        <v>875869</v>
      </c>
      <c r="B5749">
        <v>2355072</v>
      </c>
      <c r="C5749" s="32">
        <v>43070.481770833336</v>
      </c>
    </row>
    <row r="5750" spans="1:3">
      <c r="A5750">
        <v>943219</v>
      </c>
      <c r="B5750">
        <v>2520377</v>
      </c>
      <c r="C5750" s="32">
        <v>43072.570706018516</v>
      </c>
    </row>
    <row r="5751" spans="1:3">
      <c r="A5751">
        <v>136753</v>
      </c>
      <c r="B5751">
        <v>4148053</v>
      </c>
      <c r="C5751" s="32">
        <v>43071.775868055556</v>
      </c>
    </row>
    <row r="5752" spans="1:3">
      <c r="A5752">
        <v>581003</v>
      </c>
      <c r="B5752">
        <v>3194735</v>
      </c>
      <c r="C5752" s="32">
        <v>43072.37667824074</v>
      </c>
    </row>
    <row r="5753" spans="1:3">
      <c r="A5753">
        <v>735120</v>
      </c>
      <c r="B5753">
        <v>1464116</v>
      </c>
      <c r="C5753" s="32">
        <v>43072.28738425926</v>
      </c>
    </row>
    <row r="5754" spans="1:3">
      <c r="A5754">
        <v>441367</v>
      </c>
      <c r="B5754">
        <v>1422474</v>
      </c>
      <c r="C5754" s="32">
        <v>43070.585416666669</v>
      </c>
    </row>
    <row r="5755" spans="1:3">
      <c r="A5755">
        <v>239121</v>
      </c>
      <c r="B5755">
        <v>3695050</v>
      </c>
      <c r="C5755" s="32">
        <v>43071.620613425926</v>
      </c>
    </row>
    <row r="5756" spans="1:3">
      <c r="A5756">
        <v>814000</v>
      </c>
      <c r="B5756">
        <v>2540093</v>
      </c>
      <c r="C5756" s="32">
        <v>43070.335439814815</v>
      </c>
    </row>
    <row r="5757" spans="1:3">
      <c r="A5757">
        <v>397859</v>
      </c>
      <c r="B5757">
        <v>2520377</v>
      </c>
      <c r="C5757" s="32">
        <v>43072.551215277781</v>
      </c>
    </row>
    <row r="5758" spans="1:3">
      <c r="A5758">
        <v>552135</v>
      </c>
      <c r="B5758">
        <v>1269883</v>
      </c>
      <c r="C5758" s="32">
        <v>43071.609120370369</v>
      </c>
    </row>
    <row r="5759" spans="1:3">
      <c r="A5759">
        <v>615832</v>
      </c>
      <c r="B5759">
        <v>3607361</v>
      </c>
      <c r="C5759" s="32">
        <v>43072.607592592591</v>
      </c>
    </row>
    <row r="5760" spans="1:3">
      <c r="A5760">
        <v>377040</v>
      </c>
      <c r="B5760">
        <v>1020087</v>
      </c>
      <c r="C5760" s="32">
        <v>43070.097048611111</v>
      </c>
    </row>
    <row r="5761" spans="1:3">
      <c r="A5761">
        <v>443345</v>
      </c>
      <c r="B5761">
        <v>1568197</v>
      </c>
      <c r="C5761" s="32">
        <v>43071.588587962964</v>
      </c>
    </row>
    <row r="5762" spans="1:3">
      <c r="A5762">
        <v>755655</v>
      </c>
      <c r="B5762">
        <v>989763</v>
      </c>
      <c r="C5762" s="32">
        <v>43071.070462962962</v>
      </c>
    </row>
    <row r="5763" spans="1:3">
      <c r="A5763">
        <v>748072</v>
      </c>
      <c r="B5763">
        <v>4756105</v>
      </c>
      <c r="C5763" s="32">
        <v>43071.660937499997</v>
      </c>
    </row>
    <row r="5764" spans="1:3">
      <c r="A5764">
        <v>575083</v>
      </c>
      <c r="B5764">
        <v>982926</v>
      </c>
      <c r="C5764" s="32">
        <v>43071.513622685183</v>
      </c>
    </row>
    <row r="5765" spans="1:3">
      <c r="A5765">
        <v>714092</v>
      </c>
      <c r="B5765">
        <v>1320293</v>
      </c>
      <c r="C5765" s="32">
        <v>43072.620092592595</v>
      </c>
    </row>
    <row r="5766" spans="1:3">
      <c r="A5766">
        <v>971608</v>
      </c>
      <c r="B5766">
        <v>3607361</v>
      </c>
      <c r="C5766" s="32">
        <v>43072.207361111112</v>
      </c>
    </row>
    <row r="5767" spans="1:3">
      <c r="A5767">
        <v>930774</v>
      </c>
      <c r="B5767">
        <v>4138583</v>
      </c>
      <c r="C5767" s="32">
        <v>43072.543182870373</v>
      </c>
    </row>
    <row r="5768" spans="1:3">
      <c r="A5768">
        <v>935211</v>
      </c>
      <c r="B5768">
        <v>2465336</v>
      </c>
      <c r="C5768" s="32">
        <v>43072.484224537038</v>
      </c>
    </row>
    <row r="5769" spans="1:3">
      <c r="A5769">
        <v>109009</v>
      </c>
      <c r="B5769">
        <v>3975787</v>
      </c>
      <c r="C5769" s="32">
        <v>43070.233275462961</v>
      </c>
    </row>
    <row r="5770" spans="1:3">
      <c r="A5770">
        <v>408956</v>
      </c>
      <c r="B5770">
        <v>2529187</v>
      </c>
      <c r="C5770" s="32">
        <v>43071.697662037041</v>
      </c>
    </row>
    <row r="5771" spans="1:3">
      <c r="A5771">
        <v>598058</v>
      </c>
      <c r="B5771">
        <v>4756105</v>
      </c>
      <c r="C5771" s="32">
        <v>43072.074988425928</v>
      </c>
    </row>
    <row r="5772" spans="1:3">
      <c r="A5772">
        <v>409653</v>
      </c>
      <c r="B5772">
        <v>4756105</v>
      </c>
      <c r="C5772" s="32">
        <v>43072.339780092596</v>
      </c>
    </row>
    <row r="5773" spans="1:3">
      <c r="A5773">
        <v>619067</v>
      </c>
      <c r="B5773">
        <v>4801426</v>
      </c>
      <c r="C5773" s="32">
        <v>43071.635729166665</v>
      </c>
    </row>
    <row r="5774" spans="1:3">
      <c r="A5774">
        <v>467379</v>
      </c>
      <c r="B5774">
        <v>611849</v>
      </c>
      <c r="C5774" s="32">
        <v>43071.69835648148</v>
      </c>
    </row>
    <row r="5775" spans="1:3">
      <c r="A5775">
        <v>1000830</v>
      </c>
      <c r="B5775">
        <v>4756105</v>
      </c>
      <c r="C5775" s="32">
        <v>43070.129629629628</v>
      </c>
    </row>
    <row r="5776" spans="1:3">
      <c r="A5776">
        <v>934394</v>
      </c>
      <c r="B5776">
        <v>982926</v>
      </c>
      <c r="C5776" s="32">
        <v>43070.649583333332</v>
      </c>
    </row>
    <row r="5777" spans="1:3">
      <c r="A5777">
        <v>612322</v>
      </c>
      <c r="B5777">
        <v>2355072</v>
      </c>
      <c r="C5777" s="32">
        <v>43070.391562500001</v>
      </c>
    </row>
    <row r="5778" spans="1:3">
      <c r="A5778">
        <v>935108</v>
      </c>
      <c r="B5778">
        <v>1397912</v>
      </c>
      <c r="C5778" s="32">
        <v>43072.387337962966</v>
      </c>
    </row>
    <row r="5779" spans="1:3">
      <c r="A5779">
        <v>248758</v>
      </c>
      <c r="B5779">
        <v>634390</v>
      </c>
      <c r="C5779" s="32">
        <v>43070.121319444443</v>
      </c>
    </row>
    <row r="5780" spans="1:3">
      <c r="A5780">
        <v>940746</v>
      </c>
      <c r="B5780">
        <v>1080785</v>
      </c>
      <c r="C5780" s="32">
        <v>43072.014664351853</v>
      </c>
    </row>
    <row r="5781" spans="1:3">
      <c r="A5781">
        <v>286948</v>
      </c>
      <c r="B5781">
        <v>753984</v>
      </c>
      <c r="C5781" s="32">
        <v>43071.160821759258</v>
      </c>
    </row>
    <row r="5782" spans="1:3">
      <c r="A5782">
        <v>70687</v>
      </c>
      <c r="B5782">
        <v>1080785</v>
      </c>
      <c r="C5782" s="32">
        <v>43071.328541666669</v>
      </c>
    </row>
    <row r="5783" spans="1:3">
      <c r="A5783">
        <v>247840</v>
      </c>
      <c r="B5783">
        <v>154040</v>
      </c>
      <c r="C5783" s="32">
        <v>43071.271770833337</v>
      </c>
    </row>
    <row r="5784" spans="1:3">
      <c r="A5784">
        <v>900203</v>
      </c>
      <c r="B5784">
        <v>2578647</v>
      </c>
      <c r="C5784" s="32">
        <v>43071.604178240741</v>
      </c>
    </row>
    <row r="5785" spans="1:3">
      <c r="A5785">
        <v>769301</v>
      </c>
      <c r="B5785">
        <v>1320293</v>
      </c>
      <c r="C5785" s="32">
        <v>43071.439722222225</v>
      </c>
    </row>
    <row r="5786" spans="1:3">
      <c r="A5786">
        <v>841192</v>
      </c>
      <c r="B5786">
        <v>4756105</v>
      </c>
      <c r="C5786" s="32">
        <v>43071.436724537038</v>
      </c>
    </row>
    <row r="5787" spans="1:3">
      <c r="A5787">
        <v>720715</v>
      </c>
      <c r="B5787">
        <v>982926</v>
      </c>
      <c r="C5787" s="32">
        <v>43071.068495370368</v>
      </c>
    </row>
    <row r="5788" spans="1:3">
      <c r="A5788">
        <v>452309</v>
      </c>
      <c r="B5788">
        <v>3002561</v>
      </c>
      <c r="C5788" s="32">
        <v>43072.160034722219</v>
      </c>
    </row>
    <row r="5789" spans="1:3">
      <c r="A5789">
        <v>153040</v>
      </c>
      <c r="B5789">
        <v>1429156</v>
      </c>
      <c r="C5789" s="32">
        <v>43071.64271990741</v>
      </c>
    </row>
    <row r="5790" spans="1:3">
      <c r="A5790">
        <v>120585</v>
      </c>
      <c r="B5790">
        <v>3607361</v>
      </c>
      <c r="C5790" s="32">
        <v>43071.526979166665</v>
      </c>
    </row>
    <row r="5791" spans="1:3">
      <c r="A5791">
        <v>987348</v>
      </c>
      <c r="B5791">
        <v>4141018</v>
      </c>
      <c r="C5791" s="32">
        <v>43071.804548611108</v>
      </c>
    </row>
    <row r="5792" spans="1:3">
      <c r="A5792">
        <v>452633</v>
      </c>
      <c r="B5792">
        <v>1050007</v>
      </c>
      <c r="C5792" s="32">
        <v>43072.010810185187</v>
      </c>
    </row>
    <row r="5793" spans="1:3">
      <c r="A5793">
        <v>143539</v>
      </c>
      <c r="B5793">
        <v>238434</v>
      </c>
      <c r="C5793" s="32">
        <v>43071.130046296297</v>
      </c>
    </row>
    <row r="5794" spans="1:3">
      <c r="A5794">
        <v>645384</v>
      </c>
      <c r="B5794">
        <v>1320782</v>
      </c>
      <c r="C5794" s="32">
        <v>43070.668333333335</v>
      </c>
    </row>
    <row r="5795" spans="1:3">
      <c r="A5795">
        <v>599067</v>
      </c>
      <c r="B5795">
        <v>4284875</v>
      </c>
      <c r="C5795" s="32">
        <v>43071.19226851852</v>
      </c>
    </row>
    <row r="5796" spans="1:3">
      <c r="A5796">
        <v>931774</v>
      </c>
      <c r="B5796">
        <v>4756105</v>
      </c>
      <c r="C5796" s="32">
        <v>43070.636504629627</v>
      </c>
    </row>
    <row r="5797" spans="1:3">
      <c r="A5797">
        <v>170941</v>
      </c>
      <c r="B5797">
        <v>2217187</v>
      </c>
      <c r="C5797" s="32">
        <v>43072.171736111108</v>
      </c>
    </row>
    <row r="5798" spans="1:3">
      <c r="A5798">
        <v>273209</v>
      </c>
      <c r="B5798">
        <v>4481410</v>
      </c>
      <c r="C5798" s="32">
        <v>43071.32576388889</v>
      </c>
    </row>
    <row r="5799" spans="1:3">
      <c r="A5799">
        <v>889391</v>
      </c>
      <c r="B5799">
        <v>1977169</v>
      </c>
      <c r="C5799" s="32">
        <v>43070.556921296295</v>
      </c>
    </row>
    <row r="5800" spans="1:3">
      <c r="A5800">
        <v>380825</v>
      </c>
      <c r="B5800">
        <v>3524510</v>
      </c>
      <c r="C5800" s="32">
        <v>43070.714907407404</v>
      </c>
    </row>
    <row r="5801" spans="1:3">
      <c r="A5801">
        <v>574097</v>
      </c>
      <c r="B5801">
        <v>2520771</v>
      </c>
      <c r="C5801" s="32">
        <v>43070.638865740744</v>
      </c>
    </row>
    <row r="5802" spans="1:3">
      <c r="A5802">
        <v>369983</v>
      </c>
      <c r="B5802">
        <v>1029459</v>
      </c>
      <c r="C5802" s="32">
        <v>43070.578981481478</v>
      </c>
    </row>
    <row r="5803" spans="1:3">
      <c r="A5803">
        <v>482957</v>
      </c>
      <c r="B5803">
        <v>2355072</v>
      </c>
      <c r="C5803" s="32">
        <v>43071.548263888886</v>
      </c>
    </row>
    <row r="5804" spans="1:3">
      <c r="A5804">
        <v>166845</v>
      </c>
      <c r="B5804">
        <v>3566034</v>
      </c>
      <c r="C5804" s="32">
        <v>43072.012326388889</v>
      </c>
    </row>
    <row r="5805" spans="1:3">
      <c r="A5805">
        <v>645709</v>
      </c>
      <c r="B5805">
        <v>2217187</v>
      </c>
      <c r="C5805" s="32">
        <v>43070.115428240744</v>
      </c>
    </row>
    <row r="5806" spans="1:3">
      <c r="A5806">
        <v>281533</v>
      </c>
      <c r="B5806">
        <v>1669167</v>
      </c>
      <c r="C5806" s="32">
        <v>43069.709606481483</v>
      </c>
    </row>
    <row r="5807" spans="1:3">
      <c r="A5807">
        <v>427693</v>
      </c>
      <c r="B5807">
        <v>4612213</v>
      </c>
      <c r="C5807" s="32">
        <v>43071.564120370371</v>
      </c>
    </row>
    <row r="5808" spans="1:3">
      <c r="A5808">
        <v>239750</v>
      </c>
      <c r="B5808">
        <v>154040</v>
      </c>
      <c r="C5808" s="32">
        <v>43072.264953703707</v>
      </c>
    </row>
    <row r="5809" spans="1:3">
      <c r="A5809">
        <v>933379</v>
      </c>
      <c r="B5809">
        <v>4643350</v>
      </c>
      <c r="C5809" s="32">
        <v>43072.416006944448</v>
      </c>
    </row>
    <row r="5810" spans="1:3">
      <c r="A5810">
        <v>842052</v>
      </c>
      <c r="B5810">
        <v>3607361</v>
      </c>
      <c r="C5810" s="32">
        <v>43072.613576388889</v>
      </c>
    </row>
    <row r="5811" spans="1:3">
      <c r="A5811">
        <v>686122</v>
      </c>
      <c r="B5811">
        <v>1783423</v>
      </c>
      <c r="C5811" s="32">
        <v>43070.679803240739</v>
      </c>
    </row>
    <row r="5812" spans="1:3">
      <c r="A5812">
        <v>610877</v>
      </c>
      <c r="B5812">
        <v>2355072</v>
      </c>
      <c r="C5812" s="32">
        <v>43071.638935185183</v>
      </c>
    </row>
    <row r="5813" spans="1:3">
      <c r="A5813">
        <v>85186</v>
      </c>
      <c r="B5813">
        <v>4756105</v>
      </c>
      <c r="C5813" s="32">
        <v>43071.063750000001</v>
      </c>
    </row>
    <row r="5814" spans="1:3">
      <c r="A5814">
        <v>647871</v>
      </c>
      <c r="B5814">
        <v>3711641</v>
      </c>
      <c r="C5814" s="32">
        <v>43070.942824074074</v>
      </c>
    </row>
    <row r="5815" spans="1:3">
      <c r="A5815">
        <v>897531</v>
      </c>
      <c r="B5815">
        <v>2304296</v>
      </c>
      <c r="C5815" s="32">
        <v>43070.482002314813</v>
      </c>
    </row>
    <row r="5816" spans="1:3">
      <c r="A5816">
        <v>304159</v>
      </c>
      <c r="B5816">
        <v>3483675</v>
      </c>
      <c r="C5816" s="32">
        <v>43072.37841435185</v>
      </c>
    </row>
    <row r="5817" spans="1:3">
      <c r="A5817">
        <v>679632</v>
      </c>
      <c r="B5817">
        <v>4462359</v>
      </c>
      <c r="C5817" s="32">
        <v>43070.487002314818</v>
      </c>
    </row>
    <row r="5818" spans="1:3">
      <c r="A5818">
        <v>259790</v>
      </c>
      <c r="B5818">
        <v>3607361</v>
      </c>
      <c r="C5818" s="32">
        <v>43071.173506944448</v>
      </c>
    </row>
    <row r="5819" spans="1:3">
      <c r="A5819">
        <v>262489</v>
      </c>
      <c r="B5819">
        <v>753984</v>
      </c>
      <c r="C5819" s="32">
        <v>43072.43377314815</v>
      </c>
    </row>
    <row r="5820" spans="1:3">
      <c r="A5820">
        <v>802152</v>
      </c>
      <c r="B5820">
        <v>2072473</v>
      </c>
      <c r="C5820" s="32">
        <v>43072.340243055558</v>
      </c>
    </row>
    <row r="5821" spans="1:3">
      <c r="A5821">
        <v>677886</v>
      </c>
      <c r="B5821">
        <v>1029459</v>
      </c>
      <c r="C5821" s="32">
        <v>43071.617986111109</v>
      </c>
    </row>
    <row r="5822" spans="1:3">
      <c r="A5822">
        <v>126231</v>
      </c>
      <c r="B5822">
        <v>1149584</v>
      </c>
      <c r="C5822" s="32">
        <v>43071.710902777777</v>
      </c>
    </row>
    <row r="5823" spans="1:3">
      <c r="A5823">
        <v>51357</v>
      </c>
      <c r="B5823">
        <v>672001</v>
      </c>
      <c r="C5823" s="32">
        <v>43070.573611111111</v>
      </c>
    </row>
    <row r="5824" spans="1:3">
      <c r="A5824">
        <v>246312</v>
      </c>
      <c r="B5824">
        <v>405755</v>
      </c>
      <c r="C5824" s="32">
        <v>43072.632268518515</v>
      </c>
    </row>
    <row r="5825" spans="1:3">
      <c r="A5825">
        <v>456383</v>
      </c>
      <c r="B5825">
        <v>3645362</v>
      </c>
      <c r="C5825" s="32">
        <v>43070.65084490741</v>
      </c>
    </row>
    <row r="5826" spans="1:3">
      <c r="A5826">
        <v>408766</v>
      </c>
      <c r="B5826">
        <v>1528701</v>
      </c>
      <c r="C5826" s="32">
        <v>43071.550868055558</v>
      </c>
    </row>
    <row r="5827" spans="1:3">
      <c r="A5827">
        <v>72852</v>
      </c>
      <c r="B5827">
        <v>4756105</v>
      </c>
      <c r="C5827" s="32">
        <v>43071.982673611114</v>
      </c>
    </row>
    <row r="5828" spans="1:3">
      <c r="A5828">
        <v>716867</v>
      </c>
      <c r="B5828">
        <v>2355072</v>
      </c>
      <c r="C5828" s="32">
        <v>43070.594768518517</v>
      </c>
    </row>
    <row r="5829" spans="1:3">
      <c r="A5829">
        <v>677551</v>
      </c>
      <c r="B5829">
        <v>854059</v>
      </c>
      <c r="C5829" s="32">
        <v>43070.984097222223</v>
      </c>
    </row>
    <row r="5830" spans="1:3">
      <c r="A5830">
        <v>184402</v>
      </c>
      <c r="B5830">
        <v>182615</v>
      </c>
      <c r="C5830" s="32">
        <v>43072.152395833335</v>
      </c>
    </row>
    <row r="5831" spans="1:3">
      <c r="A5831">
        <v>344562</v>
      </c>
      <c r="B5831">
        <v>3855599</v>
      </c>
      <c r="C5831" s="32">
        <v>43072.463923611111</v>
      </c>
    </row>
    <row r="5832" spans="1:3">
      <c r="A5832">
        <v>575015</v>
      </c>
      <c r="B5832">
        <v>4597130</v>
      </c>
      <c r="C5832" s="32">
        <v>43071.594976851855</v>
      </c>
    </row>
    <row r="5833" spans="1:3">
      <c r="A5833">
        <v>30686</v>
      </c>
      <c r="B5833">
        <v>4613485</v>
      </c>
      <c r="C5833" s="32">
        <v>43070.448379629626</v>
      </c>
    </row>
    <row r="5834" spans="1:3">
      <c r="A5834">
        <v>126052</v>
      </c>
      <c r="B5834">
        <v>2087597</v>
      </c>
      <c r="C5834" s="32">
        <v>43072.154317129629</v>
      </c>
    </row>
    <row r="5835" spans="1:3">
      <c r="A5835">
        <v>382448</v>
      </c>
      <c r="B5835">
        <v>739426</v>
      </c>
      <c r="C5835" s="32">
        <v>43071.40662037037</v>
      </c>
    </row>
    <row r="5836" spans="1:3">
      <c r="A5836">
        <v>937527</v>
      </c>
      <c r="B5836">
        <v>1320293</v>
      </c>
      <c r="C5836" s="32">
        <v>43072.376458333332</v>
      </c>
    </row>
    <row r="5837" spans="1:3">
      <c r="A5837">
        <v>301197</v>
      </c>
      <c r="B5837">
        <v>982926</v>
      </c>
      <c r="C5837" s="32">
        <v>43072.352731481478</v>
      </c>
    </row>
    <row r="5838" spans="1:3">
      <c r="A5838">
        <v>597737</v>
      </c>
      <c r="B5838">
        <v>2355072</v>
      </c>
      <c r="C5838" s="32">
        <v>43071.483877314815</v>
      </c>
    </row>
    <row r="5839" spans="1:3">
      <c r="A5839">
        <v>666988</v>
      </c>
      <c r="B5839">
        <v>2578647</v>
      </c>
      <c r="C5839" s="32">
        <v>43071.056655092594</v>
      </c>
    </row>
    <row r="5840" spans="1:3">
      <c r="A5840">
        <v>937029</v>
      </c>
      <c r="B5840">
        <v>4462359</v>
      </c>
      <c r="C5840" s="32">
        <v>43071.258460648147</v>
      </c>
    </row>
    <row r="5841" spans="1:3">
      <c r="A5841">
        <v>822390</v>
      </c>
      <c r="B5841">
        <v>883960</v>
      </c>
      <c r="C5841" s="32">
        <v>43070.400312500002</v>
      </c>
    </row>
    <row r="5842" spans="1:3">
      <c r="A5842">
        <v>954588</v>
      </c>
      <c r="B5842">
        <v>238434</v>
      </c>
      <c r="C5842" s="32">
        <v>43071.393148148149</v>
      </c>
    </row>
    <row r="5843" spans="1:3">
      <c r="A5843">
        <v>481159</v>
      </c>
      <c r="B5843">
        <v>982926</v>
      </c>
      <c r="C5843" s="32">
        <v>43071.64234953704</v>
      </c>
    </row>
    <row r="5844" spans="1:3">
      <c r="A5844">
        <v>250489</v>
      </c>
      <c r="B5844">
        <v>2520377</v>
      </c>
      <c r="C5844" s="32">
        <v>43071.39738425926</v>
      </c>
    </row>
    <row r="5845" spans="1:3">
      <c r="A5845">
        <v>24828</v>
      </c>
      <c r="B5845">
        <v>1029459</v>
      </c>
      <c r="C5845" s="32">
        <v>43071.065428240741</v>
      </c>
    </row>
    <row r="5846" spans="1:3">
      <c r="A5846">
        <v>151466</v>
      </c>
      <c r="B5846">
        <v>1265358</v>
      </c>
      <c r="C5846" s="32">
        <v>43071.666643518518</v>
      </c>
    </row>
    <row r="5847" spans="1:3">
      <c r="A5847">
        <v>189424</v>
      </c>
      <c r="B5847">
        <v>2721770</v>
      </c>
      <c r="C5847" s="32">
        <v>43070.599097222221</v>
      </c>
    </row>
    <row r="5848" spans="1:3">
      <c r="A5848">
        <v>103946</v>
      </c>
      <c r="B5848">
        <v>330316</v>
      </c>
      <c r="C5848" s="32">
        <v>43071.129618055558</v>
      </c>
    </row>
    <row r="5849" spans="1:3">
      <c r="A5849">
        <v>535099</v>
      </c>
      <c r="B5849">
        <v>4163659</v>
      </c>
      <c r="C5849" s="32">
        <v>43070.230173611111</v>
      </c>
    </row>
    <row r="5850" spans="1:3">
      <c r="A5850">
        <v>693566</v>
      </c>
      <c r="B5850">
        <v>1678374</v>
      </c>
      <c r="C5850" s="32">
        <v>43071.638726851852</v>
      </c>
    </row>
    <row r="5851" spans="1:3">
      <c r="A5851">
        <v>477720</v>
      </c>
      <c r="B5851">
        <v>2020240</v>
      </c>
      <c r="C5851" s="32">
        <v>43072.545358796298</v>
      </c>
    </row>
    <row r="5852" spans="1:3">
      <c r="A5852">
        <v>987831</v>
      </c>
      <c r="B5852">
        <v>2520771</v>
      </c>
      <c r="C5852" s="32">
        <v>43070.356724537036</v>
      </c>
    </row>
    <row r="5853" spans="1:3">
      <c r="A5853">
        <v>441629</v>
      </c>
      <c r="B5853">
        <v>3745980</v>
      </c>
      <c r="C5853" s="32">
        <v>43071.650891203702</v>
      </c>
    </row>
    <row r="5854" spans="1:3">
      <c r="A5854">
        <v>71150</v>
      </c>
      <c r="B5854">
        <v>2615320</v>
      </c>
      <c r="C5854" s="32">
        <v>43070.422164351854</v>
      </c>
    </row>
    <row r="5855" spans="1:3">
      <c r="A5855">
        <v>479198</v>
      </c>
      <c r="B5855">
        <v>4331400</v>
      </c>
      <c r="C5855" s="32">
        <v>43071.06894675926</v>
      </c>
    </row>
    <row r="5856" spans="1:3">
      <c r="A5856">
        <v>562027</v>
      </c>
      <c r="B5856">
        <v>4643350</v>
      </c>
      <c r="C5856" s="32">
        <v>43072.53565972222</v>
      </c>
    </row>
    <row r="5857" spans="1:3">
      <c r="A5857">
        <v>594042</v>
      </c>
      <c r="B5857">
        <v>4801426</v>
      </c>
      <c r="C5857" s="32">
        <v>43070.590717592589</v>
      </c>
    </row>
    <row r="5858" spans="1:3">
      <c r="A5858">
        <v>876533</v>
      </c>
      <c r="B5858">
        <v>4145813</v>
      </c>
      <c r="C5858" s="32">
        <v>43072.142384259256</v>
      </c>
    </row>
    <row r="5859" spans="1:3">
      <c r="A5859">
        <v>587439</v>
      </c>
      <c r="B5859">
        <v>4756105</v>
      </c>
      <c r="C5859" s="32">
        <v>43071.661828703705</v>
      </c>
    </row>
    <row r="5860" spans="1:3">
      <c r="A5860">
        <v>303435</v>
      </c>
      <c r="B5860">
        <v>3744190</v>
      </c>
      <c r="C5860" s="32">
        <v>43070.096018518518</v>
      </c>
    </row>
    <row r="5861" spans="1:3">
      <c r="A5861">
        <v>860120</v>
      </c>
      <c r="B5861">
        <v>2735466</v>
      </c>
      <c r="C5861" s="32">
        <v>43072.461527777778</v>
      </c>
    </row>
    <row r="5862" spans="1:3">
      <c r="A5862">
        <v>623921</v>
      </c>
      <c r="B5862">
        <v>4357323</v>
      </c>
      <c r="C5862" s="32">
        <v>43070.557118055556</v>
      </c>
    </row>
    <row r="5863" spans="1:3">
      <c r="A5863">
        <v>275049</v>
      </c>
      <c r="B5863">
        <v>965809</v>
      </c>
      <c r="C5863" s="32">
        <v>43072.32539351852</v>
      </c>
    </row>
    <row r="5864" spans="1:3">
      <c r="A5864">
        <v>352800</v>
      </c>
      <c r="B5864">
        <v>982926</v>
      </c>
      <c r="C5864" s="32">
        <v>43070.58452546296</v>
      </c>
    </row>
    <row r="5865" spans="1:3">
      <c r="A5865">
        <v>477308</v>
      </c>
      <c r="B5865">
        <v>982926</v>
      </c>
      <c r="C5865" s="32">
        <v>43070.590451388889</v>
      </c>
    </row>
    <row r="5866" spans="1:3">
      <c r="A5866">
        <v>947955</v>
      </c>
      <c r="B5866">
        <v>4758477</v>
      </c>
      <c r="C5866" s="32">
        <v>43072.397118055553</v>
      </c>
    </row>
    <row r="5867" spans="1:3">
      <c r="A5867">
        <v>639197</v>
      </c>
      <c r="B5867">
        <v>238434</v>
      </c>
      <c r="C5867" s="32">
        <v>43071.956099537034</v>
      </c>
    </row>
    <row r="5868" spans="1:3">
      <c r="A5868">
        <v>300526</v>
      </c>
      <c r="B5868">
        <v>903809</v>
      </c>
      <c r="C5868" s="32">
        <v>43070.070034722223</v>
      </c>
    </row>
    <row r="5869" spans="1:3">
      <c r="A5869">
        <v>723597</v>
      </c>
      <c r="B5869">
        <v>4082778</v>
      </c>
      <c r="C5869" s="32">
        <v>43071.111388888887</v>
      </c>
    </row>
    <row r="5870" spans="1:3">
      <c r="A5870">
        <v>366777</v>
      </c>
      <c r="B5870">
        <v>4801426</v>
      </c>
      <c r="C5870" s="32">
        <v>43071.398692129631</v>
      </c>
    </row>
    <row r="5871" spans="1:3">
      <c r="A5871">
        <v>84896</v>
      </c>
      <c r="B5871">
        <v>982926</v>
      </c>
      <c r="C5871" s="32">
        <v>43071.512685185182</v>
      </c>
    </row>
    <row r="5872" spans="1:3">
      <c r="A5872">
        <v>153682</v>
      </c>
      <c r="B5872">
        <v>3598912</v>
      </c>
      <c r="C5872" s="32">
        <v>43070.616307870368</v>
      </c>
    </row>
    <row r="5873" spans="1:3">
      <c r="A5873">
        <v>265161</v>
      </c>
      <c r="B5873">
        <v>4920960</v>
      </c>
      <c r="C5873" s="32">
        <v>43069.985763888886</v>
      </c>
    </row>
    <row r="5874" spans="1:3">
      <c r="A5874">
        <v>912997</v>
      </c>
      <c r="B5874">
        <v>5053508</v>
      </c>
      <c r="C5874" s="32">
        <v>43071.471145833333</v>
      </c>
    </row>
    <row r="5875" spans="1:3">
      <c r="A5875">
        <v>879864</v>
      </c>
      <c r="B5875">
        <v>4145813</v>
      </c>
      <c r="C5875" s="32">
        <v>43072.105613425927</v>
      </c>
    </row>
    <row r="5876" spans="1:3">
      <c r="A5876">
        <v>523770</v>
      </c>
      <c r="B5876">
        <v>1080785</v>
      </c>
      <c r="C5876" s="32">
        <v>43070.431469907409</v>
      </c>
    </row>
    <row r="5877" spans="1:3">
      <c r="A5877">
        <v>379176</v>
      </c>
      <c r="B5877">
        <v>866301</v>
      </c>
      <c r="C5877" s="32">
        <v>43070.82980324074</v>
      </c>
    </row>
    <row r="5878" spans="1:3">
      <c r="A5878">
        <v>791895</v>
      </c>
      <c r="B5878">
        <v>1320293</v>
      </c>
      <c r="C5878" s="32">
        <v>43072.187418981484</v>
      </c>
    </row>
    <row r="5879" spans="1:3">
      <c r="A5879">
        <v>925869</v>
      </c>
      <c r="B5879">
        <v>605882</v>
      </c>
      <c r="C5879" s="32">
        <v>43071.195694444446</v>
      </c>
    </row>
    <row r="5880" spans="1:3">
      <c r="A5880">
        <v>200285</v>
      </c>
      <c r="B5880">
        <v>4801426</v>
      </c>
      <c r="C5880" s="32">
        <v>43072.61822916667</v>
      </c>
    </row>
    <row r="5881" spans="1:3">
      <c r="A5881">
        <v>36340</v>
      </c>
      <c r="B5881">
        <v>611849</v>
      </c>
      <c r="C5881" s="32">
        <v>43071.533113425925</v>
      </c>
    </row>
    <row r="5882" spans="1:3">
      <c r="A5882">
        <v>945559</v>
      </c>
      <c r="B5882">
        <v>2578647</v>
      </c>
      <c r="C5882" s="32">
        <v>43071.637743055559</v>
      </c>
    </row>
    <row r="5883" spans="1:3">
      <c r="A5883">
        <v>61390</v>
      </c>
      <c r="B5883">
        <v>3065645</v>
      </c>
      <c r="C5883" s="32">
        <v>43071.518506944441</v>
      </c>
    </row>
    <row r="5884" spans="1:3">
      <c r="A5884">
        <v>219111</v>
      </c>
      <c r="B5884">
        <v>1299190</v>
      </c>
      <c r="C5884" s="32">
        <v>43072.234988425924</v>
      </c>
    </row>
    <row r="5885" spans="1:3">
      <c r="A5885">
        <v>542651</v>
      </c>
      <c r="B5885">
        <v>583485</v>
      </c>
      <c r="C5885" s="32">
        <v>43071.497812499998</v>
      </c>
    </row>
    <row r="5886" spans="1:3">
      <c r="A5886">
        <v>628057</v>
      </c>
      <c r="B5886">
        <v>2885642</v>
      </c>
      <c r="C5886" s="32">
        <v>43069.669108796297</v>
      </c>
    </row>
    <row r="5887" spans="1:3">
      <c r="A5887">
        <v>652867</v>
      </c>
      <c r="B5887">
        <v>2322253</v>
      </c>
      <c r="C5887" s="32">
        <v>43071.508113425924</v>
      </c>
    </row>
    <row r="5888" spans="1:3">
      <c r="A5888">
        <v>1011984</v>
      </c>
      <c r="B5888">
        <v>2355072</v>
      </c>
      <c r="C5888" s="32">
        <v>43070.651886574073</v>
      </c>
    </row>
    <row r="5889" spans="1:3">
      <c r="A5889">
        <v>774959</v>
      </c>
      <c r="B5889">
        <v>2355072</v>
      </c>
      <c r="C5889" s="32">
        <v>43071.561805555553</v>
      </c>
    </row>
    <row r="5890" spans="1:3">
      <c r="A5890">
        <v>203356</v>
      </c>
      <c r="B5890">
        <v>4284875</v>
      </c>
      <c r="C5890" s="32">
        <v>43071.101793981485</v>
      </c>
    </row>
    <row r="5891" spans="1:3">
      <c r="A5891">
        <v>820376</v>
      </c>
      <c r="B5891">
        <v>753984</v>
      </c>
      <c r="C5891" s="32">
        <v>43070.641689814816</v>
      </c>
    </row>
    <row r="5892" spans="1:3">
      <c r="A5892">
        <v>990936</v>
      </c>
      <c r="B5892">
        <v>1216617</v>
      </c>
      <c r="C5892" s="32">
        <v>43072.66002314815</v>
      </c>
    </row>
    <row r="5893" spans="1:3">
      <c r="A5893">
        <v>620659</v>
      </c>
      <c r="B5893">
        <v>719442</v>
      </c>
      <c r="C5893" s="32">
        <v>43071.663645833331</v>
      </c>
    </row>
    <row r="5894" spans="1:3">
      <c r="A5894">
        <v>57990</v>
      </c>
      <c r="B5894">
        <v>1320293</v>
      </c>
      <c r="C5894" s="32">
        <v>43072.597349537034</v>
      </c>
    </row>
    <row r="5895" spans="1:3">
      <c r="A5895">
        <v>543977</v>
      </c>
      <c r="B5895">
        <v>843337</v>
      </c>
      <c r="C5895" s="32">
        <v>43072.520972222221</v>
      </c>
    </row>
    <row r="5896" spans="1:3">
      <c r="A5896">
        <v>820730</v>
      </c>
      <c r="B5896">
        <v>2858794</v>
      </c>
      <c r="C5896" s="32">
        <v>43070.041921296295</v>
      </c>
    </row>
    <row r="5897" spans="1:3">
      <c r="A5897">
        <v>711608</v>
      </c>
      <c r="B5897">
        <v>2885642</v>
      </c>
      <c r="C5897" s="32">
        <v>43070.608634259261</v>
      </c>
    </row>
    <row r="5898" spans="1:3">
      <c r="A5898">
        <v>785428</v>
      </c>
      <c r="B5898">
        <v>886203</v>
      </c>
      <c r="C5898" s="32">
        <v>43072.602523148147</v>
      </c>
    </row>
    <row r="5899" spans="1:3">
      <c r="A5899">
        <v>694932</v>
      </c>
      <c r="B5899">
        <v>2520377</v>
      </c>
      <c r="C5899" s="32">
        <v>43072.521319444444</v>
      </c>
    </row>
    <row r="5900" spans="1:3">
      <c r="A5900">
        <v>124477</v>
      </c>
      <c r="B5900">
        <v>2355072</v>
      </c>
      <c r="C5900" s="32">
        <v>43071.515046296299</v>
      </c>
    </row>
    <row r="5901" spans="1:3">
      <c r="A5901">
        <v>577308</v>
      </c>
      <c r="B5901">
        <v>4217906</v>
      </c>
      <c r="C5901" s="32">
        <v>43071.473576388889</v>
      </c>
    </row>
    <row r="5902" spans="1:3">
      <c r="A5902">
        <v>217023</v>
      </c>
      <c r="B5902">
        <v>411153</v>
      </c>
      <c r="C5902" s="32">
        <v>43071.588726851849</v>
      </c>
    </row>
    <row r="5903" spans="1:3">
      <c r="A5903">
        <v>308369</v>
      </c>
      <c r="B5903">
        <v>3702593</v>
      </c>
      <c r="C5903" s="32">
        <v>43071.669942129629</v>
      </c>
    </row>
    <row r="5904" spans="1:3">
      <c r="A5904">
        <v>63826</v>
      </c>
      <c r="B5904">
        <v>2419959</v>
      </c>
      <c r="C5904" s="32">
        <v>43072.028877314813</v>
      </c>
    </row>
    <row r="5905" spans="1:3">
      <c r="A5905">
        <v>64252</v>
      </c>
      <c r="B5905">
        <v>2465336</v>
      </c>
      <c r="C5905" s="32">
        <v>43072.406539351854</v>
      </c>
    </row>
    <row r="5906" spans="1:3">
      <c r="A5906">
        <v>382299</v>
      </c>
      <c r="B5906">
        <v>3299155</v>
      </c>
      <c r="C5906" s="32">
        <v>43072.365682870368</v>
      </c>
    </row>
    <row r="5907" spans="1:3">
      <c r="A5907">
        <v>529663</v>
      </c>
      <c r="B5907">
        <v>4022701</v>
      </c>
      <c r="C5907" s="32">
        <v>43070.678287037037</v>
      </c>
    </row>
    <row r="5908" spans="1:3">
      <c r="A5908">
        <v>338846</v>
      </c>
      <c r="B5908">
        <v>64179</v>
      </c>
      <c r="C5908" s="32">
        <v>43072.54791666667</v>
      </c>
    </row>
    <row r="5909" spans="1:3">
      <c r="A5909">
        <v>413901</v>
      </c>
      <c r="B5909">
        <v>2096639</v>
      </c>
      <c r="C5909" s="32">
        <v>43072.115729166668</v>
      </c>
    </row>
    <row r="5910" spans="1:3">
      <c r="A5910">
        <v>198576</v>
      </c>
      <c r="B5910">
        <v>4993094</v>
      </c>
      <c r="C5910" s="32">
        <v>43070.25613425926</v>
      </c>
    </row>
    <row r="5911" spans="1:3">
      <c r="A5911">
        <v>49997</v>
      </c>
      <c r="B5911">
        <v>2465336</v>
      </c>
      <c r="C5911" s="32">
        <v>43072.493414351855</v>
      </c>
    </row>
    <row r="5912" spans="1:3">
      <c r="A5912">
        <v>251159</v>
      </c>
      <c r="B5912">
        <v>1080785</v>
      </c>
      <c r="C5912" s="32">
        <v>43071.268437500003</v>
      </c>
    </row>
    <row r="5913" spans="1:3">
      <c r="A5913">
        <v>392844</v>
      </c>
      <c r="B5913">
        <v>4756105</v>
      </c>
      <c r="C5913" s="32">
        <v>43070.596608796295</v>
      </c>
    </row>
    <row r="5914" spans="1:3">
      <c r="A5914">
        <v>61800</v>
      </c>
      <c r="B5914">
        <v>4241245</v>
      </c>
      <c r="C5914" s="32">
        <v>43072.259386574071</v>
      </c>
    </row>
    <row r="5915" spans="1:3">
      <c r="A5915">
        <v>312181</v>
      </c>
      <c r="B5915">
        <v>65362</v>
      </c>
      <c r="C5915" s="32">
        <v>43071.014143518521</v>
      </c>
    </row>
    <row r="5916" spans="1:3">
      <c r="A5916">
        <v>318361</v>
      </c>
      <c r="B5916">
        <v>1944905</v>
      </c>
      <c r="C5916" s="32">
        <v>43072.645370370374</v>
      </c>
    </row>
    <row r="5917" spans="1:3">
      <c r="A5917">
        <v>922462</v>
      </c>
      <c r="B5917">
        <v>2629787</v>
      </c>
      <c r="C5917" s="32">
        <v>43071.226134259261</v>
      </c>
    </row>
    <row r="5918" spans="1:3">
      <c r="A5918">
        <v>882446</v>
      </c>
      <c r="B5918">
        <v>3664107</v>
      </c>
      <c r="C5918" s="32">
        <v>43071.34883101852</v>
      </c>
    </row>
    <row r="5919" spans="1:3">
      <c r="A5919">
        <v>26247</v>
      </c>
      <c r="B5919">
        <v>1464116</v>
      </c>
      <c r="C5919" s="32">
        <v>43070.702060185184</v>
      </c>
    </row>
    <row r="5920" spans="1:3">
      <c r="A5920">
        <v>514318</v>
      </c>
      <c r="B5920">
        <v>1879194</v>
      </c>
      <c r="C5920" s="32">
        <v>43071.130960648145</v>
      </c>
    </row>
    <row r="5921" spans="1:3">
      <c r="A5921">
        <v>187326</v>
      </c>
      <c r="B5921">
        <v>154040</v>
      </c>
      <c r="C5921" s="32">
        <v>43072.054016203707</v>
      </c>
    </row>
    <row r="5922" spans="1:3">
      <c r="A5922">
        <v>181156</v>
      </c>
      <c r="B5922">
        <v>3607361</v>
      </c>
      <c r="C5922" s="32">
        <v>43072.637696759259</v>
      </c>
    </row>
    <row r="5923" spans="1:3">
      <c r="A5923">
        <v>392844</v>
      </c>
      <c r="B5923">
        <v>2945933</v>
      </c>
      <c r="C5923" s="32">
        <v>43070.60125</v>
      </c>
    </row>
    <row r="5924" spans="1:3">
      <c r="A5924">
        <v>738950</v>
      </c>
      <c r="B5924">
        <v>4643350</v>
      </c>
      <c r="C5924" s="32">
        <v>43069.960706018515</v>
      </c>
    </row>
    <row r="5925" spans="1:3">
      <c r="A5925">
        <v>51359</v>
      </c>
      <c r="B5925">
        <v>4827153</v>
      </c>
      <c r="C5925" s="32">
        <v>43071.997106481482</v>
      </c>
    </row>
    <row r="5926" spans="1:3">
      <c r="A5926">
        <v>400632</v>
      </c>
      <c r="B5926">
        <v>622168</v>
      </c>
      <c r="C5926" s="32">
        <v>43069.809745370374</v>
      </c>
    </row>
    <row r="5927" spans="1:3">
      <c r="A5927">
        <v>542408</v>
      </c>
      <c r="B5927">
        <v>570735</v>
      </c>
      <c r="C5927" s="32">
        <v>43070.40315972222</v>
      </c>
    </row>
    <row r="5928" spans="1:3">
      <c r="A5928">
        <v>534052</v>
      </c>
      <c r="B5928">
        <v>1320293</v>
      </c>
      <c r="C5928" s="32">
        <v>43071.36037037037</v>
      </c>
    </row>
    <row r="5929" spans="1:3">
      <c r="A5929">
        <v>734503</v>
      </c>
      <c r="B5929">
        <v>245312</v>
      </c>
      <c r="C5929" s="32">
        <v>43072.24790509259</v>
      </c>
    </row>
    <row r="5930" spans="1:3">
      <c r="A5930">
        <v>941133</v>
      </c>
      <c r="B5930">
        <v>2885642</v>
      </c>
      <c r="C5930" s="32">
        <v>43070.633067129631</v>
      </c>
    </row>
    <row r="5931" spans="1:3">
      <c r="A5931">
        <v>429629</v>
      </c>
      <c r="B5931">
        <v>102272</v>
      </c>
      <c r="C5931" s="32">
        <v>43070.203587962962</v>
      </c>
    </row>
    <row r="5932" spans="1:3">
      <c r="A5932">
        <v>454293</v>
      </c>
      <c r="B5932">
        <v>3002561</v>
      </c>
      <c r="C5932" s="32">
        <v>43072.489664351851</v>
      </c>
    </row>
    <row r="5933" spans="1:3">
      <c r="A5933">
        <v>621334</v>
      </c>
      <c r="B5933">
        <v>4756105</v>
      </c>
      <c r="C5933" s="32">
        <v>43070.382199074076</v>
      </c>
    </row>
    <row r="5934" spans="1:3">
      <c r="A5934">
        <v>4457</v>
      </c>
      <c r="B5934">
        <v>4130426</v>
      </c>
      <c r="C5934" s="32">
        <v>43072.170902777776</v>
      </c>
    </row>
    <row r="5935" spans="1:3">
      <c r="A5935">
        <v>145438</v>
      </c>
      <c r="B5935">
        <v>2520377</v>
      </c>
      <c r="C5935" s="32">
        <v>43071.309444444443</v>
      </c>
    </row>
    <row r="5936" spans="1:3">
      <c r="A5936">
        <v>924209</v>
      </c>
      <c r="B5936">
        <v>181182</v>
      </c>
      <c r="C5936" s="32">
        <v>43071.483946759261</v>
      </c>
    </row>
    <row r="5937" spans="1:3">
      <c r="A5937">
        <v>616904</v>
      </c>
      <c r="B5937">
        <v>3616520</v>
      </c>
      <c r="C5937" s="32">
        <v>43070.490868055553</v>
      </c>
    </row>
    <row r="5938" spans="1:3">
      <c r="A5938">
        <v>73206</v>
      </c>
      <c r="B5938">
        <v>1567637</v>
      </c>
      <c r="C5938" s="32">
        <v>43070.318530092591</v>
      </c>
    </row>
    <row r="5939" spans="1:3">
      <c r="A5939">
        <v>470818</v>
      </c>
      <c r="B5939">
        <v>1379146</v>
      </c>
      <c r="C5939" s="32">
        <v>43070.259062500001</v>
      </c>
    </row>
    <row r="5940" spans="1:3">
      <c r="A5940">
        <v>56032</v>
      </c>
      <c r="B5940">
        <v>4789432</v>
      </c>
      <c r="C5940" s="32">
        <v>43070.5783912037</v>
      </c>
    </row>
    <row r="5941" spans="1:3">
      <c r="A5941">
        <v>112740</v>
      </c>
      <c r="B5941">
        <v>3807763</v>
      </c>
      <c r="C5941" s="32">
        <v>43072.603773148148</v>
      </c>
    </row>
    <row r="5942" spans="1:3">
      <c r="A5942">
        <v>163189</v>
      </c>
      <c r="B5942">
        <v>3607361</v>
      </c>
      <c r="C5942" s="32">
        <v>43070.129479166666</v>
      </c>
    </row>
    <row r="5943" spans="1:3">
      <c r="A5943">
        <v>241229</v>
      </c>
      <c r="B5943">
        <v>1521931</v>
      </c>
      <c r="C5943" s="32">
        <v>43072.097025462965</v>
      </c>
    </row>
    <row r="5944" spans="1:3">
      <c r="A5944">
        <v>838262</v>
      </c>
      <c r="B5944">
        <v>4756105</v>
      </c>
      <c r="C5944" s="32">
        <v>43070.941678240742</v>
      </c>
    </row>
    <row r="5945" spans="1:3">
      <c r="A5945">
        <v>379399</v>
      </c>
      <c r="B5945">
        <v>982926</v>
      </c>
      <c r="C5945" s="32">
        <v>43070.214722222219</v>
      </c>
    </row>
    <row r="5946" spans="1:3">
      <c r="A5946">
        <v>712737</v>
      </c>
      <c r="B5946">
        <v>3343095</v>
      </c>
      <c r="C5946" s="32">
        <v>43072.629386574074</v>
      </c>
    </row>
    <row r="5947" spans="1:3">
      <c r="A5947">
        <v>380664</v>
      </c>
      <c r="B5947">
        <v>1320293</v>
      </c>
      <c r="C5947" s="32">
        <v>43070.700057870374</v>
      </c>
    </row>
    <row r="5948" spans="1:3">
      <c r="A5948">
        <v>544048</v>
      </c>
      <c r="B5948">
        <v>1080785</v>
      </c>
      <c r="C5948" s="32">
        <v>43071.913055555553</v>
      </c>
    </row>
    <row r="5949" spans="1:3">
      <c r="A5949">
        <v>810333</v>
      </c>
      <c r="B5949">
        <v>2520771</v>
      </c>
      <c r="C5949" s="32">
        <v>43071.675219907411</v>
      </c>
    </row>
    <row r="5950" spans="1:3">
      <c r="A5950">
        <v>812040</v>
      </c>
      <c r="B5950">
        <v>542908</v>
      </c>
      <c r="C5950" s="32">
        <v>43070.277384259258</v>
      </c>
    </row>
    <row r="5951" spans="1:3">
      <c r="A5951">
        <v>195453</v>
      </c>
      <c r="B5951">
        <v>3299155</v>
      </c>
      <c r="C5951" s="32">
        <v>43070.533796296295</v>
      </c>
    </row>
    <row r="5952" spans="1:3">
      <c r="A5952">
        <v>488003</v>
      </c>
      <c r="B5952">
        <v>1299190</v>
      </c>
      <c r="C5952" s="32">
        <v>43070.514826388891</v>
      </c>
    </row>
    <row r="5953" spans="1:3">
      <c r="A5953">
        <v>805583</v>
      </c>
      <c r="B5953">
        <v>235534</v>
      </c>
      <c r="C5953" s="32">
        <v>43071.406331018516</v>
      </c>
    </row>
    <row r="5954" spans="1:3">
      <c r="A5954">
        <v>865493</v>
      </c>
      <c r="B5954">
        <v>2520377</v>
      </c>
      <c r="C5954" s="32">
        <v>43071.319652777776</v>
      </c>
    </row>
    <row r="5955" spans="1:3">
      <c r="A5955">
        <v>37291</v>
      </c>
      <c r="B5955">
        <v>2520377</v>
      </c>
      <c r="C5955" s="32">
        <v>43072.629259259258</v>
      </c>
    </row>
    <row r="5956" spans="1:3">
      <c r="A5956">
        <v>706713</v>
      </c>
      <c r="B5956">
        <v>4069500</v>
      </c>
      <c r="C5956" s="32">
        <v>43072.160636574074</v>
      </c>
    </row>
    <row r="5957" spans="1:3">
      <c r="A5957">
        <v>10208</v>
      </c>
      <c r="B5957">
        <v>1787510</v>
      </c>
      <c r="C5957" s="32">
        <v>43071.11515046296</v>
      </c>
    </row>
    <row r="5958" spans="1:3">
      <c r="A5958">
        <v>908692</v>
      </c>
      <c r="B5958">
        <v>1789614</v>
      </c>
      <c r="C5958" s="32">
        <v>43071.558287037034</v>
      </c>
    </row>
    <row r="5959" spans="1:3">
      <c r="A5959">
        <v>336605</v>
      </c>
      <c r="B5959">
        <v>1834026</v>
      </c>
      <c r="C5959" s="32">
        <v>43070.649942129632</v>
      </c>
    </row>
    <row r="5960" spans="1:3">
      <c r="A5960">
        <v>363919</v>
      </c>
      <c r="B5960">
        <v>2578647</v>
      </c>
      <c r="C5960" s="32">
        <v>43071.57916666667</v>
      </c>
    </row>
    <row r="5961" spans="1:3">
      <c r="A5961">
        <v>518125</v>
      </c>
      <c r="B5961">
        <v>2462567</v>
      </c>
      <c r="C5961" s="32">
        <v>43072.466608796298</v>
      </c>
    </row>
    <row r="5962" spans="1:3">
      <c r="A5962">
        <v>845749</v>
      </c>
      <c r="B5962">
        <v>4217906</v>
      </c>
      <c r="C5962" s="32">
        <v>43071.299097222225</v>
      </c>
    </row>
    <row r="5963" spans="1:3">
      <c r="A5963">
        <v>819372</v>
      </c>
      <c r="B5963">
        <v>149192</v>
      </c>
      <c r="C5963" s="32">
        <v>43071.31453703704</v>
      </c>
    </row>
    <row r="5964" spans="1:3">
      <c r="A5964">
        <v>119596</v>
      </c>
      <c r="B5964">
        <v>4145813</v>
      </c>
      <c r="C5964" s="32">
        <v>43072.175069444442</v>
      </c>
    </row>
    <row r="5965" spans="1:3">
      <c r="A5965">
        <v>403272</v>
      </c>
      <c r="B5965">
        <v>4145813</v>
      </c>
      <c r="C5965" s="32">
        <v>43071.565046296295</v>
      </c>
    </row>
    <row r="5966" spans="1:3">
      <c r="A5966">
        <v>163491</v>
      </c>
      <c r="B5966">
        <v>1126526</v>
      </c>
      <c r="C5966" s="32">
        <v>43072.053020833337</v>
      </c>
    </row>
    <row r="5967" spans="1:3">
      <c r="A5967">
        <v>389844</v>
      </c>
      <c r="B5967">
        <v>1467750</v>
      </c>
      <c r="C5967" s="32">
        <v>43072.590497685182</v>
      </c>
    </row>
    <row r="5968" spans="1:3">
      <c r="A5968">
        <v>640645</v>
      </c>
      <c r="B5968">
        <v>2520377</v>
      </c>
      <c r="C5968" s="32">
        <v>43072.302777777775</v>
      </c>
    </row>
    <row r="5969" spans="1:3">
      <c r="A5969">
        <v>99838</v>
      </c>
      <c r="B5969">
        <v>965809</v>
      </c>
      <c r="C5969" s="32">
        <v>43071.744212962964</v>
      </c>
    </row>
    <row r="5970" spans="1:3">
      <c r="A5970">
        <v>535180</v>
      </c>
      <c r="B5970">
        <v>154040</v>
      </c>
      <c r="C5970" s="32">
        <v>43071.262638888889</v>
      </c>
    </row>
    <row r="5971" spans="1:3">
      <c r="A5971">
        <v>886177</v>
      </c>
      <c r="B5971">
        <v>4756105</v>
      </c>
      <c r="C5971" s="32">
        <v>43070.327916666669</v>
      </c>
    </row>
    <row r="5972" spans="1:3">
      <c r="A5972">
        <v>18401</v>
      </c>
      <c r="B5972">
        <v>4801426</v>
      </c>
      <c r="C5972" s="32">
        <v>43072.150902777779</v>
      </c>
    </row>
    <row r="5973" spans="1:3">
      <c r="A5973">
        <v>994644</v>
      </c>
      <c r="B5973">
        <v>2735466</v>
      </c>
      <c r="C5973" s="32">
        <v>43070.800902777781</v>
      </c>
    </row>
    <row r="5974" spans="1:3">
      <c r="A5974">
        <v>225849</v>
      </c>
      <c r="B5974">
        <v>772629</v>
      </c>
      <c r="C5974" s="32">
        <v>43071.983993055554</v>
      </c>
    </row>
    <row r="5975" spans="1:3">
      <c r="A5975">
        <v>458391</v>
      </c>
      <c r="B5975">
        <v>2735466</v>
      </c>
      <c r="C5975" s="32">
        <v>43071.65552083333</v>
      </c>
    </row>
    <row r="5976" spans="1:3">
      <c r="A5976">
        <v>713197</v>
      </c>
      <c r="B5976">
        <v>4392650</v>
      </c>
      <c r="C5976" s="32">
        <v>43070.768969907411</v>
      </c>
    </row>
    <row r="5977" spans="1:3">
      <c r="A5977">
        <v>782020</v>
      </c>
      <c r="B5977">
        <v>4969568</v>
      </c>
      <c r="C5977" s="32">
        <v>43070.197777777779</v>
      </c>
    </row>
    <row r="5978" spans="1:3">
      <c r="A5978">
        <v>856582</v>
      </c>
      <c r="B5978">
        <v>3608477</v>
      </c>
      <c r="C5978" s="32">
        <v>43072.559340277781</v>
      </c>
    </row>
    <row r="5979" spans="1:3">
      <c r="A5979">
        <v>966339</v>
      </c>
      <c r="B5979">
        <v>4181361</v>
      </c>
      <c r="C5979" s="32">
        <v>43071.204861111109</v>
      </c>
    </row>
    <row r="5980" spans="1:3">
      <c r="A5980">
        <v>18479</v>
      </c>
      <c r="B5980">
        <v>3004853</v>
      </c>
      <c r="C5980" s="32">
        <v>43072.292731481481</v>
      </c>
    </row>
    <row r="5981" spans="1:3">
      <c r="A5981">
        <v>872149</v>
      </c>
      <c r="B5981">
        <v>2948088</v>
      </c>
      <c r="C5981" s="32">
        <v>43072.46837962963</v>
      </c>
    </row>
    <row r="5982" spans="1:3">
      <c r="A5982">
        <v>248765</v>
      </c>
      <c r="B5982">
        <v>2572604</v>
      </c>
      <c r="C5982" s="32">
        <v>43072.54314814815</v>
      </c>
    </row>
    <row r="5983" spans="1:3">
      <c r="A5983">
        <v>377893</v>
      </c>
      <c r="B5983">
        <v>2465336</v>
      </c>
      <c r="C5983" s="32">
        <v>43071.610069444447</v>
      </c>
    </row>
    <row r="5984" spans="1:3">
      <c r="A5984">
        <v>537472</v>
      </c>
      <c r="B5984">
        <v>3455871</v>
      </c>
      <c r="C5984" s="32">
        <v>43071.534548611111</v>
      </c>
    </row>
    <row r="5985" spans="1:3">
      <c r="A5985">
        <v>556864</v>
      </c>
      <c r="B5985">
        <v>1859277</v>
      </c>
      <c r="C5985" s="32">
        <v>43070.051990740743</v>
      </c>
    </row>
    <row r="5986" spans="1:3">
      <c r="A5986">
        <v>401045</v>
      </c>
      <c r="B5986">
        <v>3738615</v>
      </c>
      <c r="C5986" s="32">
        <v>43072.441620370373</v>
      </c>
    </row>
    <row r="5987" spans="1:3">
      <c r="A5987">
        <v>144709</v>
      </c>
      <c r="B5987">
        <v>1464116</v>
      </c>
      <c r="C5987" s="32">
        <v>43071.020104166666</v>
      </c>
    </row>
    <row r="5988" spans="1:3">
      <c r="A5988">
        <v>324523</v>
      </c>
      <c r="B5988">
        <v>3410245</v>
      </c>
      <c r="C5988" s="32">
        <v>43071.343101851853</v>
      </c>
    </row>
    <row r="5989" spans="1:3">
      <c r="A5989">
        <v>839818</v>
      </c>
      <c r="B5989">
        <v>3158249</v>
      </c>
      <c r="C5989" s="32">
        <v>43070.590370370373</v>
      </c>
    </row>
    <row r="5990" spans="1:3">
      <c r="A5990">
        <v>858885</v>
      </c>
      <c r="B5990">
        <v>1275696</v>
      </c>
      <c r="C5990" s="32">
        <v>43071.95208333333</v>
      </c>
    </row>
    <row r="5991" spans="1:3">
      <c r="A5991">
        <v>891661</v>
      </c>
      <c r="B5991">
        <v>1568197</v>
      </c>
      <c r="C5991" s="32">
        <v>43072.357824074075</v>
      </c>
    </row>
    <row r="5992" spans="1:3">
      <c r="A5992">
        <v>661553</v>
      </c>
      <c r="B5992">
        <v>3607361</v>
      </c>
      <c r="C5992" s="32">
        <v>43071.472118055557</v>
      </c>
    </row>
    <row r="5993" spans="1:3">
      <c r="A5993">
        <v>265532</v>
      </c>
      <c r="B5993">
        <v>1859277</v>
      </c>
      <c r="C5993" s="32">
        <v>43072.011388888888</v>
      </c>
    </row>
    <row r="5994" spans="1:3">
      <c r="A5994">
        <v>158879</v>
      </c>
      <c r="B5994">
        <v>2926020</v>
      </c>
      <c r="C5994" s="32">
        <v>43071.564502314817</v>
      </c>
    </row>
    <row r="5995" spans="1:3">
      <c r="A5995">
        <v>535489</v>
      </c>
      <c r="B5995">
        <v>4936889</v>
      </c>
      <c r="C5995" s="32">
        <v>43072.444502314815</v>
      </c>
    </row>
    <row r="5996" spans="1:3">
      <c r="A5996">
        <v>26350</v>
      </c>
      <c r="B5996">
        <v>2465336</v>
      </c>
      <c r="C5996" s="32">
        <v>43071.447500000002</v>
      </c>
    </row>
    <row r="5997" spans="1:3">
      <c r="A5997">
        <v>569207</v>
      </c>
      <c r="B5997">
        <v>2640118</v>
      </c>
      <c r="C5997" s="32">
        <v>43072.312291666669</v>
      </c>
    </row>
    <row r="5998" spans="1:3">
      <c r="A5998">
        <v>285571</v>
      </c>
      <c r="B5998">
        <v>1029459</v>
      </c>
      <c r="C5998" s="32">
        <v>43071.66269675926</v>
      </c>
    </row>
    <row r="5999" spans="1:3">
      <c r="A5999">
        <v>39293</v>
      </c>
      <c r="B5999">
        <v>4801426</v>
      </c>
      <c r="C5999" s="32">
        <v>43071.513912037037</v>
      </c>
    </row>
    <row r="6000" spans="1:3">
      <c r="A6000">
        <v>29977</v>
      </c>
      <c r="B6000">
        <v>4217906</v>
      </c>
      <c r="C6000" s="32">
        <v>43071.648263888892</v>
      </c>
    </row>
    <row r="6001" spans="1:3">
      <c r="A6001">
        <v>903454</v>
      </c>
      <c r="B6001">
        <v>4217906</v>
      </c>
      <c r="C6001" s="32">
        <v>43069.668645833335</v>
      </c>
    </row>
    <row r="6002" spans="1:3">
      <c r="A6002">
        <v>108572</v>
      </c>
      <c r="B6002">
        <v>1879194</v>
      </c>
      <c r="C6002" s="32">
        <v>43070.68472222222</v>
      </c>
    </row>
    <row r="6003" spans="1:3">
      <c r="A6003">
        <v>399947</v>
      </c>
      <c r="B6003">
        <v>3993644</v>
      </c>
      <c r="C6003" s="32">
        <v>43071.634814814817</v>
      </c>
    </row>
    <row r="6004" spans="1:3">
      <c r="A6004">
        <v>259787</v>
      </c>
      <c r="B6004">
        <v>3607361</v>
      </c>
      <c r="C6004" s="32">
        <v>43070.539641203701</v>
      </c>
    </row>
    <row r="6005" spans="1:3">
      <c r="A6005">
        <v>475704</v>
      </c>
      <c r="B6005">
        <v>4756105</v>
      </c>
      <c r="C6005" s="32">
        <v>43070.599861111114</v>
      </c>
    </row>
    <row r="6006" spans="1:3">
      <c r="A6006">
        <v>571911</v>
      </c>
      <c r="B6006">
        <v>2520771</v>
      </c>
      <c r="C6006" s="32">
        <v>43071.251689814817</v>
      </c>
    </row>
    <row r="6007" spans="1:3">
      <c r="A6007">
        <v>747615</v>
      </c>
      <c r="B6007">
        <v>4244487</v>
      </c>
      <c r="C6007" s="32">
        <v>43070.633321759262</v>
      </c>
    </row>
    <row r="6008" spans="1:3">
      <c r="A6008">
        <v>813168</v>
      </c>
      <c r="B6008">
        <v>4683311</v>
      </c>
      <c r="C6008" s="32">
        <v>43071.990995370368</v>
      </c>
    </row>
    <row r="6009" spans="1:3">
      <c r="A6009">
        <v>648878</v>
      </c>
      <c r="B6009">
        <v>1216617</v>
      </c>
      <c r="C6009" s="32">
        <v>43072.553252314814</v>
      </c>
    </row>
    <row r="6010" spans="1:3">
      <c r="A6010">
        <v>593831</v>
      </c>
      <c r="B6010">
        <v>1320293</v>
      </c>
      <c r="C6010" s="32">
        <v>43071.538645833331</v>
      </c>
    </row>
    <row r="6011" spans="1:3">
      <c r="A6011">
        <v>740210</v>
      </c>
      <c r="B6011">
        <v>3189162</v>
      </c>
      <c r="C6011" s="32">
        <v>43072.338750000003</v>
      </c>
    </row>
    <row r="6012" spans="1:3">
      <c r="A6012">
        <v>894588</v>
      </c>
      <c r="B6012">
        <v>1859277</v>
      </c>
      <c r="C6012" s="32">
        <v>43071.529594907406</v>
      </c>
    </row>
    <row r="6013" spans="1:3">
      <c r="A6013">
        <v>225522</v>
      </c>
      <c r="B6013">
        <v>4639855</v>
      </c>
      <c r="C6013" s="32">
        <v>43072.642800925925</v>
      </c>
    </row>
    <row r="6014" spans="1:3">
      <c r="A6014">
        <v>242908</v>
      </c>
      <c r="B6014">
        <v>1029459</v>
      </c>
      <c r="C6014" s="32">
        <v>43070.524733796294</v>
      </c>
    </row>
    <row r="6015" spans="1:3">
      <c r="A6015">
        <v>461665</v>
      </c>
      <c r="B6015">
        <v>2693696</v>
      </c>
      <c r="C6015" s="32">
        <v>43071.330381944441</v>
      </c>
    </row>
    <row r="6016" spans="1:3">
      <c r="A6016">
        <v>319628</v>
      </c>
      <c r="B6016">
        <v>1320293</v>
      </c>
      <c r="C6016" s="32">
        <v>43072.070173611108</v>
      </c>
    </row>
    <row r="6017" spans="1:3">
      <c r="A6017">
        <v>495843</v>
      </c>
      <c r="B6017">
        <v>4801426</v>
      </c>
      <c r="C6017" s="32">
        <v>43072.661099537036</v>
      </c>
    </row>
    <row r="6018" spans="1:3">
      <c r="A6018">
        <v>24685</v>
      </c>
      <c r="B6018">
        <v>2204852</v>
      </c>
      <c r="C6018" s="32">
        <v>43070.472256944442</v>
      </c>
    </row>
    <row r="6019" spans="1:3">
      <c r="A6019">
        <v>618361</v>
      </c>
      <c r="B6019">
        <v>2290623</v>
      </c>
      <c r="C6019" s="32">
        <v>43071.39565972222</v>
      </c>
    </row>
    <row r="6020" spans="1:3">
      <c r="A6020">
        <v>952612</v>
      </c>
      <c r="B6020">
        <v>4756105</v>
      </c>
      <c r="C6020" s="32">
        <v>43071.58965277778</v>
      </c>
    </row>
    <row r="6021" spans="1:3">
      <c r="A6021">
        <v>861877</v>
      </c>
      <c r="B6021">
        <v>1202097</v>
      </c>
      <c r="C6021" s="32">
        <v>43070.504074074073</v>
      </c>
    </row>
    <row r="6022" spans="1:3">
      <c r="A6022">
        <v>680472</v>
      </c>
      <c r="B6022">
        <v>2105685</v>
      </c>
      <c r="C6022" s="32">
        <v>43072.236979166664</v>
      </c>
    </row>
    <row r="6023" spans="1:3">
      <c r="A6023">
        <v>44832</v>
      </c>
      <c r="B6023">
        <v>2465336</v>
      </c>
      <c r="C6023" s="32">
        <v>43070.372094907405</v>
      </c>
    </row>
    <row r="6024" spans="1:3">
      <c r="A6024">
        <v>461704</v>
      </c>
      <c r="B6024">
        <v>3194735</v>
      </c>
      <c r="C6024" s="32">
        <v>43071.398865740739</v>
      </c>
    </row>
    <row r="6025" spans="1:3">
      <c r="A6025">
        <v>93954</v>
      </c>
      <c r="B6025">
        <v>1850548</v>
      </c>
      <c r="C6025" s="32">
        <v>43071.058495370373</v>
      </c>
    </row>
    <row r="6026" spans="1:3">
      <c r="A6026">
        <v>542299</v>
      </c>
      <c r="B6026">
        <v>4921805</v>
      </c>
      <c r="C6026" s="32">
        <v>43071.516168981485</v>
      </c>
    </row>
    <row r="6027" spans="1:3">
      <c r="A6027">
        <v>966232</v>
      </c>
      <c r="B6027">
        <v>3849096</v>
      </c>
      <c r="C6027" s="32">
        <v>43072.457719907405</v>
      </c>
    </row>
    <row r="6028" spans="1:3">
      <c r="A6028">
        <v>435168</v>
      </c>
      <c r="B6028">
        <v>982926</v>
      </c>
      <c r="C6028" s="32">
        <v>43070.130856481483</v>
      </c>
    </row>
    <row r="6029" spans="1:3">
      <c r="A6029">
        <v>574700</v>
      </c>
      <c r="B6029">
        <v>3645362</v>
      </c>
      <c r="C6029" s="32">
        <v>43071.263344907406</v>
      </c>
    </row>
    <row r="6030" spans="1:3">
      <c r="A6030">
        <v>978952</v>
      </c>
      <c r="B6030">
        <v>2945933</v>
      </c>
      <c r="C6030" s="32">
        <v>43070.823009259257</v>
      </c>
    </row>
    <row r="6031" spans="1:3">
      <c r="A6031">
        <v>882717</v>
      </c>
      <c r="B6031">
        <v>3776866</v>
      </c>
      <c r="C6031" s="32">
        <v>43071.173356481479</v>
      </c>
    </row>
    <row r="6032" spans="1:3">
      <c r="A6032">
        <v>302340</v>
      </c>
      <c r="B6032">
        <v>1851156</v>
      </c>
      <c r="C6032" s="32">
        <v>43071.280914351853</v>
      </c>
    </row>
    <row r="6033" spans="1:3">
      <c r="A6033">
        <v>220021</v>
      </c>
      <c r="B6033">
        <v>4145813</v>
      </c>
      <c r="C6033" s="32">
        <v>43072.600925925923</v>
      </c>
    </row>
    <row r="6034" spans="1:3">
      <c r="A6034">
        <v>831274</v>
      </c>
      <c r="B6034">
        <v>2520771</v>
      </c>
      <c r="C6034" s="32">
        <v>43072.650243055556</v>
      </c>
    </row>
    <row r="6035" spans="1:3">
      <c r="A6035">
        <v>630209</v>
      </c>
      <c r="B6035">
        <v>4756105</v>
      </c>
      <c r="C6035" s="32">
        <v>43072.028414351851</v>
      </c>
    </row>
    <row r="6036" spans="1:3">
      <c r="A6036">
        <v>886840</v>
      </c>
      <c r="B6036">
        <v>4690421</v>
      </c>
      <c r="C6036" s="32">
        <v>43071.512245370373</v>
      </c>
    </row>
    <row r="6037" spans="1:3">
      <c r="A6037">
        <v>510013</v>
      </c>
      <c r="B6037">
        <v>4458428</v>
      </c>
      <c r="C6037" s="32">
        <v>43072.557743055557</v>
      </c>
    </row>
    <row r="6038" spans="1:3">
      <c r="A6038">
        <v>716364</v>
      </c>
      <c r="B6038">
        <v>1014564</v>
      </c>
      <c r="C6038" s="32">
        <v>43070.052800925929</v>
      </c>
    </row>
    <row r="6039" spans="1:3">
      <c r="A6039">
        <v>835487</v>
      </c>
      <c r="B6039">
        <v>3158249</v>
      </c>
      <c r="C6039" s="32">
        <v>43070.096076388887</v>
      </c>
    </row>
    <row r="6040" spans="1:3">
      <c r="A6040">
        <v>886056</v>
      </c>
      <c r="B6040">
        <v>1464116</v>
      </c>
      <c r="C6040" s="32">
        <v>43072.278240740743</v>
      </c>
    </row>
    <row r="6041" spans="1:3">
      <c r="A6041">
        <v>789842</v>
      </c>
      <c r="B6041">
        <v>90791</v>
      </c>
      <c r="C6041" s="32">
        <v>43070.619814814818</v>
      </c>
    </row>
    <row r="6042" spans="1:3">
      <c r="A6042">
        <v>232836</v>
      </c>
      <c r="B6042">
        <v>4756105</v>
      </c>
      <c r="C6042" s="32">
        <v>43071.585104166668</v>
      </c>
    </row>
    <row r="6043" spans="1:3">
      <c r="A6043">
        <v>197689</v>
      </c>
      <c r="B6043">
        <v>4022701</v>
      </c>
      <c r="C6043" s="32">
        <v>43070.230949074074</v>
      </c>
    </row>
    <row r="6044" spans="1:3">
      <c r="A6044">
        <v>542009</v>
      </c>
      <c r="B6044">
        <v>2578647</v>
      </c>
      <c r="C6044" s="32">
        <v>43071.632905092592</v>
      </c>
    </row>
    <row r="6045" spans="1:3">
      <c r="A6045">
        <v>856623</v>
      </c>
      <c r="B6045">
        <v>1516409</v>
      </c>
      <c r="C6045" s="32">
        <v>43070.65115740741</v>
      </c>
    </row>
    <row r="6046" spans="1:3">
      <c r="A6046">
        <v>670847</v>
      </c>
      <c r="B6046">
        <v>4069500</v>
      </c>
      <c r="C6046" s="32">
        <v>43071.400289351855</v>
      </c>
    </row>
    <row r="6047" spans="1:3">
      <c r="A6047">
        <v>389161</v>
      </c>
      <c r="B6047">
        <v>982926</v>
      </c>
      <c r="C6047" s="32">
        <v>43070.567766203705</v>
      </c>
    </row>
    <row r="6048" spans="1:3">
      <c r="A6048">
        <v>633069</v>
      </c>
      <c r="B6048">
        <v>2983928</v>
      </c>
      <c r="C6048" s="32">
        <v>43071.383703703701</v>
      </c>
    </row>
    <row r="6049" spans="1:3">
      <c r="A6049">
        <v>977161</v>
      </c>
      <c r="B6049">
        <v>2892802</v>
      </c>
      <c r="C6049" s="32">
        <v>43071.205949074072</v>
      </c>
    </row>
    <row r="6050" spans="1:3">
      <c r="A6050">
        <v>95940</v>
      </c>
      <c r="B6050">
        <v>982926</v>
      </c>
      <c r="C6050" s="32">
        <v>43071.485266203701</v>
      </c>
    </row>
    <row r="6051" spans="1:3">
      <c r="A6051">
        <v>509321</v>
      </c>
      <c r="B6051">
        <v>3132593</v>
      </c>
      <c r="C6051" s="32">
        <v>43071.975659722222</v>
      </c>
    </row>
    <row r="6052" spans="1:3">
      <c r="A6052">
        <v>486546</v>
      </c>
      <c r="B6052">
        <v>903809</v>
      </c>
      <c r="C6052" s="32">
        <v>43071.300405092596</v>
      </c>
    </row>
    <row r="6053" spans="1:3">
      <c r="A6053">
        <v>947815</v>
      </c>
      <c r="B6053">
        <v>4801426</v>
      </c>
      <c r="C6053" s="32">
        <v>43072.573449074072</v>
      </c>
    </row>
    <row r="6054" spans="1:3">
      <c r="A6054">
        <v>305326</v>
      </c>
      <c r="B6054">
        <v>3607361</v>
      </c>
      <c r="C6054" s="32">
        <v>43070.638078703705</v>
      </c>
    </row>
    <row r="6055" spans="1:3">
      <c r="A6055">
        <v>588172</v>
      </c>
      <c r="B6055">
        <v>4069500</v>
      </c>
      <c r="C6055" s="32">
        <v>43071.027731481481</v>
      </c>
    </row>
    <row r="6056" spans="1:3">
      <c r="A6056">
        <v>483917</v>
      </c>
      <c r="B6056">
        <v>1029459</v>
      </c>
      <c r="C6056" s="32">
        <v>43070.95144675926</v>
      </c>
    </row>
    <row r="6057" spans="1:3">
      <c r="A6057">
        <v>708299</v>
      </c>
      <c r="B6057">
        <v>2131531</v>
      </c>
      <c r="C6057" s="32">
        <v>43071.223668981482</v>
      </c>
    </row>
    <row r="6058" spans="1:3">
      <c r="A6058">
        <v>682658</v>
      </c>
      <c r="B6058">
        <v>1312642</v>
      </c>
      <c r="C6058" s="32">
        <v>43071.076689814814</v>
      </c>
    </row>
    <row r="6059" spans="1:3">
      <c r="A6059">
        <v>983162</v>
      </c>
      <c r="B6059">
        <v>4145813</v>
      </c>
      <c r="C6059" s="32">
        <v>43072.049201388887</v>
      </c>
    </row>
    <row r="6060" spans="1:3">
      <c r="A6060">
        <v>721495</v>
      </c>
      <c r="B6060">
        <v>344833</v>
      </c>
      <c r="C6060" s="32">
        <v>43070.922685185185</v>
      </c>
    </row>
    <row r="6061" spans="1:3">
      <c r="A6061">
        <v>338298</v>
      </c>
      <c r="B6061">
        <v>553365</v>
      </c>
      <c r="C6061" s="32">
        <v>43070.597928240742</v>
      </c>
    </row>
    <row r="6062" spans="1:3">
      <c r="A6062">
        <v>540674</v>
      </c>
      <c r="B6062">
        <v>1464116</v>
      </c>
      <c r="C6062" s="32">
        <v>43071.543715277781</v>
      </c>
    </row>
    <row r="6063" spans="1:3">
      <c r="A6063">
        <v>223112</v>
      </c>
      <c r="B6063">
        <v>4801426</v>
      </c>
      <c r="C6063" s="32">
        <v>43072.353634259256</v>
      </c>
    </row>
    <row r="6064" spans="1:3">
      <c r="A6064">
        <v>915872</v>
      </c>
      <c r="B6064">
        <v>2355072</v>
      </c>
      <c r="C6064" s="32">
        <v>43071.996874999997</v>
      </c>
    </row>
    <row r="6065" spans="1:3">
      <c r="A6065">
        <v>301061</v>
      </c>
      <c r="B6065">
        <v>4298656</v>
      </c>
      <c r="C6065" s="32">
        <v>43071.266886574071</v>
      </c>
    </row>
    <row r="6066" spans="1:3">
      <c r="A6066">
        <v>589765</v>
      </c>
      <c r="B6066">
        <v>4756105</v>
      </c>
      <c r="C6066" s="32">
        <v>43070.458194444444</v>
      </c>
    </row>
    <row r="6067" spans="1:3">
      <c r="A6067">
        <v>53952</v>
      </c>
      <c r="B6067">
        <v>4357323</v>
      </c>
      <c r="C6067" s="32">
        <v>43070.165312500001</v>
      </c>
    </row>
    <row r="6068" spans="1:3">
      <c r="A6068">
        <v>538029</v>
      </c>
      <c r="B6068">
        <v>1879194</v>
      </c>
      <c r="C6068" s="32">
        <v>43071.375381944446</v>
      </c>
    </row>
    <row r="6069" spans="1:3">
      <c r="A6069">
        <v>81522</v>
      </c>
      <c r="B6069">
        <v>4145813</v>
      </c>
      <c r="C6069" s="32">
        <v>43072.004849537036</v>
      </c>
    </row>
    <row r="6070" spans="1:3">
      <c r="A6070">
        <v>786735</v>
      </c>
      <c r="B6070">
        <v>2355072</v>
      </c>
      <c r="C6070" s="32">
        <v>43071.304803240739</v>
      </c>
    </row>
    <row r="6071" spans="1:3">
      <c r="A6071">
        <v>596843</v>
      </c>
      <c r="B6071">
        <v>4643350</v>
      </c>
      <c r="C6071" s="32">
        <v>43071.347210648149</v>
      </c>
    </row>
    <row r="6072" spans="1:3">
      <c r="A6072">
        <v>682545</v>
      </c>
      <c r="B6072">
        <v>4321796</v>
      </c>
      <c r="C6072" s="32">
        <v>43069.988657407404</v>
      </c>
    </row>
    <row r="6073" spans="1:3">
      <c r="A6073">
        <v>212958</v>
      </c>
      <c r="B6073">
        <v>2465336</v>
      </c>
      <c r="C6073" s="32">
        <v>43069.741770833331</v>
      </c>
    </row>
    <row r="6074" spans="1:3">
      <c r="A6074">
        <v>239384</v>
      </c>
      <c r="B6074">
        <v>3738615</v>
      </c>
      <c r="C6074" s="32">
        <v>43072.526909722219</v>
      </c>
    </row>
    <row r="6075" spans="1:3">
      <c r="A6075">
        <v>463855</v>
      </c>
      <c r="B6075">
        <v>4188178</v>
      </c>
      <c r="C6075" s="32">
        <v>43072.457939814813</v>
      </c>
    </row>
    <row r="6076" spans="1:3">
      <c r="A6076">
        <v>953346</v>
      </c>
      <c r="B6076">
        <v>801221</v>
      </c>
      <c r="C6076" s="32">
        <v>43071.622256944444</v>
      </c>
    </row>
    <row r="6077" spans="1:3">
      <c r="A6077">
        <v>71018</v>
      </c>
      <c r="B6077">
        <v>405755</v>
      </c>
      <c r="C6077" s="32">
        <v>43072.363449074073</v>
      </c>
    </row>
    <row r="6078" spans="1:3">
      <c r="A6078">
        <v>528315</v>
      </c>
      <c r="B6078">
        <v>1646753</v>
      </c>
      <c r="C6078" s="32">
        <v>43070.594236111108</v>
      </c>
    </row>
    <row r="6079" spans="1:3">
      <c r="A6079">
        <v>737307</v>
      </c>
      <c r="B6079">
        <v>4606718</v>
      </c>
      <c r="C6079" s="32">
        <v>43071.107858796298</v>
      </c>
    </row>
    <row r="6080" spans="1:3">
      <c r="A6080">
        <v>953507</v>
      </c>
      <c r="B6080">
        <v>3398567</v>
      </c>
      <c r="C6080" s="32">
        <v>43070.617384259262</v>
      </c>
    </row>
    <row r="6081" spans="1:3">
      <c r="A6081">
        <v>764794</v>
      </c>
      <c r="B6081">
        <v>4458428</v>
      </c>
      <c r="C6081" s="32">
        <v>43072.605046296296</v>
      </c>
    </row>
    <row r="6082" spans="1:3">
      <c r="A6082">
        <v>297244</v>
      </c>
      <c r="B6082">
        <v>4170419</v>
      </c>
      <c r="C6082" s="32">
        <v>43069.688067129631</v>
      </c>
    </row>
    <row r="6083" spans="1:3">
      <c r="A6083">
        <v>953412</v>
      </c>
      <c r="B6083">
        <v>4801426</v>
      </c>
      <c r="C6083" s="32">
        <v>43071.432962962965</v>
      </c>
    </row>
    <row r="6084" spans="1:3">
      <c r="A6084">
        <v>4878</v>
      </c>
      <c r="B6084">
        <v>3002561</v>
      </c>
      <c r="C6084" s="32">
        <v>43071.177361111113</v>
      </c>
    </row>
    <row r="6085" spans="1:3">
      <c r="A6085">
        <v>237211</v>
      </c>
      <c r="B6085">
        <v>869764</v>
      </c>
      <c r="C6085" s="32">
        <v>43070.702881944446</v>
      </c>
    </row>
    <row r="6086" spans="1:3">
      <c r="A6086">
        <v>453003</v>
      </c>
      <c r="B6086">
        <v>4217906</v>
      </c>
      <c r="C6086" s="32">
        <v>43071.535173611112</v>
      </c>
    </row>
    <row r="6087" spans="1:3">
      <c r="A6087">
        <v>209586</v>
      </c>
      <c r="B6087">
        <v>4217906</v>
      </c>
      <c r="C6087" s="32">
        <v>43072.543773148151</v>
      </c>
    </row>
    <row r="6088" spans="1:3">
      <c r="A6088">
        <v>519091</v>
      </c>
      <c r="B6088">
        <v>2558244</v>
      </c>
      <c r="C6088" s="32">
        <v>43071.447488425925</v>
      </c>
    </row>
    <row r="6089" spans="1:3">
      <c r="A6089">
        <v>94071</v>
      </c>
      <c r="B6089">
        <v>4022701</v>
      </c>
      <c r="C6089" s="32">
        <v>43069.691400462965</v>
      </c>
    </row>
    <row r="6090" spans="1:3">
      <c r="A6090">
        <v>918059</v>
      </c>
      <c r="B6090">
        <v>4762182</v>
      </c>
      <c r="C6090" s="32">
        <v>43070.987349537034</v>
      </c>
    </row>
    <row r="6091" spans="1:3">
      <c r="A6091">
        <v>543853</v>
      </c>
      <c r="B6091">
        <v>982926</v>
      </c>
      <c r="C6091" s="32">
        <v>43072.565995370373</v>
      </c>
    </row>
    <row r="6092" spans="1:3">
      <c r="A6092">
        <v>38367</v>
      </c>
      <c r="B6092">
        <v>154040</v>
      </c>
      <c r="C6092" s="32">
        <v>43071.656689814816</v>
      </c>
    </row>
    <row r="6093" spans="1:3">
      <c r="A6093">
        <v>719954</v>
      </c>
      <c r="B6093">
        <v>5030562</v>
      </c>
      <c r="C6093" s="32">
        <v>43072.585960648146</v>
      </c>
    </row>
    <row r="6094" spans="1:3">
      <c r="A6094">
        <v>932352</v>
      </c>
      <c r="B6094">
        <v>2640118</v>
      </c>
      <c r="C6094" s="32">
        <v>43072.280046296299</v>
      </c>
    </row>
    <row r="6095" spans="1:3">
      <c r="A6095">
        <v>442727</v>
      </c>
      <c r="B6095">
        <v>1672064</v>
      </c>
      <c r="C6095" s="32">
        <v>43071.48809027778</v>
      </c>
    </row>
    <row r="6096" spans="1:3">
      <c r="A6096">
        <v>976897</v>
      </c>
      <c r="B6096">
        <v>4580532</v>
      </c>
      <c r="C6096" s="32">
        <v>43072.297685185185</v>
      </c>
    </row>
    <row r="6097" spans="1:3">
      <c r="A6097">
        <v>136397</v>
      </c>
      <c r="B6097">
        <v>4331400</v>
      </c>
      <c r="C6097" s="32">
        <v>43070.292627314811</v>
      </c>
    </row>
    <row r="6098" spans="1:3">
      <c r="A6098">
        <v>413435</v>
      </c>
      <c r="B6098">
        <v>3371868</v>
      </c>
      <c r="C6098" s="32">
        <v>43070.6016087963</v>
      </c>
    </row>
    <row r="6099" spans="1:3">
      <c r="A6099">
        <v>448042</v>
      </c>
      <c r="B6099">
        <v>3673501</v>
      </c>
      <c r="C6099" s="32">
        <v>43071.584548611114</v>
      </c>
    </row>
    <row r="6100" spans="1:3">
      <c r="A6100">
        <v>767942</v>
      </c>
      <c r="B6100">
        <v>4882154</v>
      </c>
      <c r="C6100" s="32">
        <v>43070.41920138889</v>
      </c>
    </row>
    <row r="6101" spans="1:3">
      <c r="A6101">
        <v>197149</v>
      </c>
      <c r="B6101">
        <v>85955</v>
      </c>
      <c r="C6101" s="32">
        <v>43071.497175925928</v>
      </c>
    </row>
    <row r="6102" spans="1:3">
      <c r="A6102">
        <v>369484</v>
      </c>
      <c r="B6102">
        <v>2885642</v>
      </c>
      <c r="C6102" s="32">
        <v>43071.218182870369</v>
      </c>
    </row>
    <row r="6103" spans="1:3">
      <c r="A6103">
        <v>92751</v>
      </c>
      <c r="B6103">
        <v>3768664</v>
      </c>
      <c r="C6103" s="32">
        <v>43072.122986111113</v>
      </c>
    </row>
    <row r="6104" spans="1:3">
      <c r="A6104">
        <v>20537</v>
      </c>
      <c r="B6104">
        <v>3745824</v>
      </c>
      <c r="C6104" s="32">
        <v>43071.163935185185</v>
      </c>
    </row>
    <row r="6105" spans="1:3">
      <c r="A6105">
        <v>802757</v>
      </c>
      <c r="B6105">
        <v>2520377</v>
      </c>
      <c r="C6105" s="32">
        <v>43071.566805555558</v>
      </c>
    </row>
    <row r="6106" spans="1:3">
      <c r="A6106">
        <v>271270</v>
      </c>
      <c r="B6106">
        <v>4719814</v>
      </c>
      <c r="C6106" s="32">
        <v>43072.227118055554</v>
      </c>
    </row>
    <row r="6107" spans="1:3">
      <c r="A6107">
        <v>982171</v>
      </c>
      <c r="B6107">
        <v>2877672</v>
      </c>
      <c r="C6107" s="32">
        <v>43072.545335648145</v>
      </c>
    </row>
    <row r="6108" spans="1:3">
      <c r="A6108">
        <v>874139</v>
      </c>
      <c r="B6108">
        <v>1464116</v>
      </c>
      <c r="C6108" s="32">
        <v>43070.505219907405</v>
      </c>
    </row>
    <row r="6109" spans="1:3">
      <c r="A6109">
        <v>74787</v>
      </c>
      <c r="B6109">
        <v>2355072</v>
      </c>
      <c r="C6109" s="32">
        <v>43072.553703703707</v>
      </c>
    </row>
    <row r="6110" spans="1:3">
      <c r="A6110">
        <v>545027</v>
      </c>
      <c r="B6110">
        <v>1983014</v>
      </c>
      <c r="C6110" s="32">
        <v>43071.978935185187</v>
      </c>
    </row>
    <row r="6111" spans="1:3">
      <c r="A6111">
        <v>861580</v>
      </c>
      <c r="B6111">
        <v>1320293</v>
      </c>
      <c r="C6111" s="32">
        <v>43071.977835648147</v>
      </c>
    </row>
    <row r="6112" spans="1:3">
      <c r="A6112">
        <v>68114</v>
      </c>
      <c r="B6112">
        <v>105137</v>
      </c>
      <c r="C6112" s="32">
        <v>43070.360694444447</v>
      </c>
    </row>
    <row r="6113" spans="1:3">
      <c r="A6113">
        <v>149408</v>
      </c>
      <c r="B6113">
        <v>2355072</v>
      </c>
      <c r="C6113" s="32">
        <v>43071.393518518518</v>
      </c>
    </row>
    <row r="6114" spans="1:3">
      <c r="A6114">
        <v>305894</v>
      </c>
      <c r="B6114">
        <v>570735</v>
      </c>
      <c r="C6114" s="32">
        <v>43071.156736111108</v>
      </c>
    </row>
    <row r="6115" spans="1:3">
      <c r="A6115">
        <v>565404</v>
      </c>
      <c r="B6115">
        <v>2939262</v>
      </c>
      <c r="C6115" s="32">
        <v>43070.796134259261</v>
      </c>
    </row>
    <row r="6116" spans="1:3">
      <c r="A6116">
        <v>196606</v>
      </c>
      <c r="B6116">
        <v>4145813</v>
      </c>
      <c r="C6116" s="32">
        <v>43072.483437499999</v>
      </c>
    </row>
    <row r="6117" spans="1:3">
      <c r="A6117">
        <v>566448</v>
      </c>
      <c r="B6117">
        <v>2355072</v>
      </c>
      <c r="C6117" s="32">
        <v>43071.641886574071</v>
      </c>
    </row>
    <row r="6118" spans="1:3">
      <c r="A6118">
        <v>527721</v>
      </c>
      <c r="B6118">
        <v>1943989</v>
      </c>
      <c r="C6118" s="32">
        <v>43072.37871527778</v>
      </c>
    </row>
    <row r="6119" spans="1:3">
      <c r="A6119">
        <v>754584</v>
      </c>
      <c r="B6119">
        <v>4718907</v>
      </c>
      <c r="C6119" s="32">
        <v>43070.190520833334</v>
      </c>
    </row>
    <row r="6120" spans="1:3">
      <c r="A6120">
        <v>212965</v>
      </c>
      <c r="B6120">
        <v>4756105</v>
      </c>
      <c r="C6120" s="32">
        <v>43072.586076388892</v>
      </c>
    </row>
    <row r="6121" spans="1:3">
      <c r="A6121">
        <v>843808</v>
      </c>
      <c r="B6121">
        <v>2355072</v>
      </c>
      <c r="C6121" s="32">
        <v>43072.038229166668</v>
      </c>
    </row>
    <row r="6122" spans="1:3">
      <c r="A6122">
        <v>538947</v>
      </c>
      <c r="B6122">
        <v>2558244</v>
      </c>
      <c r="C6122" s="32">
        <v>43071.295706018522</v>
      </c>
    </row>
    <row r="6123" spans="1:3">
      <c r="A6123">
        <v>605753</v>
      </c>
      <c r="B6123">
        <v>4672807</v>
      </c>
      <c r="C6123" s="32">
        <v>43072.599895833337</v>
      </c>
    </row>
    <row r="6124" spans="1:3">
      <c r="A6124">
        <v>764418</v>
      </c>
      <c r="B6124">
        <v>866301</v>
      </c>
      <c r="C6124" s="32">
        <v>43072.473692129628</v>
      </c>
    </row>
    <row r="6125" spans="1:3">
      <c r="A6125">
        <v>732482</v>
      </c>
      <c r="B6125">
        <v>4357323</v>
      </c>
      <c r="C6125" s="32">
        <v>43069.802893518521</v>
      </c>
    </row>
    <row r="6126" spans="1:3">
      <c r="A6126">
        <v>105707</v>
      </c>
      <c r="B6126">
        <v>4145813</v>
      </c>
      <c r="C6126" s="32">
        <v>43072.027777777781</v>
      </c>
    </row>
    <row r="6127" spans="1:3">
      <c r="A6127">
        <v>993207</v>
      </c>
      <c r="B6127">
        <v>2533863</v>
      </c>
      <c r="C6127" s="32">
        <v>43072.52921296296</v>
      </c>
    </row>
    <row r="6128" spans="1:3">
      <c r="A6128">
        <v>105168</v>
      </c>
      <c r="B6128">
        <v>1787510</v>
      </c>
      <c r="C6128" s="32">
        <v>43071.529768518521</v>
      </c>
    </row>
    <row r="6129" spans="1:3">
      <c r="A6129">
        <v>153662</v>
      </c>
      <c r="B6129">
        <v>2465336</v>
      </c>
      <c r="C6129" s="32">
        <v>43072.561226851853</v>
      </c>
    </row>
    <row r="6130" spans="1:3">
      <c r="A6130">
        <v>86553</v>
      </c>
      <c r="B6130">
        <v>4756105</v>
      </c>
      <c r="C6130" s="32">
        <v>43072.401261574072</v>
      </c>
    </row>
    <row r="6131" spans="1:3">
      <c r="A6131">
        <v>1011053</v>
      </c>
      <c r="B6131">
        <v>4589142</v>
      </c>
      <c r="C6131" s="32">
        <v>43072.324999999997</v>
      </c>
    </row>
    <row r="6132" spans="1:3">
      <c r="A6132">
        <v>892291</v>
      </c>
      <c r="B6132">
        <v>4159072</v>
      </c>
      <c r="C6132" s="32">
        <v>43070.283460648148</v>
      </c>
    </row>
    <row r="6133" spans="1:3">
      <c r="A6133">
        <v>964713</v>
      </c>
      <c r="B6133">
        <v>4633953</v>
      </c>
      <c r="C6133" s="32">
        <v>43070.495567129627</v>
      </c>
    </row>
    <row r="6134" spans="1:3">
      <c r="A6134">
        <v>203771</v>
      </c>
      <c r="B6134">
        <v>750949</v>
      </c>
      <c r="C6134" s="32">
        <v>43071.329050925924</v>
      </c>
    </row>
    <row r="6135" spans="1:3">
      <c r="A6135">
        <v>66230</v>
      </c>
      <c r="B6135">
        <v>149192</v>
      </c>
      <c r="C6135" s="32">
        <v>43072.313217592593</v>
      </c>
    </row>
    <row r="6136" spans="1:3">
      <c r="A6136">
        <v>726661</v>
      </c>
      <c r="B6136">
        <v>1331923</v>
      </c>
      <c r="C6136" s="32">
        <v>43070.524675925924</v>
      </c>
    </row>
    <row r="6137" spans="1:3">
      <c r="A6137">
        <v>859230</v>
      </c>
      <c r="B6137">
        <v>1609467</v>
      </c>
      <c r="C6137" s="32">
        <v>43071.252256944441</v>
      </c>
    </row>
    <row r="6138" spans="1:3">
      <c r="A6138">
        <v>55877</v>
      </c>
      <c r="B6138">
        <v>149192</v>
      </c>
      <c r="C6138" s="32">
        <v>43071.587638888886</v>
      </c>
    </row>
    <row r="6139" spans="1:3">
      <c r="A6139">
        <v>464275</v>
      </c>
      <c r="B6139">
        <v>4756105</v>
      </c>
      <c r="C6139" s="32">
        <v>43070.308356481481</v>
      </c>
    </row>
    <row r="6140" spans="1:3">
      <c r="A6140">
        <v>545952</v>
      </c>
      <c r="B6140">
        <v>2735466</v>
      </c>
      <c r="C6140" s="32">
        <v>43072.275185185186</v>
      </c>
    </row>
    <row r="6141" spans="1:3">
      <c r="A6141">
        <v>810954</v>
      </c>
      <c r="B6141">
        <v>2465336</v>
      </c>
      <c r="C6141" s="32">
        <v>43072.332465277781</v>
      </c>
    </row>
    <row r="6142" spans="1:3">
      <c r="A6142">
        <v>129451</v>
      </c>
      <c r="B6142">
        <v>235534</v>
      </c>
      <c r="C6142" s="32">
        <v>43071.042129629626</v>
      </c>
    </row>
    <row r="6143" spans="1:3">
      <c r="A6143">
        <v>204906</v>
      </c>
      <c r="B6143">
        <v>2433095</v>
      </c>
      <c r="C6143" s="32">
        <v>43070.498541666668</v>
      </c>
    </row>
    <row r="6144" spans="1:3">
      <c r="A6144">
        <v>49865</v>
      </c>
      <c r="B6144">
        <v>1278525</v>
      </c>
      <c r="C6144" s="32">
        <v>43070.58184027778</v>
      </c>
    </row>
    <row r="6145" spans="1:3">
      <c r="A6145">
        <v>674018</v>
      </c>
      <c r="B6145">
        <v>1575622</v>
      </c>
      <c r="C6145" s="32">
        <v>43071.410682870373</v>
      </c>
    </row>
    <row r="6146" spans="1:3">
      <c r="A6146">
        <v>470497</v>
      </c>
      <c r="B6146">
        <v>2520377</v>
      </c>
      <c r="C6146" s="32">
        <v>43071.106527777774</v>
      </c>
    </row>
    <row r="6147" spans="1:3">
      <c r="A6147">
        <v>813244</v>
      </c>
      <c r="B6147">
        <v>941949</v>
      </c>
      <c r="C6147" s="32">
        <v>43071.062118055554</v>
      </c>
    </row>
    <row r="6148" spans="1:3">
      <c r="A6148">
        <v>726473</v>
      </c>
      <c r="B6148">
        <v>2735466</v>
      </c>
      <c r="C6148" s="32">
        <v>43071.247418981482</v>
      </c>
    </row>
    <row r="6149" spans="1:3">
      <c r="A6149">
        <v>885385</v>
      </c>
      <c r="B6149">
        <v>2578647</v>
      </c>
      <c r="C6149" s="32">
        <v>43072.496041666665</v>
      </c>
    </row>
    <row r="6150" spans="1:3">
      <c r="A6150">
        <v>995251</v>
      </c>
      <c r="B6150">
        <v>2465336</v>
      </c>
      <c r="C6150" s="32">
        <v>43070.308078703703</v>
      </c>
    </row>
    <row r="6151" spans="1:3">
      <c r="A6151">
        <v>837610</v>
      </c>
      <c r="B6151">
        <v>3190175</v>
      </c>
      <c r="C6151" s="32">
        <v>43072.514745370368</v>
      </c>
    </row>
    <row r="6152" spans="1:3">
      <c r="A6152">
        <v>916800</v>
      </c>
      <c r="B6152">
        <v>1234361</v>
      </c>
      <c r="C6152" s="32">
        <v>43069.679236111115</v>
      </c>
    </row>
    <row r="6153" spans="1:3">
      <c r="A6153">
        <v>633781</v>
      </c>
      <c r="B6153">
        <v>2885642</v>
      </c>
      <c r="C6153" s="32">
        <v>43071.32309027778</v>
      </c>
    </row>
    <row r="6154" spans="1:3">
      <c r="A6154">
        <v>949674</v>
      </c>
      <c r="B6154">
        <v>1528701</v>
      </c>
      <c r="C6154" s="32">
        <v>43072.606585648151</v>
      </c>
    </row>
    <row r="6155" spans="1:3">
      <c r="A6155">
        <v>256332</v>
      </c>
      <c r="B6155">
        <v>411153</v>
      </c>
      <c r="C6155" s="32">
        <v>43072.570208333331</v>
      </c>
    </row>
    <row r="6156" spans="1:3">
      <c r="A6156">
        <v>164547</v>
      </c>
      <c r="B6156">
        <v>2735466</v>
      </c>
      <c r="C6156" s="32">
        <v>43071.901666666665</v>
      </c>
    </row>
    <row r="6157" spans="1:3">
      <c r="A6157">
        <v>1008735</v>
      </c>
      <c r="B6157">
        <v>4756105</v>
      </c>
      <c r="C6157" s="32">
        <v>43072.515011574076</v>
      </c>
    </row>
    <row r="6158" spans="1:3">
      <c r="A6158">
        <v>25011</v>
      </c>
      <c r="B6158">
        <v>2355072</v>
      </c>
      <c r="C6158" s="32">
        <v>43071.441944444443</v>
      </c>
    </row>
    <row r="6159" spans="1:3">
      <c r="A6159">
        <v>97097</v>
      </c>
      <c r="B6159">
        <v>4159072</v>
      </c>
      <c r="C6159" s="32">
        <v>43072.523599537039</v>
      </c>
    </row>
    <row r="6160" spans="1:3">
      <c r="A6160">
        <v>103015</v>
      </c>
      <c r="B6160">
        <v>1320293</v>
      </c>
      <c r="C6160" s="32">
        <v>43071.592627314814</v>
      </c>
    </row>
    <row r="6161" spans="1:3">
      <c r="A6161">
        <v>164613</v>
      </c>
      <c r="B6161">
        <v>1787510</v>
      </c>
      <c r="C6161" s="32">
        <v>43071.542627314811</v>
      </c>
    </row>
    <row r="6162" spans="1:3">
      <c r="A6162">
        <v>644668</v>
      </c>
      <c r="B6162">
        <v>4345501</v>
      </c>
      <c r="C6162" s="32">
        <v>43071.719409722224</v>
      </c>
    </row>
    <row r="6163" spans="1:3">
      <c r="A6163">
        <v>495040</v>
      </c>
      <c r="B6163">
        <v>2520377</v>
      </c>
      <c r="C6163" s="32">
        <v>43070.534467592595</v>
      </c>
    </row>
    <row r="6164" spans="1:3">
      <c r="A6164">
        <v>682060</v>
      </c>
      <c r="B6164">
        <v>1575622</v>
      </c>
      <c r="C6164" s="32">
        <v>43070.087870370371</v>
      </c>
    </row>
    <row r="6165" spans="1:3">
      <c r="A6165">
        <v>206819</v>
      </c>
      <c r="B6165">
        <v>2640118</v>
      </c>
      <c r="C6165" s="32">
        <v>43071.603784722225</v>
      </c>
    </row>
    <row r="6166" spans="1:3">
      <c r="A6166">
        <v>615215</v>
      </c>
      <c r="B6166">
        <v>4643350</v>
      </c>
      <c r="C6166" s="32">
        <v>43071.456574074073</v>
      </c>
    </row>
    <row r="6167" spans="1:3">
      <c r="A6167">
        <v>649574</v>
      </c>
      <c r="B6167">
        <v>903809</v>
      </c>
      <c r="C6167" s="32">
        <v>43071.510266203702</v>
      </c>
    </row>
    <row r="6168" spans="1:3">
      <c r="A6168">
        <v>32880</v>
      </c>
      <c r="B6168">
        <v>982926</v>
      </c>
      <c r="C6168" s="32">
        <v>43070.115856481483</v>
      </c>
    </row>
    <row r="6169" spans="1:3">
      <c r="A6169">
        <v>678174</v>
      </c>
      <c r="B6169">
        <v>1288487</v>
      </c>
      <c r="C6169" s="32">
        <v>43070.716006944444</v>
      </c>
    </row>
    <row r="6170" spans="1:3">
      <c r="A6170">
        <v>476468</v>
      </c>
      <c r="B6170">
        <v>4756105</v>
      </c>
      <c r="C6170" s="32">
        <v>43072.501574074071</v>
      </c>
    </row>
    <row r="6171" spans="1:3">
      <c r="A6171">
        <v>469251</v>
      </c>
      <c r="B6171">
        <v>235534</v>
      </c>
      <c r="C6171" s="32">
        <v>43072.338587962964</v>
      </c>
    </row>
    <row r="6172" spans="1:3">
      <c r="A6172">
        <v>87888</v>
      </c>
      <c r="B6172">
        <v>941949</v>
      </c>
      <c r="C6172" s="32">
        <v>43071.431956018518</v>
      </c>
    </row>
    <row r="6173" spans="1:3">
      <c r="A6173">
        <v>310464</v>
      </c>
      <c r="B6173">
        <v>2640118</v>
      </c>
      <c r="C6173" s="32">
        <v>43070.973067129627</v>
      </c>
    </row>
    <row r="6174" spans="1:3">
      <c r="A6174">
        <v>231634</v>
      </c>
      <c r="B6174">
        <v>4672807</v>
      </c>
      <c r="C6174" s="32">
        <v>43071.305752314816</v>
      </c>
    </row>
    <row r="6175" spans="1:3">
      <c r="A6175">
        <v>320300</v>
      </c>
      <c r="B6175">
        <v>2158079</v>
      </c>
      <c r="C6175" s="32">
        <v>43070.596828703703</v>
      </c>
    </row>
    <row r="6176" spans="1:3">
      <c r="A6176">
        <v>827373</v>
      </c>
      <c r="B6176">
        <v>965809</v>
      </c>
      <c r="C6176" s="32">
        <v>43070.506053240744</v>
      </c>
    </row>
    <row r="6177" spans="1:3">
      <c r="A6177">
        <v>536976</v>
      </c>
      <c r="B6177">
        <v>55312</v>
      </c>
      <c r="C6177" s="32">
        <v>43071.902650462966</v>
      </c>
    </row>
    <row r="6178" spans="1:3">
      <c r="A6178">
        <v>861242</v>
      </c>
      <c r="B6178">
        <v>3736316</v>
      </c>
      <c r="C6178" s="32">
        <v>43071.539490740739</v>
      </c>
    </row>
    <row r="6179" spans="1:3">
      <c r="A6179">
        <v>135633</v>
      </c>
      <c r="B6179">
        <v>2578647</v>
      </c>
      <c r="C6179" s="32">
        <v>43070.177916666667</v>
      </c>
    </row>
    <row r="6180" spans="1:3">
      <c r="A6180">
        <v>266002</v>
      </c>
      <c r="B6180">
        <v>982926</v>
      </c>
      <c r="C6180" s="32">
        <v>43071.328356481485</v>
      </c>
    </row>
    <row r="6181" spans="1:3">
      <c r="A6181">
        <v>89941</v>
      </c>
      <c r="B6181">
        <v>2595793</v>
      </c>
      <c r="C6181" s="32">
        <v>43072.199618055558</v>
      </c>
    </row>
    <row r="6182" spans="1:3">
      <c r="A6182">
        <v>839327</v>
      </c>
      <c r="B6182">
        <v>3013991</v>
      </c>
      <c r="C6182" s="32">
        <v>43072.607708333337</v>
      </c>
    </row>
    <row r="6183" spans="1:3">
      <c r="A6183">
        <v>327285</v>
      </c>
      <c r="B6183">
        <v>3975787</v>
      </c>
      <c r="C6183" s="32">
        <v>43071.50203703704</v>
      </c>
    </row>
    <row r="6184" spans="1:3">
      <c r="A6184">
        <v>300902</v>
      </c>
      <c r="B6184">
        <v>1080785</v>
      </c>
      <c r="C6184" s="32">
        <v>43071.580370370371</v>
      </c>
    </row>
    <row r="6185" spans="1:3">
      <c r="A6185">
        <v>14007</v>
      </c>
      <c r="B6185">
        <v>4145813</v>
      </c>
      <c r="C6185" s="32">
        <v>43070.272546296299</v>
      </c>
    </row>
    <row r="6186" spans="1:3">
      <c r="A6186">
        <v>135385</v>
      </c>
      <c r="B6186">
        <v>4310023</v>
      </c>
      <c r="C6186" s="32">
        <v>43072.392164351855</v>
      </c>
    </row>
    <row r="6187" spans="1:3">
      <c r="A6187">
        <v>70112</v>
      </c>
      <c r="B6187">
        <v>4690421</v>
      </c>
      <c r="C6187" s="32">
        <v>43070.644155092596</v>
      </c>
    </row>
    <row r="6188" spans="1:3">
      <c r="A6188">
        <v>71892</v>
      </c>
      <c r="B6188">
        <v>2131531</v>
      </c>
      <c r="C6188" s="32">
        <v>43071.460509259261</v>
      </c>
    </row>
    <row r="6189" spans="1:3">
      <c r="A6189">
        <v>462793</v>
      </c>
      <c r="B6189">
        <v>1464116</v>
      </c>
      <c r="C6189" s="32">
        <v>43071.654178240744</v>
      </c>
    </row>
    <row r="6190" spans="1:3">
      <c r="A6190">
        <v>627411</v>
      </c>
      <c r="B6190">
        <v>2926020</v>
      </c>
      <c r="C6190" s="32">
        <v>43070.570023148146</v>
      </c>
    </row>
    <row r="6191" spans="1:3">
      <c r="A6191">
        <v>489982</v>
      </c>
      <c r="B6191">
        <v>344833</v>
      </c>
      <c r="C6191" s="32">
        <v>43071.36041666667</v>
      </c>
    </row>
    <row r="6192" spans="1:3">
      <c r="A6192">
        <v>24030</v>
      </c>
      <c r="B6192">
        <v>238434</v>
      </c>
      <c r="C6192" s="32">
        <v>43072.196643518517</v>
      </c>
    </row>
    <row r="6193" spans="1:3">
      <c r="A6193">
        <v>216616</v>
      </c>
      <c r="B6193">
        <v>344833</v>
      </c>
      <c r="C6193" s="32">
        <v>43071.5544212963</v>
      </c>
    </row>
    <row r="6194" spans="1:3">
      <c r="A6194">
        <v>478567</v>
      </c>
      <c r="B6194">
        <v>2030976</v>
      </c>
      <c r="C6194" s="32">
        <v>43071.404722222222</v>
      </c>
    </row>
    <row r="6195" spans="1:3">
      <c r="A6195">
        <v>354622</v>
      </c>
      <c r="B6195">
        <v>2702525</v>
      </c>
      <c r="C6195" s="32">
        <v>43070.309652777774</v>
      </c>
    </row>
    <row r="6196" spans="1:3">
      <c r="A6196">
        <v>316268</v>
      </c>
      <c r="B6196">
        <v>2578647</v>
      </c>
      <c r="C6196" s="32">
        <v>43070.538506944446</v>
      </c>
    </row>
    <row r="6197" spans="1:3">
      <c r="A6197">
        <v>60182</v>
      </c>
      <c r="B6197">
        <v>174239</v>
      </c>
      <c r="C6197" s="32">
        <v>43070.605208333334</v>
      </c>
    </row>
    <row r="6198" spans="1:3">
      <c r="A6198">
        <v>595979</v>
      </c>
      <c r="B6198">
        <v>1051370</v>
      </c>
      <c r="C6198" s="32">
        <v>43071.560393518521</v>
      </c>
    </row>
    <row r="6199" spans="1:3">
      <c r="A6199">
        <v>80268</v>
      </c>
      <c r="B6199">
        <v>3231625</v>
      </c>
      <c r="C6199" s="32">
        <v>43072.368877314817</v>
      </c>
    </row>
    <row r="6200" spans="1:3">
      <c r="A6200">
        <v>235587</v>
      </c>
      <c r="B6200">
        <v>753984</v>
      </c>
      <c r="C6200" s="32">
        <v>43072.550497685188</v>
      </c>
    </row>
    <row r="6201" spans="1:3">
      <c r="A6201">
        <v>64007</v>
      </c>
      <c r="B6201">
        <v>4869428</v>
      </c>
      <c r="C6201" s="32">
        <v>43072.509363425925</v>
      </c>
    </row>
    <row r="6202" spans="1:3">
      <c r="A6202">
        <v>319719</v>
      </c>
      <c r="B6202">
        <v>4217906</v>
      </c>
      <c r="C6202" s="32">
        <v>43071.332662037035</v>
      </c>
    </row>
    <row r="6203" spans="1:3">
      <c r="A6203">
        <v>890420</v>
      </c>
      <c r="B6203">
        <v>2030976</v>
      </c>
      <c r="C6203" s="32">
        <v>43070.333379629628</v>
      </c>
    </row>
    <row r="6204" spans="1:3">
      <c r="A6204">
        <v>808127</v>
      </c>
      <c r="B6204">
        <v>3758209</v>
      </c>
      <c r="C6204" s="32">
        <v>43070.036898148152</v>
      </c>
    </row>
    <row r="6205" spans="1:3">
      <c r="A6205">
        <v>803252</v>
      </c>
      <c r="B6205">
        <v>2885642</v>
      </c>
      <c r="C6205" s="32">
        <v>43071.519270833334</v>
      </c>
    </row>
    <row r="6206" spans="1:3">
      <c r="A6206">
        <v>66942</v>
      </c>
      <c r="B6206">
        <v>3616520</v>
      </c>
      <c r="C6206" s="32">
        <v>43072.618159722224</v>
      </c>
    </row>
    <row r="6207" spans="1:3">
      <c r="A6207">
        <v>645303</v>
      </c>
      <c r="B6207">
        <v>1320293</v>
      </c>
      <c r="C6207" s="32">
        <v>43072.253379629627</v>
      </c>
    </row>
    <row r="6208" spans="1:3">
      <c r="A6208">
        <v>724492</v>
      </c>
      <c r="B6208">
        <v>2296439</v>
      </c>
      <c r="C6208" s="32">
        <v>43071.722280092596</v>
      </c>
    </row>
    <row r="6209" spans="1:3">
      <c r="A6209">
        <v>753261</v>
      </c>
      <c r="B6209">
        <v>181182</v>
      </c>
      <c r="C6209" s="32">
        <v>43070.740567129629</v>
      </c>
    </row>
    <row r="6210" spans="1:3">
      <c r="A6210">
        <v>696601</v>
      </c>
      <c r="B6210">
        <v>570735</v>
      </c>
      <c r="C6210" s="32">
        <v>43071.36787037037</v>
      </c>
    </row>
    <row r="6211" spans="1:3">
      <c r="A6211">
        <v>120701</v>
      </c>
      <c r="B6211">
        <v>4181361</v>
      </c>
      <c r="C6211" s="32">
        <v>43072.581631944442</v>
      </c>
    </row>
    <row r="6212" spans="1:3">
      <c r="A6212">
        <v>812381</v>
      </c>
      <c r="B6212">
        <v>4756105</v>
      </c>
      <c r="C6212" s="32">
        <v>43071.585034722222</v>
      </c>
    </row>
    <row r="6213" spans="1:3">
      <c r="A6213">
        <v>428093</v>
      </c>
      <c r="B6213">
        <v>4756105</v>
      </c>
      <c r="C6213" s="32">
        <v>43072.527650462966</v>
      </c>
    </row>
    <row r="6214" spans="1:3">
      <c r="A6214">
        <v>560964</v>
      </c>
      <c r="B6214">
        <v>1320293</v>
      </c>
      <c r="C6214" s="32">
        <v>43072.540300925924</v>
      </c>
    </row>
    <row r="6215" spans="1:3">
      <c r="A6215">
        <v>120743</v>
      </c>
      <c r="B6215">
        <v>4050612</v>
      </c>
      <c r="C6215" s="32">
        <v>43072.521145833336</v>
      </c>
    </row>
    <row r="6216" spans="1:3">
      <c r="A6216">
        <v>538993</v>
      </c>
      <c r="B6216">
        <v>1575622</v>
      </c>
      <c r="C6216" s="32">
        <v>43072.55605324074</v>
      </c>
    </row>
    <row r="6217" spans="1:3">
      <c r="A6217">
        <v>931487</v>
      </c>
      <c r="B6217">
        <v>1776295</v>
      </c>
      <c r="C6217" s="32">
        <v>43071.327743055554</v>
      </c>
    </row>
    <row r="6218" spans="1:3">
      <c r="A6218">
        <v>27644</v>
      </c>
      <c r="B6218">
        <v>1567637</v>
      </c>
      <c r="C6218" s="32">
        <v>43072.144421296296</v>
      </c>
    </row>
    <row r="6219" spans="1:3">
      <c r="A6219">
        <v>179502</v>
      </c>
      <c r="B6219">
        <v>1080785</v>
      </c>
      <c r="C6219" s="32">
        <v>43070.914884259262</v>
      </c>
    </row>
    <row r="6220" spans="1:3">
      <c r="A6220">
        <v>262973</v>
      </c>
      <c r="B6220">
        <v>3738615</v>
      </c>
      <c r="C6220" s="32">
        <v>43072.50377314815</v>
      </c>
    </row>
    <row r="6221" spans="1:3">
      <c r="A6221">
        <v>309716</v>
      </c>
      <c r="B6221">
        <v>2355072</v>
      </c>
      <c r="C6221" s="32">
        <v>43071.135069444441</v>
      </c>
    </row>
    <row r="6222" spans="1:3">
      <c r="A6222">
        <v>443989</v>
      </c>
      <c r="B6222">
        <v>2558244</v>
      </c>
      <c r="C6222" s="32">
        <v>43070.463854166665</v>
      </c>
    </row>
    <row r="6223" spans="1:3">
      <c r="A6223">
        <v>327265</v>
      </c>
      <c r="B6223">
        <v>2693696</v>
      </c>
      <c r="C6223" s="32">
        <v>43072.539178240739</v>
      </c>
    </row>
    <row r="6224" spans="1:3">
      <c r="A6224">
        <v>397436</v>
      </c>
      <c r="B6224">
        <v>883960</v>
      </c>
      <c r="C6224" s="32">
        <v>43072.246377314812</v>
      </c>
    </row>
    <row r="6225" spans="1:3">
      <c r="A6225">
        <v>907072</v>
      </c>
      <c r="B6225">
        <v>2748804</v>
      </c>
      <c r="C6225" s="32">
        <v>43070.613067129627</v>
      </c>
    </row>
    <row r="6226" spans="1:3">
      <c r="A6226">
        <v>979004</v>
      </c>
      <c r="B6226">
        <v>1789614</v>
      </c>
      <c r="C6226" s="32">
        <v>43069.973703703705</v>
      </c>
    </row>
    <row r="6227" spans="1:3">
      <c r="A6227">
        <v>756358</v>
      </c>
      <c r="B6227">
        <v>3002561</v>
      </c>
      <c r="C6227" s="32">
        <v>43071.515717592592</v>
      </c>
    </row>
    <row r="6228" spans="1:3">
      <c r="A6228">
        <v>890626</v>
      </c>
      <c r="B6228">
        <v>4217906</v>
      </c>
      <c r="C6228" s="32">
        <v>43069.717152777775</v>
      </c>
    </row>
    <row r="6229" spans="1:3">
      <c r="A6229">
        <v>268293</v>
      </c>
      <c r="B6229">
        <v>4217906</v>
      </c>
      <c r="C6229" s="32">
        <v>43071.256354166668</v>
      </c>
    </row>
    <row r="6230" spans="1:3">
      <c r="A6230">
        <v>826680</v>
      </c>
      <c r="B6230">
        <v>1349561</v>
      </c>
      <c r="C6230" s="32">
        <v>43072.489201388889</v>
      </c>
    </row>
    <row r="6231" spans="1:3">
      <c r="A6231">
        <v>121932</v>
      </c>
      <c r="B6231">
        <v>1567637</v>
      </c>
      <c r="C6231" s="32">
        <v>43072.237685185188</v>
      </c>
    </row>
    <row r="6232" spans="1:3">
      <c r="A6232">
        <v>436851</v>
      </c>
      <c r="B6232">
        <v>4181361</v>
      </c>
      <c r="C6232" s="32">
        <v>43071.344942129632</v>
      </c>
    </row>
    <row r="6233" spans="1:3">
      <c r="A6233">
        <v>501461</v>
      </c>
      <c r="B6233">
        <v>5053508</v>
      </c>
      <c r="C6233" s="32">
        <v>43071.243576388886</v>
      </c>
    </row>
    <row r="6234" spans="1:3">
      <c r="A6234">
        <v>315816</v>
      </c>
      <c r="B6234">
        <v>1879194</v>
      </c>
      <c r="C6234" s="32">
        <v>43071.681979166664</v>
      </c>
    </row>
    <row r="6235" spans="1:3">
      <c r="A6235">
        <v>301030</v>
      </c>
      <c r="B6235">
        <v>4643350</v>
      </c>
      <c r="C6235" s="32">
        <v>43071.714768518519</v>
      </c>
    </row>
    <row r="6236" spans="1:3">
      <c r="A6236">
        <v>804025</v>
      </c>
      <c r="B6236">
        <v>4780547</v>
      </c>
      <c r="C6236" s="32">
        <v>43070.991493055553</v>
      </c>
    </row>
    <row r="6237" spans="1:3">
      <c r="A6237">
        <v>697421</v>
      </c>
      <c r="B6237">
        <v>3776866</v>
      </c>
      <c r="C6237" s="32">
        <v>43072.407650462963</v>
      </c>
    </row>
    <row r="6238" spans="1:3">
      <c r="A6238">
        <v>137268</v>
      </c>
      <c r="B6238">
        <v>2157356</v>
      </c>
      <c r="C6238" s="32">
        <v>43072.123136574075</v>
      </c>
    </row>
    <row r="6239" spans="1:3">
      <c r="A6239">
        <v>34727</v>
      </c>
      <c r="B6239">
        <v>982926</v>
      </c>
      <c r="C6239" s="32">
        <v>43071.207268518519</v>
      </c>
    </row>
    <row r="6240" spans="1:3">
      <c r="A6240">
        <v>734128</v>
      </c>
      <c r="B6240">
        <v>3004853</v>
      </c>
      <c r="C6240" s="32">
        <v>43072.268287037034</v>
      </c>
    </row>
    <row r="6241" spans="1:3">
      <c r="A6241">
        <v>932523</v>
      </c>
      <c r="B6241">
        <v>1320293</v>
      </c>
      <c r="C6241" s="32">
        <v>43070.608622685184</v>
      </c>
    </row>
    <row r="6242" spans="1:3">
      <c r="A6242">
        <v>150846</v>
      </c>
      <c r="B6242">
        <v>3004853</v>
      </c>
      <c r="C6242" s="32">
        <v>43070.358668981484</v>
      </c>
    </row>
    <row r="6243" spans="1:3">
      <c r="A6243">
        <v>706775</v>
      </c>
      <c r="B6243">
        <v>4138583</v>
      </c>
      <c r="C6243" s="32">
        <v>43071.556516203702</v>
      </c>
    </row>
    <row r="6244" spans="1:3">
      <c r="A6244">
        <v>752159</v>
      </c>
      <c r="B6244">
        <v>982926</v>
      </c>
      <c r="C6244" s="32">
        <v>43072.279942129629</v>
      </c>
    </row>
    <row r="6245" spans="1:3">
      <c r="A6245">
        <v>889</v>
      </c>
      <c r="B6245">
        <v>4145813</v>
      </c>
      <c r="C6245" s="32">
        <v>43071.247199074074</v>
      </c>
    </row>
    <row r="6246" spans="1:3">
      <c r="A6246">
        <v>366925</v>
      </c>
      <c r="B6246">
        <v>1928278</v>
      </c>
      <c r="C6246" s="32">
        <v>43071.660717592589</v>
      </c>
    </row>
    <row r="6247" spans="1:3">
      <c r="A6247">
        <v>637144</v>
      </c>
      <c r="B6247">
        <v>1567637</v>
      </c>
      <c r="C6247" s="32">
        <v>43070.305046296293</v>
      </c>
    </row>
    <row r="6248" spans="1:3">
      <c r="A6248">
        <v>124030</v>
      </c>
      <c r="B6248">
        <v>1859277</v>
      </c>
      <c r="C6248" s="32">
        <v>43071.451689814814</v>
      </c>
    </row>
    <row r="6249" spans="1:3">
      <c r="A6249">
        <v>184670</v>
      </c>
      <c r="B6249">
        <v>2465336</v>
      </c>
      <c r="C6249" s="32">
        <v>43070.241678240738</v>
      </c>
    </row>
    <row r="6250" spans="1:3">
      <c r="A6250">
        <v>659114</v>
      </c>
      <c r="B6250">
        <v>982926</v>
      </c>
      <c r="C6250" s="32">
        <v>43070.405162037037</v>
      </c>
    </row>
    <row r="6251" spans="1:3">
      <c r="A6251">
        <v>988093</v>
      </c>
      <c r="B6251">
        <v>405755</v>
      </c>
      <c r="C6251" s="32">
        <v>43071.590451388889</v>
      </c>
    </row>
    <row r="6252" spans="1:3">
      <c r="A6252">
        <v>891623</v>
      </c>
      <c r="B6252">
        <v>1829221</v>
      </c>
      <c r="C6252" s="32">
        <v>43071.621423611112</v>
      </c>
    </row>
    <row r="6253" spans="1:3">
      <c r="A6253">
        <v>908190</v>
      </c>
      <c r="B6253">
        <v>3695050</v>
      </c>
      <c r="C6253" s="32">
        <v>43071.632951388892</v>
      </c>
    </row>
    <row r="6254" spans="1:3">
      <c r="A6254">
        <v>867484</v>
      </c>
      <c r="B6254">
        <v>2520771</v>
      </c>
      <c r="C6254" s="32">
        <v>43070.375393518516</v>
      </c>
    </row>
    <row r="6255" spans="1:3">
      <c r="A6255">
        <v>491544</v>
      </c>
      <c r="B6255">
        <v>338646</v>
      </c>
      <c r="C6255" s="32">
        <v>43072.169988425929</v>
      </c>
    </row>
    <row r="6256" spans="1:3">
      <c r="A6256">
        <v>31259</v>
      </c>
      <c r="B6256">
        <v>4217906</v>
      </c>
      <c r="C6256" s="32">
        <v>43072.464571759258</v>
      </c>
    </row>
    <row r="6257" spans="1:3">
      <c r="A6257">
        <v>1014552</v>
      </c>
      <c r="B6257">
        <v>3002561</v>
      </c>
      <c r="C6257" s="32">
        <v>43071.222395833334</v>
      </c>
    </row>
    <row r="6258" spans="1:3">
      <c r="A6258">
        <v>809876</v>
      </c>
      <c r="B6258">
        <v>4227487</v>
      </c>
      <c r="C6258" s="32">
        <v>43071.819537037038</v>
      </c>
    </row>
    <row r="6259" spans="1:3">
      <c r="A6259">
        <v>40180</v>
      </c>
      <c r="B6259">
        <v>570735</v>
      </c>
      <c r="C6259" s="32">
        <v>43070.315057870372</v>
      </c>
    </row>
    <row r="6260" spans="1:3">
      <c r="A6260">
        <v>344282</v>
      </c>
      <c r="B6260">
        <v>171529</v>
      </c>
      <c r="C6260" s="32">
        <v>43071.226851851854</v>
      </c>
    </row>
    <row r="6261" spans="1:3">
      <c r="A6261">
        <v>582828</v>
      </c>
      <c r="B6261">
        <v>149192</v>
      </c>
      <c r="C6261" s="32">
        <v>43070.632210648146</v>
      </c>
    </row>
    <row r="6262" spans="1:3">
      <c r="A6262">
        <v>418714</v>
      </c>
      <c r="B6262">
        <v>2885642</v>
      </c>
      <c r="C6262" s="32">
        <v>43072.634525462963</v>
      </c>
    </row>
    <row r="6263" spans="1:3">
      <c r="A6263">
        <v>314828</v>
      </c>
      <c r="B6263">
        <v>3177877</v>
      </c>
      <c r="C6263" s="32">
        <v>43072.627326388887</v>
      </c>
    </row>
    <row r="6264" spans="1:3">
      <c r="A6264">
        <v>447974</v>
      </c>
      <c r="B6264">
        <v>4756105</v>
      </c>
      <c r="C6264" s="32">
        <v>43072.275520833333</v>
      </c>
    </row>
    <row r="6265" spans="1:3">
      <c r="A6265">
        <v>301598</v>
      </c>
      <c r="B6265">
        <v>2735466</v>
      </c>
      <c r="C6265" s="32">
        <v>43071.510798611111</v>
      </c>
    </row>
    <row r="6266" spans="1:3">
      <c r="A6266">
        <v>94259</v>
      </c>
      <c r="B6266">
        <v>3160926</v>
      </c>
      <c r="C6266" s="32">
        <v>43072.292905092596</v>
      </c>
    </row>
    <row r="6267" spans="1:3">
      <c r="A6267">
        <v>731328</v>
      </c>
      <c r="B6267">
        <v>4512393</v>
      </c>
      <c r="C6267" s="32">
        <v>43070.591956018521</v>
      </c>
    </row>
    <row r="6268" spans="1:3">
      <c r="A6268">
        <v>649158</v>
      </c>
      <c r="B6268">
        <v>4145813</v>
      </c>
      <c r="C6268" s="32">
        <v>43071.15898148148</v>
      </c>
    </row>
    <row r="6269" spans="1:3">
      <c r="A6269">
        <v>791370</v>
      </c>
      <c r="B6269">
        <v>2885642</v>
      </c>
      <c r="C6269" s="32">
        <v>43072.52008101852</v>
      </c>
    </row>
    <row r="6270" spans="1:3">
      <c r="A6270">
        <v>173041</v>
      </c>
      <c r="B6270">
        <v>1073768</v>
      </c>
      <c r="C6270" s="32">
        <v>43070.439097222225</v>
      </c>
    </row>
    <row r="6271" spans="1:3">
      <c r="A6271">
        <v>529495</v>
      </c>
      <c r="B6271">
        <v>2355072</v>
      </c>
      <c r="C6271" s="32">
        <v>43071.494988425926</v>
      </c>
    </row>
    <row r="6272" spans="1:3">
      <c r="A6272">
        <v>446998</v>
      </c>
      <c r="B6272">
        <v>982926</v>
      </c>
      <c r="C6272" s="32">
        <v>43070.500868055555</v>
      </c>
    </row>
    <row r="6273" spans="1:3">
      <c r="A6273">
        <v>891847</v>
      </c>
      <c r="B6273">
        <v>4145813</v>
      </c>
      <c r="C6273" s="32">
        <v>43072.557766203703</v>
      </c>
    </row>
    <row r="6274" spans="1:3">
      <c r="A6274">
        <v>180650</v>
      </c>
      <c r="B6274">
        <v>2920476</v>
      </c>
      <c r="C6274" s="32">
        <v>43070.503344907411</v>
      </c>
    </row>
    <row r="6275" spans="1:3">
      <c r="A6275">
        <v>931247</v>
      </c>
      <c r="B6275">
        <v>2425725</v>
      </c>
      <c r="C6275" s="32">
        <v>43071.403611111113</v>
      </c>
    </row>
    <row r="6276" spans="1:3">
      <c r="A6276">
        <v>848914</v>
      </c>
      <c r="B6276">
        <v>3002561</v>
      </c>
      <c r="C6276" s="32">
        <v>43070.681712962964</v>
      </c>
    </row>
    <row r="6277" spans="1:3">
      <c r="A6277">
        <v>216253</v>
      </c>
      <c r="B6277">
        <v>4217906</v>
      </c>
      <c r="C6277" s="32">
        <v>43071.262488425928</v>
      </c>
    </row>
    <row r="6278" spans="1:3">
      <c r="A6278">
        <v>85070</v>
      </c>
      <c r="B6278">
        <v>3607361</v>
      </c>
      <c r="C6278" s="32">
        <v>43072.175671296296</v>
      </c>
    </row>
    <row r="6279" spans="1:3">
      <c r="A6279">
        <v>167457</v>
      </c>
      <c r="B6279">
        <v>1051370</v>
      </c>
      <c r="C6279" s="32">
        <v>43070.490011574075</v>
      </c>
    </row>
    <row r="6280" spans="1:3">
      <c r="A6280">
        <v>385874</v>
      </c>
      <c r="B6280">
        <v>4015820</v>
      </c>
      <c r="C6280" s="32">
        <v>43072.510914351849</v>
      </c>
    </row>
    <row r="6281" spans="1:3">
      <c r="A6281">
        <v>637253</v>
      </c>
      <c r="B6281">
        <v>2465336</v>
      </c>
      <c r="C6281" s="32">
        <v>43072.467175925929</v>
      </c>
    </row>
    <row r="6282" spans="1:3">
      <c r="A6282">
        <v>347756</v>
      </c>
      <c r="B6282">
        <v>4801426</v>
      </c>
      <c r="C6282" s="32">
        <v>43070.56559027778</v>
      </c>
    </row>
    <row r="6283" spans="1:3">
      <c r="A6283">
        <v>769382</v>
      </c>
      <c r="B6283">
        <v>1717476</v>
      </c>
      <c r="C6283" s="32">
        <v>43071.732442129629</v>
      </c>
    </row>
    <row r="6284" spans="1:3">
      <c r="A6284">
        <v>816564</v>
      </c>
      <c r="B6284">
        <v>1080785</v>
      </c>
      <c r="C6284" s="32">
        <v>43071.583449074074</v>
      </c>
    </row>
    <row r="6285" spans="1:3">
      <c r="A6285">
        <v>996696</v>
      </c>
      <c r="B6285">
        <v>149192</v>
      </c>
      <c r="C6285" s="32">
        <v>43072.208113425928</v>
      </c>
    </row>
    <row r="6286" spans="1:3">
      <c r="A6286">
        <v>288045</v>
      </c>
      <c r="B6286">
        <v>4784134</v>
      </c>
      <c r="C6286" s="32">
        <v>43070.556770833333</v>
      </c>
    </row>
    <row r="6287" spans="1:3">
      <c r="A6287">
        <v>121536</v>
      </c>
      <c r="B6287">
        <v>856718</v>
      </c>
      <c r="C6287" s="32">
        <v>43071.458275462966</v>
      </c>
    </row>
    <row r="6288" spans="1:3">
      <c r="A6288">
        <v>737157</v>
      </c>
      <c r="B6288">
        <v>2465336</v>
      </c>
      <c r="C6288" s="32">
        <v>43071.299803240741</v>
      </c>
    </row>
    <row r="6289" spans="1:3">
      <c r="A6289">
        <v>87361</v>
      </c>
      <c r="B6289">
        <v>839167</v>
      </c>
      <c r="C6289" s="32">
        <v>43071.421307870369</v>
      </c>
    </row>
    <row r="6290" spans="1:3">
      <c r="A6290">
        <v>166667</v>
      </c>
      <c r="B6290">
        <v>2355072</v>
      </c>
      <c r="C6290" s="32">
        <v>43071.205567129633</v>
      </c>
    </row>
    <row r="6291" spans="1:3">
      <c r="A6291">
        <v>867896</v>
      </c>
      <c r="B6291">
        <v>2293367</v>
      </c>
      <c r="C6291" s="32">
        <v>43072.003518518519</v>
      </c>
    </row>
    <row r="6292" spans="1:3">
      <c r="A6292">
        <v>559273</v>
      </c>
      <c r="B6292">
        <v>2926020</v>
      </c>
      <c r="C6292" s="32">
        <v>43072.371574074074</v>
      </c>
    </row>
    <row r="6293" spans="1:3">
      <c r="A6293">
        <v>100290</v>
      </c>
      <c r="B6293">
        <v>4217906</v>
      </c>
      <c r="C6293" s="32">
        <v>43071.509131944447</v>
      </c>
    </row>
    <row r="6294" spans="1:3">
      <c r="A6294">
        <v>556903</v>
      </c>
      <c r="B6294">
        <v>989763</v>
      </c>
      <c r="C6294" s="32">
        <v>43070.544236111113</v>
      </c>
    </row>
    <row r="6295" spans="1:3">
      <c r="A6295">
        <v>283854</v>
      </c>
      <c r="B6295">
        <v>3880463</v>
      </c>
      <c r="C6295" s="32">
        <v>43069.797581018516</v>
      </c>
    </row>
    <row r="6296" spans="1:3">
      <c r="A6296">
        <v>644954</v>
      </c>
      <c r="B6296">
        <v>2578647</v>
      </c>
      <c r="C6296" s="32">
        <v>43070.036053240743</v>
      </c>
    </row>
    <row r="6297" spans="1:3">
      <c r="A6297">
        <v>39618</v>
      </c>
      <c r="B6297">
        <v>1080785</v>
      </c>
      <c r="C6297" s="32">
        <v>43070.467303240737</v>
      </c>
    </row>
    <row r="6298" spans="1:3">
      <c r="A6298">
        <v>540209</v>
      </c>
      <c r="B6298">
        <v>4801426</v>
      </c>
      <c r="C6298" s="32">
        <v>43072.647164351853</v>
      </c>
    </row>
    <row r="6299" spans="1:3">
      <c r="A6299">
        <v>117902</v>
      </c>
      <c r="B6299">
        <v>4780547</v>
      </c>
      <c r="C6299" s="32">
        <v>43071.512395833335</v>
      </c>
    </row>
    <row r="6300" spans="1:3">
      <c r="A6300">
        <v>244088</v>
      </c>
      <c r="B6300">
        <v>2832009</v>
      </c>
      <c r="C6300" s="32">
        <v>43071.655150462961</v>
      </c>
    </row>
    <row r="6301" spans="1:3">
      <c r="A6301">
        <v>104477</v>
      </c>
      <c r="B6301">
        <v>2355072</v>
      </c>
      <c r="C6301" s="32">
        <v>43071.394120370373</v>
      </c>
    </row>
    <row r="6302" spans="1:3">
      <c r="A6302">
        <v>75830</v>
      </c>
      <c r="B6302">
        <v>4238676</v>
      </c>
      <c r="C6302" s="32">
        <v>43071.279976851853</v>
      </c>
    </row>
    <row r="6303" spans="1:3">
      <c r="A6303">
        <v>164361</v>
      </c>
      <c r="B6303">
        <v>4643350</v>
      </c>
      <c r="C6303" s="32">
        <v>43071.348981481482</v>
      </c>
    </row>
    <row r="6304" spans="1:3">
      <c r="A6304">
        <v>844393</v>
      </c>
      <c r="B6304">
        <v>4901188</v>
      </c>
      <c r="C6304" s="32">
        <v>43071.49255787037</v>
      </c>
    </row>
    <row r="6305" spans="1:3">
      <c r="A6305">
        <v>92405</v>
      </c>
      <c r="B6305">
        <v>4758477</v>
      </c>
      <c r="C6305" s="32">
        <v>43072.584722222222</v>
      </c>
    </row>
    <row r="6306" spans="1:3">
      <c r="A6306">
        <v>500888</v>
      </c>
      <c r="B6306">
        <v>2465336</v>
      </c>
      <c r="C6306" s="32">
        <v>43070.323761574073</v>
      </c>
    </row>
    <row r="6307" spans="1:3">
      <c r="A6307">
        <v>804183</v>
      </c>
      <c r="B6307">
        <v>3002561</v>
      </c>
      <c r="C6307" s="32">
        <v>43071.327986111108</v>
      </c>
    </row>
    <row r="6308" spans="1:3">
      <c r="A6308">
        <v>561455</v>
      </c>
      <c r="B6308">
        <v>4772448</v>
      </c>
      <c r="C6308" s="32">
        <v>43072.094687500001</v>
      </c>
    </row>
    <row r="6309" spans="1:3">
      <c r="A6309">
        <v>810866</v>
      </c>
      <c r="B6309">
        <v>4145813</v>
      </c>
      <c r="C6309" s="32">
        <v>43072.489768518521</v>
      </c>
    </row>
    <row r="6310" spans="1:3">
      <c r="A6310">
        <v>216598</v>
      </c>
      <c r="B6310">
        <v>3607361</v>
      </c>
      <c r="C6310" s="32">
        <v>43071.583495370367</v>
      </c>
    </row>
    <row r="6311" spans="1:3">
      <c r="A6311">
        <v>4260</v>
      </c>
      <c r="B6311">
        <v>3604509</v>
      </c>
      <c r="C6311" s="32">
        <v>43071.246539351851</v>
      </c>
    </row>
    <row r="6312" spans="1:3">
      <c r="A6312">
        <v>127016</v>
      </c>
      <c r="B6312">
        <v>2355072</v>
      </c>
      <c r="C6312" s="32">
        <v>43071.23978009259</v>
      </c>
    </row>
    <row r="6313" spans="1:3">
      <c r="A6313">
        <v>355328</v>
      </c>
      <c r="B6313">
        <v>3607361</v>
      </c>
      <c r="C6313" s="32">
        <v>43071.544861111113</v>
      </c>
    </row>
    <row r="6314" spans="1:3">
      <c r="A6314">
        <v>251860</v>
      </c>
      <c r="B6314">
        <v>3598912</v>
      </c>
      <c r="C6314" s="32">
        <v>43072.31958333333</v>
      </c>
    </row>
    <row r="6315" spans="1:3">
      <c r="A6315">
        <v>85561</v>
      </c>
      <c r="B6315">
        <v>381850</v>
      </c>
      <c r="C6315" s="32">
        <v>43072.381307870368</v>
      </c>
    </row>
    <row r="6316" spans="1:3">
      <c r="A6316">
        <v>206560</v>
      </c>
      <c r="B6316">
        <v>411153</v>
      </c>
      <c r="C6316" s="32">
        <v>43072.283402777779</v>
      </c>
    </row>
    <row r="6317" spans="1:3">
      <c r="A6317">
        <v>485688</v>
      </c>
      <c r="B6317">
        <v>4690421</v>
      </c>
      <c r="C6317" s="32">
        <v>43070.370856481481</v>
      </c>
    </row>
    <row r="6318" spans="1:3">
      <c r="A6318">
        <v>709983</v>
      </c>
      <c r="B6318">
        <v>3410573</v>
      </c>
      <c r="C6318" s="32">
        <v>43071.620474537034</v>
      </c>
    </row>
    <row r="6319" spans="1:3">
      <c r="A6319">
        <v>122537</v>
      </c>
      <c r="B6319">
        <v>2891408</v>
      </c>
      <c r="C6319" s="32">
        <v>43072.510717592595</v>
      </c>
    </row>
    <row r="6320" spans="1:3">
      <c r="A6320">
        <v>296765</v>
      </c>
      <c r="B6320">
        <v>4022701</v>
      </c>
      <c r="C6320" s="32">
        <v>43070.545532407406</v>
      </c>
    </row>
    <row r="6321" spans="1:3">
      <c r="A6321">
        <v>313789</v>
      </c>
      <c r="B6321">
        <v>3566034</v>
      </c>
      <c r="C6321" s="32">
        <v>43071.616990740738</v>
      </c>
    </row>
    <row r="6322" spans="1:3">
      <c r="A6322">
        <v>969551</v>
      </c>
      <c r="B6322">
        <v>2520377</v>
      </c>
      <c r="C6322" s="32">
        <v>43071.920254629629</v>
      </c>
    </row>
    <row r="6323" spans="1:3">
      <c r="A6323">
        <v>240996</v>
      </c>
      <c r="B6323">
        <v>1029459</v>
      </c>
      <c r="C6323" s="32">
        <v>43070.953182870369</v>
      </c>
    </row>
    <row r="6324" spans="1:3">
      <c r="A6324">
        <v>386918</v>
      </c>
      <c r="B6324">
        <v>999755</v>
      </c>
      <c r="C6324" s="32">
        <v>43070.20171296296</v>
      </c>
    </row>
    <row r="6325" spans="1:3">
      <c r="A6325">
        <v>495987</v>
      </c>
      <c r="B6325">
        <v>1879194</v>
      </c>
      <c r="C6325" s="32">
        <v>43070.582789351851</v>
      </c>
    </row>
    <row r="6326" spans="1:3">
      <c r="A6326">
        <v>694146</v>
      </c>
      <c r="B6326">
        <v>4756105</v>
      </c>
      <c r="C6326" s="32">
        <v>43070.51221064815</v>
      </c>
    </row>
    <row r="6327" spans="1:3">
      <c r="A6327">
        <v>15302</v>
      </c>
      <c r="B6327">
        <v>4276787</v>
      </c>
      <c r="C6327" s="32">
        <v>43070.511307870373</v>
      </c>
    </row>
    <row r="6328" spans="1:3">
      <c r="A6328">
        <v>714111</v>
      </c>
      <c r="B6328">
        <v>2465336</v>
      </c>
      <c r="C6328" s="32">
        <v>43072.068090277775</v>
      </c>
    </row>
    <row r="6329" spans="1:3">
      <c r="A6329">
        <v>750508</v>
      </c>
      <c r="B6329">
        <v>2520377</v>
      </c>
      <c r="C6329" s="32">
        <v>43071.610393518517</v>
      </c>
    </row>
    <row r="6330" spans="1:3">
      <c r="A6330">
        <v>825791</v>
      </c>
      <c r="B6330">
        <v>3100520</v>
      </c>
      <c r="C6330" s="32">
        <v>43070.478981481479</v>
      </c>
    </row>
    <row r="6331" spans="1:3">
      <c r="A6331">
        <v>420315</v>
      </c>
      <c r="B6331">
        <v>3102419</v>
      </c>
      <c r="C6331" s="32">
        <v>43071.323437500003</v>
      </c>
    </row>
    <row r="6332" spans="1:3">
      <c r="A6332">
        <v>423860</v>
      </c>
      <c r="B6332">
        <v>1097635</v>
      </c>
      <c r="C6332" s="32">
        <v>43070.291331018518</v>
      </c>
    </row>
    <row r="6333" spans="1:3">
      <c r="A6333">
        <v>616756</v>
      </c>
      <c r="B6333">
        <v>2355072</v>
      </c>
      <c r="C6333" s="32">
        <v>43072.500578703701</v>
      </c>
    </row>
    <row r="6334" spans="1:3">
      <c r="A6334">
        <v>1010983</v>
      </c>
      <c r="B6334">
        <v>4801426</v>
      </c>
      <c r="C6334" s="32">
        <v>43070.355000000003</v>
      </c>
    </row>
    <row r="6335" spans="1:3">
      <c r="A6335">
        <v>979004</v>
      </c>
      <c r="B6335">
        <v>3135863</v>
      </c>
      <c r="C6335" s="32">
        <v>43070.966886574075</v>
      </c>
    </row>
    <row r="6336" spans="1:3">
      <c r="A6336">
        <v>308707</v>
      </c>
      <c r="B6336">
        <v>2520377</v>
      </c>
      <c r="C6336" s="32">
        <v>43071.988379629627</v>
      </c>
    </row>
    <row r="6337" spans="1:3">
      <c r="A6337">
        <v>530156</v>
      </c>
      <c r="B6337">
        <v>3002561</v>
      </c>
      <c r="C6337" s="32">
        <v>43070.250324074077</v>
      </c>
    </row>
    <row r="6338" spans="1:3">
      <c r="A6338">
        <v>775372</v>
      </c>
      <c r="B6338">
        <v>4719814</v>
      </c>
      <c r="C6338" s="32">
        <v>43071.563750000001</v>
      </c>
    </row>
    <row r="6339" spans="1:3">
      <c r="A6339">
        <v>673171</v>
      </c>
      <c r="B6339">
        <v>2520377</v>
      </c>
      <c r="C6339" s="32">
        <v>43070.551898148151</v>
      </c>
    </row>
    <row r="6340" spans="1:3">
      <c r="A6340">
        <v>137188</v>
      </c>
      <c r="B6340">
        <v>4537973</v>
      </c>
      <c r="C6340" s="32">
        <v>43072.062430555554</v>
      </c>
    </row>
    <row r="6341" spans="1:3">
      <c r="A6341">
        <v>480152</v>
      </c>
      <c r="B6341">
        <v>2355072</v>
      </c>
      <c r="C6341" s="32">
        <v>43071.852638888886</v>
      </c>
    </row>
    <row r="6342" spans="1:3">
      <c r="A6342">
        <v>598414</v>
      </c>
      <c r="B6342">
        <v>982926</v>
      </c>
      <c r="C6342" s="32">
        <v>43072.571840277778</v>
      </c>
    </row>
    <row r="6343" spans="1:3">
      <c r="A6343">
        <v>646064</v>
      </c>
      <c r="B6343">
        <v>4756105</v>
      </c>
      <c r="C6343" s="32">
        <v>43071.589594907404</v>
      </c>
    </row>
    <row r="6344" spans="1:3">
      <c r="A6344">
        <v>933267</v>
      </c>
      <c r="B6344">
        <v>3624696</v>
      </c>
      <c r="C6344" s="32">
        <v>43072.602476851855</v>
      </c>
    </row>
    <row r="6345" spans="1:3">
      <c r="A6345">
        <v>625044</v>
      </c>
      <c r="B6345">
        <v>1492316</v>
      </c>
      <c r="C6345" s="32">
        <v>43072.050104166665</v>
      </c>
    </row>
    <row r="6346" spans="1:3">
      <c r="A6346">
        <v>1016698</v>
      </c>
      <c r="B6346">
        <v>3340725</v>
      </c>
      <c r="C6346" s="32">
        <v>43070.814687500002</v>
      </c>
    </row>
    <row r="6347" spans="1:3">
      <c r="A6347">
        <v>458084</v>
      </c>
      <c r="B6347">
        <v>4756105</v>
      </c>
      <c r="C6347" s="32">
        <v>43072.435937499999</v>
      </c>
    </row>
    <row r="6348" spans="1:3">
      <c r="A6348">
        <v>527167</v>
      </c>
      <c r="B6348">
        <v>2465336</v>
      </c>
      <c r="C6348" s="32">
        <v>43071.303877314815</v>
      </c>
    </row>
    <row r="6349" spans="1:3">
      <c r="A6349">
        <v>993209</v>
      </c>
      <c r="B6349">
        <v>450901</v>
      </c>
      <c r="C6349" s="32">
        <v>43070.03733796296</v>
      </c>
    </row>
    <row r="6350" spans="1:3">
      <c r="A6350">
        <v>603341</v>
      </c>
      <c r="B6350">
        <v>4145813</v>
      </c>
      <c r="C6350" s="32">
        <v>43072.351238425923</v>
      </c>
    </row>
    <row r="6351" spans="1:3">
      <c r="A6351">
        <v>754821</v>
      </c>
      <c r="B6351">
        <v>4145813</v>
      </c>
      <c r="C6351" s="32">
        <v>43072.026319444441</v>
      </c>
    </row>
    <row r="6352" spans="1:3">
      <c r="A6352">
        <v>513055</v>
      </c>
      <c r="B6352">
        <v>2690374</v>
      </c>
      <c r="C6352" s="32">
        <v>43072.410300925927</v>
      </c>
    </row>
    <row r="6353" spans="1:3">
      <c r="A6353">
        <v>1003887</v>
      </c>
      <c r="B6353">
        <v>4339722</v>
      </c>
      <c r="C6353" s="32">
        <v>43072.665844907409</v>
      </c>
    </row>
    <row r="6354" spans="1:3">
      <c r="A6354">
        <v>404568</v>
      </c>
      <c r="B6354">
        <v>4357323</v>
      </c>
      <c r="C6354" s="32">
        <v>43072.238622685189</v>
      </c>
    </row>
    <row r="6355" spans="1:3">
      <c r="A6355">
        <v>312077</v>
      </c>
      <c r="B6355">
        <v>4145813</v>
      </c>
      <c r="C6355" s="32">
        <v>43071.374085648145</v>
      </c>
    </row>
    <row r="6356" spans="1:3">
      <c r="A6356">
        <v>609771</v>
      </c>
      <c r="B6356">
        <v>2945933</v>
      </c>
      <c r="C6356" s="32">
        <v>43070.588113425925</v>
      </c>
    </row>
    <row r="6357" spans="1:3">
      <c r="A6357">
        <v>784042</v>
      </c>
      <c r="B6357">
        <v>2939262</v>
      </c>
      <c r="C6357" s="32">
        <v>43071.599594907406</v>
      </c>
    </row>
    <row r="6358" spans="1:3">
      <c r="A6358">
        <v>108320</v>
      </c>
      <c r="B6358">
        <v>1113817</v>
      </c>
      <c r="C6358" s="32">
        <v>43072.611759259256</v>
      </c>
    </row>
    <row r="6359" spans="1:3">
      <c r="A6359">
        <v>876988</v>
      </c>
      <c r="B6359">
        <v>146830</v>
      </c>
      <c r="C6359" s="32">
        <v>43071.978541666664</v>
      </c>
    </row>
    <row r="6360" spans="1:3">
      <c r="A6360">
        <v>241363</v>
      </c>
      <c r="B6360">
        <v>3102419</v>
      </c>
      <c r="C6360" s="32">
        <v>43070.250509259262</v>
      </c>
    </row>
    <row r="6361" spans="1:3">
      <c r="A6361">
        <v>358539</v>
      </c>
      <c r="B6361">
        <v>3702593</v>
      </c>
      <c r="C6361" s="32">
        <v>43070.562893518516</v>
      </c>
    </row>
    <row r="6362" spans="1:3">
      <c r="A6362">
        <v>985838</v>
      </c>
      <c r="B6362">
        <v>982926</v>
      </c>
      <c r="C6362" s="32">
        <v>43072.461423611108</v>
      </c>
    </row>
    <row r="6363" spans="1:3">
      <c r="A6363">
        <v>302789</v>
      </c>
      <c r="B6363">
        <v>4152994</v>
      </c>
      <c r="C6363" s="32">
        <v>43071.458645833336</v>
      </c>
    </row>
    <row r="6364" spans="1:3">
      <c r="A6364">
        <v>86390</v>
      </c>
      <c r="B6364">
        <v>903809</v>
      </c>
      <c r="C6364" s="32">
        <v>43072.47865740741</v>
      </c>
    </row>
    <row r="6365" spans="1:3">
      <c r="A6365">
        <v>61456</v>
      </c>
      <c r="B6365">
        <v>3738615</v>
      </c>
      <c r="C6365" s="32">
        <v>43071.347870370373</v>
      </c>
    </row>
    <row r="6366" spans="1:3">
      <c r="A6366">
        <v>313321</v>
      </c>
      <c r="B6366">
        <v>4082778</v>
      </c>
      <c r="C6366" s="32">
        <v>43072.57707175926</v>
      </c>
    </row>
    <row r="6367" spans="1:3">
      <c r="A6367">
        <v>348126</v>
      </c>
      <c r="B6367">
        <v>3776866</v>
      </c>
      <c r="C6367" s="32">
        <v>43070.260081018518</v>
      </c>
    </row>
    <row r="6368" spans="1:3">
      <c r="A6368">
        <v>504882</v>
      </c>
      <c r="B6368">
        <v>2865017</v>
      </c>
      <c r="C6368" s="32">
        <v>43072.08421296296</v>
      </c>
    </row>
    <row r="6369" spans="1:3">
      <c r="A6369">
        <v>152018</v>
      </c>
      <c r="B6369">
        <v>155172</v>
      </c>
      <c r="C6369" s="32">
        <v>43072.607372685183</v>
      </c>
    </row>
    <row r="6370" spans="1:3">
      <c r="A6370">
        <v>658390</v>
      </c>
      <c r="B6370">
        <v>1464116</v>
      </c>
      <c r="C6370" s="32">
        <v>43072.593946759262</v>
      </c>
    </row>
    <row r="6371" spans="1:3">
      <c r="A6371">
        <v>251368</v>
      </c>
      <c r="B6371">
        <v>1859277</v>
      </c>
      <c r="C6371" s="32">
        <v>43071.654386574075</v>
      </c>
    </row>
    <row r="6372" spans="1:3">
      <c r="A6372">
        <v>814241</v>
      </c>
      <c r="B6372">
        <v>3106495</v>
      </c>
      <c r="C6372" s="32">
        <v>43072.301064814812</v>
      </c>
    </row>
    <row r="6373" spans="1:3">
      <c r="A6373">
        <v>973368</v>
      </c>
      <c r="B6373">
        <v>149192</v>
      </c>
      <c r="C6373" s="32">
        <v>43072.205393518518</v>
      </c>
    </row>
    <row r="6374" spans="1:3">
      <c r="A6374">
        <v>978111</v>
      </c>
      <c r="B6374">
        <v>1879194</v>
      </c>
      <c r="C6374" s="32">
        <v>43071.30704861111</v>
      </c>
    </row>
    <row r="6375" spans="1:3">
      <c r="A6375">
        <v>23855</v>
      </c>
      <c r="B6375">
        <v>903809</v>
      </c>
      <c r="C6375" s="32">
        <v>43072.627268518518</v>
      </c>
    </row>
    <row r="6376" spans="1:3">
      <c r="A6376">
        <v>296679</v>
      </c>
      <c r="B6376">
        <v>3607361</v>
      </c>
      <c r="C6376" s="32">
        <v>43070.604675925926</v>
      </c>
    </row>
    <row r="6377" spans="1:3">
      <c r="A6377">
        <v>184763</v>
      </c>
      <c r="B6377">
        <v>2640118</v>
      </c>
      <c r="C6377" s="32">
        <v>43070.746886574074</v>
      </c>
    </row>
    <row r="6378" spans="1:3">
      <c r="A6378">
        <v>468608</v>
      </c>
      <c r="B6378">
        <v>4756105</v>
      </c>
      <c r="C6378" s="32">
        <v>43070.59170138889</v>
      </c>
    </row>
    <row r="6379" spans="1:3">
      <c r="A6379">
        <v>626042</v>
      </c>
      <c r="B6379">
        <v>3007355</v>
      </c>
      <c r="C6379" s="32">
        <v>43070.654594907406</v>
      </c>
    </row>
    <row r="6380" spans="1:3">
      <c r="A6380">
        <v>6170</v>
      </c>
      <c r="B6380">
        <v>2520771</v>
      </c>
      <c r="C6380" s="32">
        <v>43070.413078703707</v>
      </c>
    </row>
    <row r="6381" spans="1:3">
      <c r="A6381">
        <v>604412</v>
      </c>
      <c r="B6381">
        <v>1783423</v>
      </c>
      <c r="C6381" s="32">
        <v>43070.079548611109</v>
      </c>
    </row>
    <row r="6382" spans="1:3">
      <c r="A6382">
        <v>983764</v>
      </c>
      <c r="B6382">
        <v>2455825</v>
      </c>
      <c r="C6382" s="32">
        <v>43070.132650462961</v>
      </c>
    </row>
    <row r="6383" spans="1:3">
      <c r="A6383">
        <v>683649</v>
      </c>
      <c r="B6383">
        <v>72526</v>
      </c>
      <c r="C6383" s="32">
        <v>43071.565046296295</v>
      </c>
    </row>
    <row r="6384" spans="1:3">
      <c r="A6384">
        <v>413847</v>
      </c>
      <c r="B6384">
        <v>4066962</v>
      </c>
      <c r="C6384" s="32">
        <v>43071.058645833335</v>
      </c>
    </row>
    <row r="6385" spans="1:3">
      <c r="A6385">
        <v>509564</v>
      </c>
      <c r="B6385">
        <v>149192</v>
      </c>
      <c r="C6385" s="32">
        <v>43072.517152777778</v>
      </c>
    </row>
    <row r="6386" spans="1:3">
      <c r="A6386">
        <v>571033</v>
      </c>
      <c r="B6386">
        <v>2626421</v>
      </c>
      <c r="C6386" s="32">
        <v>43071.619525462964</v>
      </c>
    </row>
    <row r="6387" spans="1:3">
      <c r="A6387">
        <v>904996</v>
      </c>
      <c r="B6387">
        <v>722945</v>
      </c>
      <c r="C6387" s="32">
        <v>43072.51771990741</v>
      </c>
    </row>
    <row r="6388" spans="1:3">
      <c r="A6388">
        <v>21476</v>
      </c>
      <c r="B6388">
        <v>235534</v>
      </c>
      <c r="C6388" s="32">
        <v>43072.206724537034</v>
      </c>
    </row>
    <row r="6389" spans="1:3">
      <c r="A6389">
        <v>934645</v>
      </c>
      <c r="B6389">
        <v>3645362</v>
      </c>
      <c r="C6389" s="32">
        <v>43071.325706018521</v>
      </c>
    </row>
    <row r="6390" spans="1:3">
      <c r="A6390">
        <v>188548</v>
      </c>
      <c r="B6390">
        <v>366112</v>
      </c>
      <c r="C6390" s="32">
        <v>43072.414155092592</v>
      </c>
    </row>
    <row r="6391" spans="1:3">
      <c r="A6391">
        <v>477209</v>
      </c>
      <c r="B6391">
        <v>2440364</v>
      </c>
      <c r="C6391" s="32">
        <v>43071.594849537039</v>
      </c>
    </row>
    <row r="6392" spans="1:3">
      <c r="A6392">
        <v>859848</v>
      </c>
      <c r="B6392">
        <v>1568197</v>
      </c>
      <c r="C6392" s="32">
        <v>43072.299421296295</v>
      </c>
    </row>
    <row r="6393" spans="1:3">
      <c r="A6393">
        <v>375023</v>
      </c>
      <c r="B6393">
        <v>200278</v>
      </c>
      <c r="C6393" s="32">
        <v>43072.255659722221</v>
      </c>
    </row>
    <row r="6394" spans="1:3">
      <c r="A6394">
        <v>454732</v>
      </c>
      <c r="B6394">
        <v>168997</v>
      </c>
      <c r="C6394" s="32">
        <v>43072.166863425926</v>
      </c>
    </row>
    <row r="6395" spans="1:3">
      <c r="A6395">
        <v>335067</v>
      </c>
      <c r="B6395">
        <v>381850</v>
      </c>
      <c r="C6395" s="32">
        <v>43072.616180555553</v>
      </c>
    </row>
    <row r="6396" spans="1:3">
      <c r="A6396">
        <v>334051</v>
      </c>
      <c r="B6396">
        <v>4847313</v>
      </c>
      <c r="C6396" s="32">
        <v>43070.179467592592</v>
      </c>
    </row>
    <row r="6397" spans="1:3">
      <c r="A6397">
        <v>723828</v>
      </c>
      <c r="B6397">
        <v>2629787</v>
      </c>
      <c r="C6397" s="32">
        <v>43072.315763888888</v>
      </c>
    </row>
    <row r="6398" spans="1:3">
      <c r="A6398">
        <v>137570</v>
      </c>
      <c r="B6398">
        <v>4654786</v>
      </c>
      <c r="C6398" s="32">
        <v>43070.154872685183</v>
      </c>
    </row>
    <row r="6399" spans="1:3">
      <c r="A6399">
        <v>336406</v>
      </c>
      <c r="B6399">
        <v>3065645</v>
      </c>
      <c r="C6399" s="32">
        <v>43071.276574074072</v>
      </c>
    </row>
    <row r="6400" spans="1:3">
      <c r="A6400">
        <v>847625</v>
      </c>
      <c r="B6400">
        <v>2465336</v>
      </c>
      <c r="C6400" s="32">
        <v>43072.45752314815</v>
      </c>
    </row>
    <row r="6401" spans="1:3">
      <c r="A6401">
        <v>571502</v>
      </c>
      <c r="B6401">
        <v>611849</v>
      </c>
      <c r="C6401" s="32">
        <v>43072.136840277781</v>
      </c>
    </row>
    <row r="6402" spans="1:3">
      <c r="A6402">
        <v>766701</v>
      </c>
      <c r="B6402">
        <v>1851156</v>
      </c>
      <c r="C6402" s="32">
        <v>43071.525856481479</v>
      </c>
    </row>
    <row r="6403" spans="1:3">
      <c r="A6403">
        <v>918059</v>
      </c>
      <c r="B6403">
        <v>2158870</v>
      </c>
      <c r="C6403" s="32">
        <v>43071.022916666669</v>
      </c>
    </row>
    <row r="6404" spans="1:3">
      <c r="A6404">
        <v>11888</v>
      </c>
      <c r="B6404">
        <v>3483675</v>
      </c>
      <c r="C6404" s="32">
        <v>43071.143530092595</v>
      </c>
    </row>
    <row r="6405" spans="1:3">
      <c r="A6405">
        <v>3685</v>
      </c>
      <c r="B6405">
        <v>1575622</v>
      </c>
      <c r="C6405" s="32">
        <v>43071.531030092592</v>
      </c>
    </row>
    <row r="6406" spans="1:3">
      <c r="A6406">
        <v>487209</v>
      </c>
      <c r="B6406">
        <v>3371868</v>
      </c>
      <c r="C6406" s="32">
        <v>43071.532650462963</v>
      </c>
    </row>
    <row r="6407" spans="1:3">
      <c r="A6407">
        <v>392730</v>
      </c>
      <c r="B6407">
        <v>2520771</v>
      </c>
      <c r="C6407" s="32">
        <v>43072.616944444446</v>
      </c>
    </row>
    <row r="6408" spans="1:3">
      <c r="A6408">
        <v>344862</v>
      </c>
      <c r="B6408">
        <v>1464116</v>
      </c>
      <c r="C6408" s="32">
        <v>43071.215312499997</v>
      </c>
    </row>
    <row r="6409" spans="1:3">
      <c r="A6409">
        <v>32473</v>
      </c>
      <c r="B6409">
        <v>982926</v>
      </c>
      <c r="C6409" s="32">
        <v>43072.579733796294</v>
      </c>
    </row>
    <row r="6410" spans="1:3">
      <c r="A6410">
        <v>760177</v>
      </c>
      <c r="B6410">
        <v>285583</v>
      </c>
      <c r="C6410" s="32">
        <v>43071.380671296298</v>
      </c>
    </row>
    <row r="6411" spans="1:3">
      <c r="A6411">
        <v>61072</v>
      </c>
      <c r="B6411">
        <v>903809</v>
      </c>
      <c r="C6411" s="32">
        <v>43070.323298611111</v>
      </c>
    </row>
    <row r="6412" spans="1:3">
      <c r="A6412">
        <v>311964</v>
      </c>
      <c r="B6412">
        <v>2948269</v>
      </c>
      <c r="C6412" s="32">
        <v>43070.130057870374</v>
      </c>
    </row>
    <row r="6413" spans="1:3">
      <c r="A6413">
        <v>149039</v>
      </c>
      <c r="B6413">
        <v>2520377</v>
      </c>
      <c r="C6413" s="32">
        <v>43071.112361111111</v>
      </c>
    </row>
    <row r="6414" spans="1:3">
      <c r="A6414">
        <v>344659</v>
      </c>
      <c r="B6414">
        <v>2939262</v>
      </c>
      <c r="C6414" s="32">
        <v>43071.171759259261</v>
      </c>
    </row>
    <row r="6415" spans="1:3">
      <c r="A6415">
        <v>300180</v>
      </c>
      <c r="B6415">
        <v>1631778</v>
      </c>
      <c r="C6415" s="32">
        <v>43071.302037037036</v>
      </c>
    </row>
    <row r="6416" spans="1:3">
      <c r="A6416">
        <v>319836</v>
      </c>
      <c r="B6416">
        <v>4756105</v>
      </c>
      <c r="C6416" s="32">
        <v>43071.60974537037</v>
      </c>
    </row>
    <row r="6417" spans="1:3">
      <c r="A6417">
        <v>768817</v>
      </c>
      <c r="B6417">
        <v>2945933</v>
      </c>
      <c r="C6417" s="32">
        <v>43072.525925925926</v>
      </c>
    </row>
    <row r="6418" spans="1:3">
      <c r="A6418">
        <v>548224</v>
      </c>
      <c r="B6418">
        <v>2565960</v>
      </c>
      <c r="C6418" s="32">
        <v>43072.604560185187</v>
      </c>
    </row>
    <row r="6419" spans="1:3">
      <c r="A6419">
        <v>384662</v>
      </c>
      <c r="B6419">
        <v>2667323</v>
      </c>
      <c r="C6419" s="32">
        <v>43072.369108796294</v>
      </c>
    </row>
    <row r="6420" spans="1:3">
      <c r="A6420">
        <v>626553</v>
      </c>
      <c r="B6420">
        <v>2465336</v>
      </c>
      <c r="C6420" s="32">
        <v>43072.193368055552</v>
      </c>
    </row>
    <row r="6421" spans="1:3">
      <c r="A6421">
        <v>733495</v>
      </c>
      <c r="B6421">
        <v>2465336</v>
      </c>
      <c r="C6421" s="32">
        <v>43072.143842592595</v>
      </c>
    </row>
    <row r="6422" spans="1:3">
      <c r="A6422">
        <v>243760</v>
      </c>
      <c r="B6422">
        <v>4756105</v>
      </c>
      <c r="C6422" s="32">
        <v>43071.582511574074</v>
      </c>
    </row>
    <row r="6423" spans="1:3">
      <c r="A6423">
        <v>557706</v>
      </c>
      <c r="B6423">
        <v>2735466</v>
      </c>
      <c r="C6423" s="32">
        <v>43070.82236111111</v>
      </c>
    </row>
    <row r="6424" spans="1:3">
      <c r="A6424">
        <v>811009</v>
      </c>
      <c r="B6424">
        <v>2355072</v>
      </c>
      <c r="C6424" s="32">
        <v>43070.549201388887</v>
      </c>
    </row>
    <row r="6425" spans="1:3">
      <c r="A6425">
        <v>818584</v>
      </c>
      <c r="B6425">
        <v>2920476</v>
      </c>
      <c r="C6425" s="32">
        <v>43072.361192129632</v>
      </c>
    </row>
    <row r="6426" spans="1:3">
      <c r="A6426">
        <v>212341</v>
      </c>
      <c r="B6426">
        <v>4756105</v>
      </c>
      <c r="C6426" s="32">
        <v>43070.583958333336</v>
      </c>
    </row>
    <row r="6427" spans="1:3">
      <c r="A6427">
        <v>109177</v>
      </c>
      <c r="B6427">
        <v>2158079</v>
      </c>
      <c r="C6427" s="32">
        <v>43071.468113425923</v>
      </c>
    </row>
    <row r="6428" spans="1:3">
      <c r="A6428">
        <v>218843</v>
      </c>
      <c r="B6428">
        <v>3264833</v>
      </c>
      <c r="C6428" s="32">
        <v>43072.508738425924</v>
      </c>
    </row>
    <row r="6429" spans="1:3">
      <c r="A6429">
        <v>890157</v>
      </c>
      <c r="B6429">
        <v>957119</v>
      </c>
      <c r="C6429" s="32">
        <v>43072.477337962962</v>
      </c>
    </row>
    <row r="6430" spans="1:3">
      <c r="A6430">
        <v>594432</v>
      </c>
      <c r="B6430">
        <v>2520771</v>
      </c>
      <c r="C6430" s="32">
        <v>43071.491331018522</v>
      </c>
    </row>
    <row r="6431" spans="1:3">
      <c r="A6431">
        <v>599238</v>
      </c>
      <c r="B6431">
        <v>285583</v>
      </c>
      <c r="C6431" s="32">
        <v>43071.505810185183</v>
      </c>
    </row>
    <row r="6432" spans="1:3">
      <c r="A6432">
        <v>138144</v>
      </c>
      <c r="B6432">
        <v>4151801</v>
      </c>
      <c r="C6432" s="32">
        <v>43072.398287037038</v>
      </c>
    </row>
    <row r="6433" spans="1:3">
      <c r="A6433">
        <v>923104</v>
      </c>
      <c r="B6433">
        <v>1954691</v>
      </c>
      <c r="C6433" s="32">
        <v>43072.303402777776</v>
      </c>
    </row>
    <row r="6434" spans="1:3">
      <c r="A6434">
        <v>506480</v>
      </c>
      <c r="B6434">
        <v>4756105</v>
      </c>
      <c r="C6434" s="32">
        <v>43071.122534722221</v>
      </c>
    </row>
    <row r="6435" spans="1:3">
      <c r="A6435">
        <v>725616</v>
      </c>
      <c r="B6435">
        <v>2735466</v>
      </c>
      <c r="C6435" s="32">
        <v>43070.133611111109</v>
      </c>
    </row>
    <row r="6436" spans="1:3">
      <c r="A6436">
        <v>18995</v>
      </c>
      <c r="B6436">
        <v>4756105</v>
      </c>
      <c r="C6436" s="32">
        <v>43072.448831018519</v>
      </c>
    </row>
    <row r="6437" spans="1:3">
      <c r="A6437">
        <v>294767</v>
      </c>
      <c r="B6437">
        <v>3299155</v>
      </c>
      <c r="C6437" s="32">
        <v>43070.892523148148</v>
      </c>
    </row>
    <row r="6438" spans="1:3">
      <c r="A6438">
        <v>248596</v>
      </c>
      <c r="B6438">
        <v>1879194</v>
      </c>
      <c r="C6438" s="32">
        <v>43071.544953703706</v>
      </c>
    </row>
    <row r="6439" spans="1:3">
      <c r="A6439">
        <v>120328</v>
      </c>
      <c r="B6439">
        <v>3459562</v>
      </c>
      <c r="C6439" s="32">
        <v>43071.278541666667</v>
      </c>
    </row>
    <row r="6440" spans="1:3">
      <c r="A6440">
        <v>536245</v>
      </c>
      <c r="B6440">
        <v>2640118</v>
      </c>
      <c r="C6440" s="32">
        <v>43070.362881944442</v>
      </c>
    </row>
    <row r="6441" spans="1:3">
      <c r="A6441">
        <v>214800</v>
      </c>
      <c r="B6441">
        <v>4558987</v>
      </c>
      <c r="C6441" s="32">
        <v>43071.32271990741</v>
      </c>
    </row>
    <row r="6442" spans="1:3">
      <c r="A6442">
        <v>191692</v>
      </c>
      <c r="B6442">
        <v>564681</v>
      </c>
      <c r="C6442" s="32">
        <v>43072.484201388892</v>
      </c>
    </row>
    <row r="6443" spans="1:3">
      <c r="A6443">
        <v>634396</v>
      </c>
      <c r="B6443">
        <v>4993094</v>
      </c>
      <c r="C6443" s="32">
        <v>43069.999386574076</v>
      </c>
    </row>
    <row r="6444" spans="1:3">
      <c r="A6444">
        <v>488112</v>
      </c>
      <c r="B6444">
        <v>2342116</v>
      </c>
      <c r="C6444" s="32">
        <v>43071.762164351851</v>
      </c>
    </row>
    <row r="6445" spans="1:3">
      <c r="A6445">
        <v>159412</v>
      </c>
      <c r="B6445">
        <v>3002561</v>
      </c>
      <c r="C6445" s="32">
        <v>43072.302442129629</v>
      </c>
    </row>
    <row r="6446" spans="1:3">
      <c r="A6446">
        <v>272732</v>
      </c>
      <c r="B6446">
        <v>3607361</v>
      </c>
      <c r="C6446" s="32">
        <v>43070.081701388888</v>
      </c>
    </row>
    <row r="6447" spans="1:3">
      <c r="A6447">
        <v>885110</v>
      </c>
      <c r="B6447">
        <v>411153</v>
      </c>
      <c r="C6447" s="32">
        <v>43071.103368055556</v>
      </c>
    </row>
    <row r="6448" spans="1:3">
      <c r="A6448">
        <v>974631</v>
      </c>
      <c r="B6448">
        <v>2735466</v>
      </c>
      <c r="C6448" s="32">
        <v>43071.005925925929</v>
      </c>
    </row>
    <row r="6449" spans="1:3">
      <c r="A6449">
        <v>1007094</v>
      </c>
      <c r="B6449">
        <v>866301</v>
      </c>
      <c r="C6449" s="32">
        <v>43071.46435185185</v>
      </c>
    </row>
    <row r="6450" spans="1:3">
      <c r="A6450">
        <v>868523</v>
      </c>
      <c r="B6450">
        <v>4145813</v>
      </c>
      <c r="C6450" s="32">
        <v>43072.593923611108</v>
      </c>
    </row>
    <row r="6451" spans="1:3">
      <c r="A6451">
        <v>283145</v>
      </c>
      <c r="B6451">
        <v>2208169</v>
      </c>
      <c r="C6451" s="32">
        <v>43072.580960648149</v>
      </c>
    </row>
    <row r="6452" spans="1:3">
      <c r="A6452">
        <v>758657</v>
      </c>
      <c r="B6452">
        <v>2885642</v>
      </c>
      <c r="C6452" s="32">
        <v>43072.108263888891</v>
      </c>
    </row>
    <row r="6453" spans="1:3">
      <c r="A6453">
        <v>15858</v>
      </c>
      <c r="B6453">
        <v>3459562</v>
      </c>
      <c r="C6453" s="32">
        <v>43071.34747685185</v>
      </c>
    </row>
    <row r="6454" spans="1:3">
      <c r="A6454">
        <v>90142</v>
      </c>
      <c r="B6454">
        <v>1488813</v>
      </c>
      <c r="C6454" s="32">
        <v>43070.21665509259</v>
      </c>
    </row>
    <row r="6455" spans="1:3">
      <c r="A6455">
        <v>426792</v>
      </c>
      <c r="B6455">
        <v>2959407</v>
      </c>
      <c r="C6455" s="32">
        <v>43072.514502314814</v>
      </c>
    </row>
    <row r="6456" spans="1:3">
      <c r="A6456">
        <v>950221</v>
      </c>
      <c r="B6456">
        <v>4292119</v>
      </c>
      <c r="C6456" s="32">
        <v>43070.50545138889</v>
      </c>
    </row>
    <row r="6457" spans="1:3">
      <c r="A6457">
        <v>184842</v>
      </c>
      <c r="B6457">
        <v>4130426</v>
      </c>
      <c r="C6457" s="32">
        <v>43071.535254629627</v>
      </c>
    </row>
    <row r="6458" spans="1:3">
      <c r="A6458">
        <v>837261</v>
      </c>
      <c r="B6458">
        <v>883960</v>
      </c>
      <c r="C6458" s="32">
        <v>43071.559282407405</v>
      </c>
    </row>
    <row r="6459" spans="1:3">
      <c r="A6459">
        <v>266774</v>
      </c>
      <c r="B6459">
        <v>4756105</v>
      </c>
      <c r="C6459" s="32">
        <v>43070.61377314815</v>
      </c>
    </row>
    <row r="6460" spans="1:3">
      <c r="A6460">
        <v>241809</v>
      </c>
      <c r="B6460">
        <v>2066955</v>
      </c>
      <c r="C6460" s="32">
        <v>43071.042361111111</v>
      </c>
    </row>
    <row r="6461" spans="1:3">
      <c r="A6461">
        <v>85814</v>
      </c>
      <c r="B6461">
        <v>570735</v>
      </c>
      <c r="C6461" s="32">
        <v>43071.673634259256</v>
      </c>
    </row>
    <row r="6462" spans="1:3">
      <c r="A6462">
        <v>370092</v>
      </c>
      <c r="B6462">
        <v>1780495</v>
      </c>
      <c r="C6462" s="32">
        <v>43072.372094907405</v>
      </c>
    </row>
    <row r="6463" spans="1:3">
      <c r="A6463">
        <v>374738</v>
      </c>
      <c r="B6463">
        <v>2735466</v>
      </c>
      <c r="C6463" s="32">
        <v>43072.390983796293</v>
      </c>
    </row>
    <row r="6464" spans="1:3">
      <c r="A6464">
        <v>516859</v>
      </c>
      <c r="B6464">
        <v>2920476</v>
      </c>
      <c r="C6464" s="32">
        <v>43072.382638888892</v>
      </c>
    </row>
    <row r="6465" spans="1:3">
      <c r="A6465">
        <v>82385</v>
      </c>
      <c r="B6465">
        <v>4050612</v>
      </c>
      <c r="C6465" s="32">
        <v>43071.545717592591</v>
      </c>
    </row>
    <row r="6466" spans="1:3">
      <c r="A6466">
        <v>764645</v>
      </c>
      <c r="B6466">
        <v>3607361</v>
      </c>
      <c r="C6466" s="32">
        <v>43072.091863425929</v>
      </c>
    </row>
    <row r="6467" spans="1:3">
      <c r="A6467">
        <v>634443</v>
      </c>
      <c r="B6467">
        <v>4907</v>
      </c>
      <c r="C6467" s="32">
        <v>43072.07335648148</v>
      </c>
    </row>
    <row r="6468" spans="1:3">
      <c r="A6468">
        <v>722430</v>
      </c>
      <c r="B6468">
        <v>149192</v>
      </c>
      <c r="C6468" s="32">
        <v>43071.655324074076</v>
      </c>
    </row>
    <row r="6469" spans="1:3">
      <c r="A6469">
        <v>100390</v>
      </c>
      <c r="B6469">
        <v>405755</v>
      </c>
      <c r="C6469" s="32">
        <v>43072.565115740741</v>
      </c>
    </row>
    <row r="6470" spans="1:3">
      <c r="A6470">
        <v>127827</v>
      </c>
      <c r="B6470">
        <v>1652543</v>
      </c>
      <c r="C6470" s="32">
        <v>43071.584965277776</v>
      </c>
    </row>
    <row r="6471" spans="1:3">
      <c r="A6471">
        <v>146662</v>
      </c>
      <c r="B6471">
        <v>4962280</v>
      </c>
      <c r="C6471" s="32">
        <v>43072.590937499997</v>
      </c>
    </row>
    <row r="6472" spans="1:3">
      <c r="A6472">
        <v>283016</v>
      </c>
      <c r="B6472">
        <v>2355072</v>
      </c>
      <c r="C6472" s="32">
        <v>43071.430219907408</v>
      </c>
    </row>
    <row r="6473" spans="1:3">
      <c r="A6473">
        <v>790435</v>
      </c>
      <c r="B6473">
        <v>3102419</v>
      </c>
      <c r="C6473" s="32">
        <v>43070.194409722222</v>
      </c>
    </row>
    <row r="6474" spans="1:3">
      <c r="A6474">
        <v>833272</v>
      </c>
      <c r="B6474">
        <v>1104592</v>
      </c>
      <c r="C6474" s="32">
        <v>43071.404907407406</v>
      </c>
    </row>
    <row r="6475" spans="1:3">
      <c r="A6475">
        <v>367059</v>
      </c>
      <c r="B6475">
        <v>4672807</v>
      </c>
      <c r="C6475" s="32">
        <v>43071.716574074075</v>
      </c>
    </row>
    <row r="6476" spans="1:3">
      <c r="A6476">
        <v>244885</v>
      </c>
      <c r="B6476">
        <v>3436852</v>
      </c>
      <c r="C6476" s="32">
        <v>43070.519791666666</v>
      </c>
    </row>
    <row r="6477" spans="1:3">
      <c r="A6477">
        <v>479748</v>
      </c>
      <c r="B6477">
        <v>2738312</v>
      </c>
      <c r="C6477" s="32">
        <v>43072.182002314818</v>
      </c>
    </row>
    <row r="6478" spans="1:3">
      <c r="A6478">
        <v>721428</v>
      </c>
      <c r="B6478">
        <v>4690421</v>
      </c>
      <c r="C6478" s="32">
        <v>43070.642141203702</v>
      </c>
    </row>
    <row r="6479" spans="1:3">
      <c r="A6479">
        <v>776442</v>
      </c>
      <c r="B6479">
        <v>3879308</v>
      </c>
      <c r="C6479" s="32">
        <v>43070.494305555556</v>
      </c>
    </row>
    <row r="6480" spans="1:3">
      <c r="A6480">
        <v>466519</v>
      </c>
      <c r="B6480">
        <v>3189162</v>
      </c>
      <c r="C6480" s="32">
        <v>43072.45989583333</v>
      </c>
    </row>
    <row r="6481" spans="1:3">
      <c r="A6481">
        <v>523344</v>
      </c>
      <c r="B6481">
        <v>2440115</v>
      </c>
      <c r="C6481" s="32">
        <v>43071.107638888891</v>
      </c>
    </row>
    <row r="6482" spans="1:3">
      <c r="A6482">
        <v>804634</v>
      </c>
      <c r="B6482">
        <v>2885642</v>
      </c>
      <c r="C6482" s="32">
        <v>43072.181643518517</v>
      </c>
    </row>
    <row r="6483" spans="1:3">
      <c r="A6483">
        <v>864986</v>
      </c>
      <c r="B6483">
        <v>1029459</v>
      </c>
      <c r="C6483" s="32">
        <v>43071.721018518518</v>
      </c>
    </row>
    <row r="6484" spans="1:3">
      <c r="A6484">
        <v>303155</v>
      </c>
      <c r="B6484">
        <v>2693696</v>
      </c>
      <c r="C6484" s="32">
        <v>43072.445798611108</v>
      </c>
    </row>
    <row r="6485" spans="1:3">
      <c r="A6485">
        <v>769994</v>
      </c>
      <c r="B6485">
        <v>405755</v>
      </c>
      <c r="C6485" s="32">
        <v>43070.318611111114</v>
      </c>
    </row>
    <row r="6486" spans="1:3">
      <c r="A6486">
        <v>926983</v>
      </c>
      <c r="B6486">
        <v>4756105</v>
      </c>
      <c r="C6486" s="32">
        <v>43070.566157407404</v>
      </c>
    </row>
    <row r="6487" spans="1:3">
      <c r="A6487">
        <v>581005</v>
      </c>
      <c r="B6487">
        <v>4308141</v>
      </c>
      <c r="C6487" s="32">
        <v>43071.545208333337</v>
      </c>
    </row>
    <row r="6488" spans="1:3">
      <c r="A6488">
        <v>437585</v>
      </c>
      <c r="B6488">
        <v>235534</v>
      </c>
      <c r="C6488" s="32">
        <v>43071.457407407404</v>
      </c>
    </row>
    <row r="6489" spans="1:3">
      <c r="A6489">
        <v>313145</v>
      </c>
      <c r="B6489">
        <v>4391390</v>
      </c>
      <c r="C6489" s="32">
        <v>43071.183449074073</v>
      </c>
    </row>
    <row r="6490" spans="1:3">
      <c r="A6490">
        <v>162086</v>
      </c>
      <c r="B6490">
        <v>4756105</v>
      </c>
      <c r="C6490" s="32">
        <v>43072.125578703701</v>
      </c>
    </row>
    <row r="6491" spans="1:3">
      <c r="A6491">
        <v>97807</v>
      </c>
      <c r="B6491">
        <v>3738615</v>
      </c>
      <c r="C6491" s="32">
        <v>43072.478379629632</v>
      </c>
    </row>
    <row r="6492" spans="1:3">
      <c r="A6492">
        <v>10460</v>
      </c>
      <c r="B6492">
        <v>1029459</v>
      </c>
      <c r="C6492" s="32">
        <v>43070.04892361111</v>
      </c>
    </row>
    <row r="6493" spans="1:3">
      <c r="A6493">
        <v>821044</v>
      </c>
      <c r="B6493">
        <v>1320293</v>
      </c>
      <c r="C6493" s="32">
        <v>43070.55872685185</v>
      </c>
    </row>
    <row r="6494" spans="1:3">
      <c r="A6494">
        <v>153878</v>
      </c>
      <c r="B6494">
        <v>2355072</v>
      </c>
      <c r="C6494" s="32">
        <v>43071.615023148152</v>
      </c>
    </row>
    <row r="6495" spans="1:3">
      <c r="A6495">
        <v>952286</v>
      </c>
      <c r="B6495">
        <v>1397912</v>
      </c>
      <c r="C6495" s="32">
        <v>43072.391446759262</v>
      </c>
    </row>
    <row r="6496" spans="1:3">
      <c r="A6496">
        <v>123973</v>
      </c>
      <c r="B6496">
        <v>3720767</v>
      </c>
      <c r="C6496" s="32">
        <v>43072.320208333331</v>
      </c>
    </row>
    <row r="6497" spans="1:3">
      <c r="A6497">
        <v>197292</v>
      </c>
      <c r="B6497">
        <v>1817004</v>
      </c>
      <c r="C6497" s="32">
        <v>43072.161053240743</v>
      </c>
    </row>
    <row r="6498" spans="1:3">
      <c r="A6498">
        <v>357632</v>
      </c>
      <c r="B6498">
        <v>4022701</v>
      </c>
      <c r="C6498" s="32">
        <v>43072.311712962961</v>
      </c>
    </row>
    <row r="6499" spans="1:3">
      <c r="A6499">
        <v>118009</v>
      </c>
      <c r="B6499">
        <v>4163659</v>
      </c>
      <c r="C6499" s="32">
        <v>43072.454282407409</v>
      </c>
    </row>
    <row r="6500" spans="1:3">
      <c r="A6500">
        <v>315302</v>
      </c>
      <c r="B6500">
        <v>2926020</v>
      </c>
      <c r="C6500" s="32">
        <v>43072.309166666666</v>
      </c>
    </row>
    <row r="6501" spans="1:3">
      <c r="A6501">
        <v>82363</v>
      </c>
      <c r="B6501">
        <v>2355072</v>
      </c>
      <c r="C6501" s="32">
        <v>43072.075532407405</v>
      </c>
    </row>
    <row r="6502" spans="1:3">
      <c r="A6502">
        <v>532782</v>
      </c>
      <c r="B6502">
        <v>4217906</v>
      </c>
      <c r="C6502" s="32">
        <v>43071.591793981483</v>
      </c>
    </row>
    <row r="6503" spans="1:3">
      <c r="A6503">
        <v>95810</v>
      </c>
      <c r="B6503">
        <v>3975787</v>
      </c>
      <c r="C6503" s="32">
        <v>43072.418958333335</v>
      </c>
    </row>
    <row r="6504" spans="1:3">
      <c r="A6504">
        <v>283272</v>
      </c>
      <c r="B6504">
        <v>1080785</v>
      </c>
      <c r="C6504" s="32">
        <v>43072.298854166664</v>
      </c>
    </row>
    <row r="6505" spans="1:3">
      <c r="A6505">
        <v>618536</v>
      </c>
      <c r="B6505">
        <v>1914382</v>
      </c>
      <c r="C6505" s="32">
        <v>43070.506203703706</v>
      </c>
    </row>
    <row r="6506" spans="1:3">
      <c r="A6506">
        <v>788915</v>
      </c>
      <c r="B6506">
        <v>2520771</v>
      </c>
      <c r="C6506" s="32">
        <v>43071.596585648149</v>
      </c>
    </row>
    <row r="6507" spans="1:3">
      <c r="A6507">
        <v>866224</v>
      </c>
      <c r="B6507">
        <v>1379146</v>
      </c>
      <c r="C6507" s="32">
        <v>43071.184861111113</v>
      </c>
    </row>
    <row r="6508" spans="1:3">
      <c r="A6508">
        <v>119653</v>
      </c>
      <c r="B6508">
        <v>1288487</v>
      </c>
      <c r="C6508" s="32">
        <v>43072.040891203702</v>
      </c>
    </row>
    <row r="6509" spans="1:3">
      <c r="A6509">
        <v>61619</v>
      </c>
      <c r="B6509">
        <v>4181361</v>
      </c>
      <c r="C6509" s="32">
        <v>43070.124247685184</v>
      </c>
    </row>
    <row r="6510" spans="1:3">
      <c r="A6510">
        <v>92393</v>
      </c>
      <c r="B6510">
        <v>4602841</v>
      </c>
      <c r="C6510" s="32">
        <v>43069.994398148148</v>
      </c>
    </row>
    <row r="6511" spans="1:3">
      <c r="A6511">
        <v>500471</v>
      </c>
      <c r="B6511">
        <v>3112817</v>
      </c>
      <c r="C6511" s="32">
        <v>43071.736909722225</v>
      </c>
    </row>
    <row r="6512" spans="1:3">
      <c r="A6512">
        <v>44243</v>
      </c>
      <c r="B6512">
        <v>4789432</v>
      </c>
      <c r="C6512" s="32">
        <v>43071.609618055554</v>
      </c>
    </row>
    <row r="6513" spans="1:3">
      <c r="A6513">
        <v>63103</v>
      </c>
      <c r="B6513">
        <v>1265358</v>
      </c>
      <c r="C6513" s="32">
        <v>43072.302581018521</v>
      </c>
    </row>
    <row r="6514" spans="1:3">
      <c r="A6514">
        <v>483096</v>
      </c>
      <c r="B6514">
        <v>2778281</v>
      </c>
      <c r="C6514" s="32">
        <v>43072.66646990741</v>
      </c>
    </row>
    <row r="6515" spans="1:3">
      <c r="A6515">
        <v>255755</v>
      </c>
      <c r="B6515">
        <v>3673049</v>
      </c>
      <c r="C6515" s="32">
        <v>43071.41134259259</v>
      </c>
    </row>
    <row r="6516" spans="1:3">
      <c r="A6516">
        <v>890770</v>
      </c>
      <c r="B6516">
        <v>2939262</v>
      </c>
      <c r="C6516" s="32">
        <v>43072.548148148147</v>
      </c>
    </row>
    <row r="6517" spans="1:3">
      <c r="A6517">
        <v>114247</v>
      </c>
      <c r="B6517">
        <v>1464116</v>
      </c>
      <c r="C6517" s="32">
        <v>43070.57917824074</v>
      </c>
    </row>
    <row r="6518" spans="1:3">
      <c r="A6518">
        <v>566574</v>
      </c>
      <c r="B6518">
        <v>2355072</v>
      </c>
      <c r="C6518" s="32">
        <v>43071.489548611113</v>
      </c>
    </row>
    <row r="6519" spans="1:3">
      <c r="A6519">
        <v>533713</v>
      </c>
      <c r="B6519">
        <v>982926</v>
      </c>
      <c r="C6519" s="32">
        <v>43070.980312500003</v>
      </c>
    </row>
    <row r="6520" spans="1:3">
      <c r="A6520">
        <v>526965</v>
      </c>
      <c r="B6520">
        <v>4022701</v>
      </c>
      <c r="C6520" s="32">
        <v>43071.587106481478</v>
      </c>
    </row>
    <row r="6521" spans="1:3">
      <c r="A6521">
        <v>359001</v>
      </c>
      <c r="B6521">
        <v>3607361</v>
      </c>
      <c r="C6521" s="32">
        <v>43070.25273148148</v>
      </c>
    </row>
    <row r="6522" spans="1:3">
      <c r="A6522">
        <v>810751</v>
      </c>
      <c r="B6522">
        <v>2158079</v>
      </c>
      <c r="C6522" s="32">
        <v>43072.409143518518</v>
      </c>
    </row>
    <row r="6523" spans="1:3">
      <c r="A6523">
        <v>781898</v>
      </c>
      <c r="B6523">
        <v>2640118</v>
      </c>
      <c r="C6523" s="32">
        <v>43071.334780092591</v>
      </c>
    </row>
    <row r="6524" spans="1:3">
      <c r="A6524">
        <v>986016</v>
      </c>
      <c r="B6524">
        <v>4643350</v>
      </c>
      <c r="C6524" s="32">
        <v>43071.918043981481</v>
      </c>
    </row>
    <row r="6525" spans="1:3">
      <c r="A6525">
        <v>42870</v>
      </c>
      <c r="B6525">
        <v>4217906</v>
      </c>
      <c r="C6525" s="32">
        <v>43071.474988425929</v>
      </c>
    </row>
    <row r="6526" spans="1:3">
      <c r="A6526">
        <v>52539</v>
      </c>
      <c r="B6526">
        <v>1320293</v>
      </c>
      <c r="C6526" s="32">
        <v>43072.642233796294</v>
      </c>
    </row>
    <row r="6527" spans="1:3">
      <c r="A6527">
        <v>424984</v>
      </c>
      <c r="B6527">
        <v>2465336</v>
      </c>
      <c r="C6527" s="32">
        <v>43072.077685185184</v>
      </c>
    </row>
    <row r="6528" spans="1:3">
      <c r="A6528">
        <v>790336</v>
      </c>
      <c r="B6528">
        <v>2355072</v>
      </c>
      <c r="C6528" s="32">
        <v>43071.617476851854</v>
      </c>
    </row>
    <row r="6529" spans="1:3">
      <c r="A6529">
        <v>44299</v>
      </c>
      <c r="B6529">
        <v>102272</v>
      </c>
      <c r="C6529" s="32">
        <v>43071.618842592594</v>
      </c>
    </row>
    <row r="6530" spans="1:3">
      <c r="A6530">
        <v>257713</v>
      </c>
      <c r="B6530">
        <v>4244487</v>
      </c>
      <c r="C6530" s="32">
        <v>43070.70716435185</v>
      </c>
    </row>
    <row r="6531" spans="1:3">
      <c r="A6531">
        <v>903890</v>
      </c>
      <c r="B6531">
        <v>1125862</v>
      </c>
      <c r="C6531" s="32">
        <v>43071.284641203703</v>
      </c>
    </row>
    <row r="6532" spans="1:3">
      <c r="A6532">
        <v>486592</v>
      </c>
      <c r="B6532">
        <v>4756105</v>
      </c>
      <c r="C6532" s="32">
        <v>43070.466134259259</v>
      </c>
    </row>
    <row r="6533" spans="1:3">
      <c r="A6533">
        <v>881562</v>
      </c>
      <c r="B6533">
        <v>3459562</v>
      </c>
      <c r="C6533" s="32">
        <v>43071.208587962959</v>
      </c>
    </row>
    <row r="6534" spans="1:3">
      <c r="A6534">
        <v>26822</v>
      </c>
      <c r="B6534">
        <v>570735</v>
      </c>
      <c r="C6534" s="32">
        <v>43071.986863425926</v>
      </c>
    </row>
    <row r="6535" spans="1:3">
      <c r="A6535">
        <v>147000</v>
      </c>
      <c r="B6535">
        <v>4357323</v>
      </c>
      <c r="C6535" s="32">
        <v>43070.666550925926</v>
      </c>
    </row>
    <row r="6536" spans="1:3">
      <c r="A6536">
        <v>733113</v>
      </c>
      <c r="B6536">
        <v>3702593</v>
      </c>
      <c r="C6536" s="32">
        <v>43072.599247685182</v>
      </c>
    </row>
    <row r="6537" spans="1:3">
      <c r="A6537">
        <v>56236</v>
      </c>
      <c r="B6537">
        <v>1548278</v>
      </c>
      <c r="C6537" s="32">
        <v>43071.666527777779</v>
      </c>
    </row>
    <row r="6538" spans="1:3">
      <c r="A6538">
        <v>144138</v>
      </c>
      <c r="B6538">
        <v>1575622</v>
      </c>
      <c r="C6538" s="32">
        <v>43070.594849537039</v>
      </c>
    </row>
    <row r="6539" spans="1:3">
      <c r="A6539">
        <v>586709</v>
      </c>
      <c r="B6539">
        <v>2465336</v>
      </c>
      <c r="C6539" s="32">
        <v>43070.113449074073</v>
      </c>
    </row>
    <row r="6540" spans="1:3">
      <c r="A6540">
        <v>559671</v>
      </c>
      <c r="B6540">
        <v>982926</v>
      </c>
      <c r="C6540" s="32">
        <v>43072.560914351852</v>
      </c>
    </row>
    <row r="6541" spans="1:3">
      <c r="A6541">
        <v>659141</v>
      </c>
      <c r="B6541">
        <v>562852</v>
      </c>
      <c r="C6541" s="32">
        <v>43071.583043981482</v>
      </c>
    </row>
    <row r="6542" spans="1:3">
      <c r="A6542">
        <v>961708</v>
      </c>
      <c r="B6542">
        <v>1216617</v>
      </c>
      <c r="C6542" s="32">
        <v>43070.56391203704</v>
      </c>
    </row>
    <row r="6543" spans="1:3">
      <c r="A6543">
        <v>356989</v>
      </c>
      <c r="B6543">
        <v>3604509</v>
      </c>
      <c r="C6543" s="32">
        <v>43070.724270833336</v>
      </c>
    </row>
    <row r="6544" spans="1:3">
      <c r="A6544">
        <v>505110</v>
      </c>
      <c r="B6544">
        <v>2640118</v>
      </c>
      <c r="C6544" s="32">
        <v>43071.652777777781</v>
      </c>
    </row>
    <row r="6545" spans="1:3">
      <c r="A6545">
        <v>573481</v>
      </c>
      <c r="B6545">
        <v>3299155</v>
      </c>
      <c r="C6545" s="32">
        <v>43071.399537037039</v>
      </c>
    </row>
    <row r="6546" spans="1:3">
      <c r="A6546">
        <v>768420</v>
      </c>
      <c r="B6546">
        <v>3607361</v>
      </c>
      <c r="C6546" s="32">
        <v>43072.616377314815</v>
      </c>
    </row>
    <row r="6547" spans="1:3">
      <c r="A6547">
        <v>900375</v>
      </c>
      <c r="B6547">
        <v>4801426</v>
      </c>
      <c r="C6547" s="32">
        <v>43072.324618055558</v>
      </c>
    </row>
    <row r="6548" spans="1:3">
      <c r="A6548">
        <v>211460</v>
      </c>
      <c r="B6548">
        <v>3607361</v>
      </c>
      <c r="C6548" s="32">
        <v>43071.529756944445</v>
      </c>
    </row>
    <row r="6549" spans="1:3">
      <c r="A6549">
        <v>655852</v>
      </c>
      <c r="B6549">
        <v>4458428</v>
      </c>
      <c r="C6549" s="32">
        <v>43070.67359953704</v>
      </c>
    </row>
    <row r="6550" spans="1:3">
      <c r="A6550">
        <v>304066</v>
      </c>
      <c r="B6550">
        <v>4643350</v>
      </c>
      <c r="C6550" s="32">
        <v>43070.962187500001</v>
      </c>
    </row>
    <row r="6551" spans="1:3">
      <c r="A6551">
        <v>81662</v>
      </c>
      <c r="B6551">
        <v>2145555</v>
      </c>
      <c r="C6551" s="32">
        <v>43070.210219907407</v>
      </c>
    </row>
    <row r="6552" spans="1:3">
      <c r="A6552">
        <v>748598</v>
      </c>
      <c r="B6552">
        <v>1567637</v>
      </c>
      <c r="C6552" s="32">
        <v>43072.083645833336</v>
      </c>
    </row>
    <row r="6553" spans="1:3">
      <c r="A6553">
        <v>209751</v>
      </c>
      <c r="B6553">
        <v>3789342</v>
      </c>
      <c r="C6553" s="32">
        <v>43072.61377314815</v>
      </c>
    </row>
    <row r="6554" spans="1:3">
      <c r="A6554">
        <v>416406</v>
      </c>
      <c r="B6554">
        <v>3720767</v>
      </c>
      <c r="C6554" s="32">
        <v>43070.509108796294</v>
      </c>
    </row>
    <row r="6555" spans="1:3">
      <c r="A6555">
        <v>120836</v>
      </c>
      <c r="B6555">
        <v>2355072</v>
      </c>
      <c r="C6555" s="32">
        <v>43069.670324074075</v>
      </c>
    </row>
    <row r="6556" spans="1:3">
      <c r="A6556">
        <v>102402</v>
      </c>
      <c r="B6556">
        <v>2355072</v>
      </c>
      <c r="C6556" s="32">
        <v>43071.213807870372</v>
      </c>
    </row>
    <row r="6557" spans="1:3">
      <c r="A6557">
        <v>237552</v>
      </c>
      <c r="B6557">
        <v>2612027</v>
      </c>
      <c r="C6557" s="32">
        <v>43071.527951388889</v>
      </c>
    </row>
    <row r="6558" spans="1:3">
      <c r="A6558">
        <v>817834</v>
      </c>
      <c r="B6558">
        <v>4801426</v>
      </c>
      <c r="C6558" s="32">
        <v>43071.648460648146</v>
      </c>
    </row>
    <row r="6559" spans="1:3">
      <c r="A6559">
        <v>579882</v>
      </c>
      <c r="B6559">
        <v>4263418</v>
      </c>
      <c r="C6559" s="32">
        <v>43072.425127314818</v>
      </c>
    </row>
    <row r="6560" spans="1:3">
      <c r="A6560">
        <v>364866</v>
      </c>
      <c r="B6560">
        <v>3607361</v>
      </c>
      <c r="C6560" s="32">
        <v>43071.366620370369</v>
      </c>
    </row>
    <row r="6561" spans="1:3">
      <c r="A6561">
        <v>401044</v>
      </c>
      <c r="B6561">
        <v>4728774</v>
      </c>
      <c r="C6561" s="32">
        <v>43070.690567129626</v>
      </c>
    </row>
    <row r="6562" spans="1:3">
      <c r="A6562">
        <v>885031</v>
      </c>
      <c r="B6562">
        <v>3108044</v>
      </c>
      <c r="C6562" s="32">
        <v>43071.609988425924</v>
      </c>
    </row>
    <row r="6563" spans="1:3">
      <c r="A6563">
        <v>1015668</v>
      </c>
      <c r="B6563">
        <v>50601</v>
      </c>
      <c r="C6563" s="32">
        <v>43071.538402777776</v>
      </c>
    </row>
    <row r="6564" spans="1:3">
      <c r="A6564">
        <v>448101</v>
      </c>
      <c r="B6564">
        <v>1216617</v>
      </c>
      <c r="C6564" s="32">
        <v>43072.268009259256</v>
      </c>
    </row>
    <row r="6565" spans="1:3">
      <c r="A6565">
        <v>108850</v>
      </c>
      <c r="B6565">
        <v>149192</v>
      </c>
      <c r="C6565" s="32">
        <v>43072.333032407405</v>
      </c>
    </row>
    <row r="6566" spans="1:3">
      <c r="A6566">
        <v>147471</v>
      </c>
      <c r="B6566">
        <v>331892</v>
      </c>
      <c r="C6566" s="32">
        <v>43072.173055555555</v>
      </c>
    </row>
    <row r="6567" spans="1:3">
      <c r="A6567">
        <v>68424</v>
      </c>
      <c r="B6567">
        <v>674009</v>
      </c>
      <c r="C6567" s="32">
        <v>43071.594664351855</v>
      </c>
    </row>
    <row r="6568" spans="1:3">
      <c r="A6568">
        <v>151201</v>
      </c>
      <c r="B6568">
        <v>2612027</v>
      </c>
      <c r="C6568" s="32">
        <v>43071.6096412037</v>
      </c>
    </row>
    <row r="6569" spans="1:3">
      <c r="A6569">
        <v>50071</v>
      </c>
      <c r="B6569">
        <v>982926</v>
      </c>
      <c r="C6569" s="32">
        <v>43071.459988425922</v>
      </c>
    </row>
    <row r="6570" spans="1:3">
      <c r="A6570">
        <v>463175</v>
      </c>
      <c r="B6570">
        <v>3002561</v>
      </c>
      <c r="C6570" s="32">
        <v>43071.613229166665</v>
      </c>
    </row>
    <row r="6571" spans="1:3">
      <c r="A6571">
        <v>743006</v>
      </c>
      <c r="B6571">
        <v>982926</v>
      </c>
      <c r="C6571" s="32">
        <v>43071.933969907404</v>
      </c>
    </row>
    <row r="6572" spans="1:3">
      <c r="A6572">
        <v>117798</v>
      </c>
      <c r="B6572">
        <v>4145813</v>
      </c>
      <c r="C6572" s="32">
        <v>43071.765752314815</v>
      </c>
    </row>
    <row r="6573" spans="1:3">
      <c r="A6573">
        <v>383401</v>
      </c>
      <c r="B6573">
        <v>235534</v>
      </c>
      <c r="C6573" s="32">
        <v>43072.539664351854</v>
      </c>
    </row>
    <row r="6574" spans="1:3">
      <c r="A6574">
        <v>458248</v>
      </c>
      <c r="B6574">
        <v>2735466</v>
      </c>
      <c r="C6574" s="32">
        <v>43071.30572916667</v>
      </c>
    </row>
    <row r="6575" spans="1:3">
      <c r="A6575">
        <v>816542</v>
      </c>
      <c r="B6575">
        <v>4022701</v>
      </c>
      <c r="C6575" s="32">
        <v>43070.270682870374</v>
      </c>
    </row>
    <row r="6576" spans="1:3">
      <c r="A6576">
        <v>747560</v>
      </c>
      <c r="B6576">
        <v>2585015</v>
      </c>
      <c r="C6576" s="32">
        <v>43071.664930555555</v>
      </c>
    </row>
    <row r="6577" spans="1:3">
      <c r="A6577">
        <v>857490</v>
      </c>
      <c r="B6577">
        <v>2072473</v>
      </c>
      <c r="C6577" s="32">
        <v>43071.665729166663</v>
      </c>
    </row>
    <row r="6578" spans="1:3">
      <c r="A6578">
        <v>729443</v>
      </c>
      <c r="B6578">
        <v>4050612</v>
      </c>
      <c r="C6578" s="32">
        <v>43072.046122685184</v>
      </c>
    </row>
    <row r="6579" spans="1:3">
      <c r="A6579">
        <v>4113</v>
      </c>
      <c r="B6579">
        <v>2465336</v>
      </c>
      <c r="C6579" s="32">
        <v>43072.164375</v>
      </c>
    </row>
    <row r="6580" spans="1:3">
      <c r="A6580">
        <v>117039</v>
      </c>
      <c r="B6580">
        <v>583014</v>
      </c>
      <c r="C6580" s="32">
        <v>43070.664050925923</v>
      </c>
    </row>
    <row r="6581" spans="1:3">
      <c r="A6581">
        <v>327156</v>
      </c>
      <c r="B6581">
        <v>4756105</v>
      </c>
      <c r="C6581" s="32">
        <v>43071.666817129626</v>
      </c>
    </row>
    <row r="6582" spans="1:3">
      <c r="A6582">
        <v>911449</v>
      </c>
      <c r="B6582">
        <v>3607361</v>
      </c>
      <c r="C6582" s="32">
        <v>43071.284872685188</v>
      </c>
    </row>
    <row r="6583" spans="1:3">
      <c r="A6583">
        <v>805912</v>
      </c>
      <c r="B6583">
        <v>2355072</v>
      </c>
      <c r="C6583" s="32">
        <v>43070.595127314817</v>
      </c>
    </row>
    <row r="6584" spans="1:3">
      <c r="A6584">
        <v>909989</v>
      </c>
      <c r="B6584">
        <v>341057</v>
      </c>
      <c r="C6584" s="32">
        <v>43070.865266203706</v>
      </c>
    </row>
    <row r="6585" spans="1:3">
      <c r="A6585">
        <v>165496</v>
      </c>
      <c r="B6585">
        <v>2520377</v>
      </c>
      <c r="C6585" s="32">
        <v>43070.619363425925</v>
      </c>
    </row>
    <row r="6586" spans="1:3">
      <c r="A6586">
        <v>940836</v>
      </c>
      <c r="B6586">
        <v>2355072</v>
      </c>
      <c r="C6586" s="32">
        <v>43071.815034722225</v>
      </c>
    </row>
    <row r="6587" spans="1:3">
      <c r="A6587">
        <v>789168</v>
      </c>
      <c r="B6587">
        <v>4145813</v>
      </c>
      <c r="C6587" s="32">
        <v>43070.126458333332</v>
      </c>
    </row>
    <row r="6588" spans="1:3">
      <c r="A6588">
        <v>791811</v>
      </c>
      <c r="B6588">
        <v>2106073</v>
      </c>
      <c r="C6588" s="32">
        <v>43071.609675925924</v>
      </c>
    </row>
    <row r="6589" spans="1:3">
      <c r="A6589">
        <v>587267</v>
      </c>
      <c r="B6589">
        <v>1859277</v>
      </c>
      <c r="C6589" s="32">
        <v>43070.565972222219</v>
      </c>
    </row>
    <row r="6590" spans="1:3">
      <c r="A6590">
        <v>69753</v>
      </c>
      <c r="B6590">
        <v>1299190</v>
      </c>
      <c r="C6590" s="32">
        <v>43070.662893518522</v>
      </c>
    </row>
    <row r="6591" spans="1:3">
      <c r="A6591">
        <v>222115</v>
      </c>
      <c r="B6591">
        <v>392182</v>
      </c>
      <c r="C6591" s="32">
        <v>43072.658368055556</v>
      </c>
    </row>
    <row r="6592" spans="1:3">
      <c r="A6592">
        <v>907206</v>
      </c>
      <c r="B6592">
        <v>841696</v>
      </c>
      <c r="C6592" s="32">
        <v>43071.806979166664</v>
      </c>
    </row>
    <row r="6593" spans="1:3">
      <c r="A6593">
        <v>603500</v>
      </c>
      <c r="B6593">
        <v>3255355</v>
      </c>
      <c r="C6593" s="32">
        <v>43072.635937500003</v>
      </c>
    </row>
    <row r="6594" spans="1:3">
      <c r="A6594">
        <v>414240</v>
      </c>
      <c r="B6594">
        <v>4181361</v>
      </c>
      <c r="C6594" s="32">
        <v>43070.479270833333</v>
      </c>
    </row>
    <row r="6595" spans="1:3">
      <c r="A6595">
        <v>703700</v>
      </c>
      <c r="B6595">
        <v>2465336</v>
      </c>
      <c r="C6595" s="32">
        <v>43071.665752314817</v>
      </c>
    </row>
    <row r="6596" spans="1:3">
      <c r="A6596">
        <v>381026</v>
      </c>
      <c r="B6596">
        <v>1575622</v>
      </c>
      <c r="C6596" s="32">
        <v>43071.027708333335</v>
      </c>
    </row>
    <row r="6597" spans="1:3">
      <c r="A6597">
        <v>501387</v>
      </c>
      <c r="B6597">
        <v>1464116</v>
      </c>
      <c r="C6597" s="32">
        <v>43070.607129629629</v>
      </c>
    </row>
    <row r="6598" spans="1:3">
      <c r="A6598">
        <v>592337</v>
      </c>
      <c r="B6598">
        <v>4756105</v>
      </c>
      <c r="C6598" s="32">
        <v>43070.588310185187</v>
      </c>
    </row>
    <row r="6599" spans="1:3">
      <c r="A6599">
        <v>989221</v>
      </c>
      <c r="B6599">
        <v>4202143</v>
      </c>
      <c r="C6599" s="32">
        <v>43069.717175925929</v>
      </c>
    </row>
    <row r="6600" spans="1:3">
      <c r="A6600">
        <v>172823</v>
      </c>
      <c r="B6600">
        <v>3736316</v>
      </c>
      <c r="C6600" s="32">
        <v>43070.655092592591</v>
      </c>
    </row>
    <row r="6601" spans="1:3">
      <c r="A6601">
        <v>1003897</v>
      </c>
      <c r="B6601">
        <v>4138583</v>
      </c>
      <c r="C6601" s="32">
        <v>43072.363310185188</v>
      </c>
    </row>
    <row r="6602" spans="1:3">
      <c r="A6602">
        <v>430966</v>
      </c>
      <c r="B6602">
        <v>1080785</v>
      </c>
      <c r="C6602" s="32">
        <v>43071.249722222223</v>
      </c>
    </row>
    <row r="6603" spans="1:3">
      <c r="A6603">
        <v>789668</v>
      </c>
      <c r="B6603">
        <v>4135836</v>
      </c>
      <c r="C6603" s="32">
        <v>43071.056168981479</v>
      </c>
    </row>
    <row r="6604" spans="1:3">
      <c r="A6604">
        <v>858311</v>
      </c>
      <c r="B6604">
        <v>3457718</v>
      </c>
      <c r="C6604" s="32">
        <v>43071.567743055559</v>
      </c>
    </row>
    <row r="6605" spans="1:3">
      <c r="A6605">
        <v>10332</v>
      </c>
      <c r="B6605">
        <v>4357323</v>
      </c>
      <c r="C6605" s="32">
        <v>43071.681504629632</v>
      </c>
    </row>
    <row r="6606" spans="1:3">
      <c r="A6606">
        <v>340848</v>
      </c>
      <c r="B6606">
        <v>4969568</v>
      </c>
      <c r="C6606" s="32">
        <v>43070.611898148149</v>
      </c>
    </row>
    <row r="6607" spans="1:3">
      <c r="A6607">
        <v>257735</v>
      </c>
      <c r="B6607">
        <v>2096639</v>
      </c>
      <c r="C6607" s="32">
        <v>43071.488518518519</v>
      </c>
    </row>
    <row r="6608" spans="1:3">
      <c r="A6608">
        <v>943917</v>
      </c>
      <c r="B6608">
        <v>238434</v>
      </c>
      <c r="C6608" s="32">
        <v>43070.223321759258</v>
      </c>
    </row>
    <row r="6609" spans="1:3">
      <c r="A6609">
        <v>42686</v>
      </c>
      <c r="B6609">
        <v>4756105</v>
      </c>
      <c r="C6609" s="32">
        <v>43071.625115740739</v>
      </c>
    </row>
    <row r="6610" spans="1:3">
      <c r="A6610">
        <v>180441</v>
      </c>
      <c r="B6610">
        <v>3108044</v>
      </c>
      <c r="C6610" s="32">
        <v>43072.47755787037</v>
      </c>
    </row>
    <row r="6611" spans="1:3">
      <c r="A6611">
        <v>88008</v>
      </c>
      <c r="B6611">
        <v>3738615</v>
      </c>
      <c r="C6611" s="32">
        <v>43072.534004629626</v>
      </c>
    </row>
    <row r="6612" spans="1:3">
      <c r="A6612">
        <v>353171</v>
      </c>
      <c r="B6612">
        <v>4643350</v>
      </c>
      <c r="C6612" s="32">
        <v>43071.367928240739</v>
      </c>
    </row>
    <row r="6613" spans="1:3">
      <c r="A6613">
        <v>308616</v>
      </c>
      <c r="B6613">
        <v>4756105</v>
      </c>
      <c r="C6613" s="32">
        <v>43071.126886574071</v>
      </c>
    </row>
    <row r="6614" spans="1:3">
      <c r="A6614">
        <v>76789</v>
      </c>
      <c r="B6614">
        <v>722797</v>
      </c>
      <c r="C6614" s="32">
        <v>43071.684363425928</v>
      </c>
    </row>
    <row r="6615" spans="1:3">
      <c r="A6615">
        <v>1006907</v>
      </c>
      <c r="B6615">
        <v>2030976</v>
      </c>
      <c r="C6615" s="32">
        <v>43070.571840277778</v>
      </c>
    </row>
    <row r="6616" spans="1:3">
      <c r="A6616">
        <v>534529</v>
      </c>
      <c r="B6616">
        <v>1957261</v>
      </c>
      <c r="C6616" s="32">
        <v>43071.587557870371</v>
      </c>
    </row>
    <row r="6617" spans="1:3">
      <c r="A6617">
        <v>498611</v>
      </c>
      <c r="B6617">
        <v>1994940</v>
      </c>
      <c r="C6617" s="32">
        <v>43071.626307870371</v>
      </c>
    </row>
    <row r="6618" spans="1:3">
      <c r="A6618">
        <v>164497</v>
      </c>
      <c r="B6618">
        <v>4756105</v>
      </c>
      <c r="C6618" s="32">
        <v>43070.322534722225</v>
      </c>
    </row>
    <row r="6619" spans="1:3">
      <c r="A6619">
        <v>597241</v>
      </c>
      <c r="B6619">
        <v>846990</v>
      </c>
      <c r="C6619" s="32">
        <v>43071.438622685186</v>
      </c>
    </row>
    <row r="6620" spans="1:3">
      <c r="A6620">
        <v>812671</v>
      </c>
      <c r="B6620">
        <v>4756105</v>
      </c>
      <c r="C6620" s="32">
        <v>43070.607106481482</v>
      </c>
    </row>
    <row r="6621" spans="1:3">
      <c r="A6621">
        <v>157118</v>
      </c>
      <c r="B6621">
        <v>1379146</v>
      </c>
      <c r="C6621" s="32">
        <v>43072.512662037036</v>
      </c>
    </row>
    <row r="6622" spans="1:3">
      <c r="A6622">
        <v>461489</v>
      </c>
      <c r="B6622">
        <v>285583</v>
      </c>
      <c r="C6622" s="32">
        <v>43070.138113425928</v>
      </c>
    </row>
    <row r="6623" spans="1:3">
      <c r="A6623">
        <v>728526</v>
      </c>
      <c r="B6623">
        <v>4643350</v>
      </c>
      <c r="C6623" s="32">
        <v>43070.127164351848</v>
      </c>
    </row>
    <row r="6624" spans="1:3">
      <c r="A6624">
        <v>263307</v>
      </c>
      <c r="B6624">
        <v>2520377</v>
      </c>
      <c r="C6624" s="32">
        <v>43072.275416666664</v>
      </c>
    </row>
    <row r="6625" spans="1:3">
      <c r="A6625">
        <v>485821</v>
      </c>
      <c r="B6625">
        <v>4801426</v>
      </c>
      <c r="C6625" s="32">
        <v>43071.553969907407</v>
      </c>
    </row>
    <row r="6626" spans="1:3">
      <c r="A6626">
        <v>321241</v>
      </c>
      <c r="B6626">
        <v>1265358</v>
      </c>
      <c r="C6626" s="32">
        <v>43071.586851851855</v>
      </c>
    </row>
    <row r="6627" spans="1:3">
      <c r="A6627">
        <v>942965</v>
      </c>
      <c r="B6627">
        <v>4145813</v>
      </c>
      <c r="C6627" s="32">
        <v>43070.117974537039</v>
      </c>
    </row>
    <row r="6628" spans="1:3">
      <c r="A6628">
        <v>905352</v>
      </c>
      <c r="B6628">
        <v>2640118</v>
      </c>
      <c r="C6628" s="32">
        <v>43072.072743055556</v>
      </c>
    </row>
    <row r="6629" spans="1:3">
      <c r="A6629">
        <v>735331</v>
      </c>
      <c r="B6629">
        <v>2885642</v>
      </c>
      <c r="C6629" s="32">
        <v>43070.144293981481</v>
      </c>
    </row>
    <row r="6630" spans="1:3">
      <c r="A6630">
        <v>954920</v>
      </c>
      <c r="B6630">
        <v>3385002</v>
      </c>
      <c r="C6630" s="32">
        <v>43071.104027777779</v>
      </c>
    </row>
    <row r="6631" spans="1:3">
      <c r="A6631">
        <v>192842</v>
      </c>
      <c r="B6631">
        <v>982926</v>
      </c>
      <c r="C6631" s="32">
        <v>43072.317118055558</v>
      </c>
    </row>
    <row r="6632" spans="1:3">
      <c r="A6632">
        <v>186320</v>
      </c>
      <c r="B6632">
        <v>3090850</v>
      </c>
      <c r="C6632" s="32">
        <v>43072.333935185183</v>
      </c>
    </row>
    <row r="6633" spans="1:3">
      <c r="A6633">
        <v>496610</v>
      </c>
      <c r="B6633">
        <v>982926</v>
      </c>
      <c r="C6633" s="32">
        <v>43070.461956018517</v>
      </c>
    </row>
    <row r="6634" spans="1:3">
      <c r="A6634">
        <v>522661</v>
      </c>
      <c r="B6634">
        <v>4357323</v>
      </c>
      <c r="C6634" s="32">
        <v>43071.556793981479</v>
      </c>
    </row>
    <row r="6635" spans="1:3">
      <c r="A6635">
        <v>983352</v>
      </c>
      <c r="B6635">
        <v>2440115</v>
      </c>
      <c r="C6635" s="32">
        <v>43071.822546296295</v>
      </c>
    </row>
    <row r="6636" spans="1:3">
      <c r="A6636">
        <v>500886</v>
      </c>
      <c r="B6636">
        <v>982926</v>
      </c>
      <c r="C6636" s="32">
        <v>43070.168379629627</v>
      </c>
    </row>
    <row r="6637" spans="1:3">
      <c r="A6637">
        <v>857716</v>
      </c>
      <c r="B6637">
        <v>2579035</v>
      </c>
      <c r="C6637" s="32">
        <v>43071.082696759258</v>
      </c>
    </row>
    <row r="6638" spans="1:3">
      <c r="A6638">
        <v>678101</v>
      </c>
      <c r="B6638">
        <v>1080785</v>
      </c>
      <c r="C6638" s="32">
        <v>43070.380810185183</v>
      </c>
    </row>
    <row r="6639" spans="1:3">
      <c r="A6639">
        <v>362824</v>
      </c>
      <c r="B6639">
        <v>2271402</v>
      </c>
      <c r="C6639" s="32">
        <v>43070.104062500002</v>
      </c>
    </row>
    <row r="6640" spans="1:3">
      <c r="A6640">
        <v>308616</v>
      </c>
      <c r="B6640">
        <v>2465336</v>
      </c>
      <c r="C6640" s="32">
        <v>43071.139363425929</v>
      </c>
    </row>
    <row r="6641" spans="1:3">
      <c r="A6641">
        <v>595842</v>
      </c>
      <c r="B6641">
        <v>295183</v>
      </c>
      <c r="C6641" s="32">
        <v>43071.565879629627</v>
      </c>
    </row>
    <row r="6642" spans="1:3">
      <c r="A6642">
        <v>663219</v>
      </c>
      <c r="B6642">
        <v>672001</v>
      </c>
      <c r="C6642" s="32">
        <v>43072.39398148148</v>
      </c>
    </row>
    <row r="6643" spans="1:3">
      <c r="A6643">
        <v>258212</v>
      </c>
      <c r="B6643">
        <v>965809</v>
      </c>
      <c r="C6643" s="32">
        <v>43070.649641203701</v>
      </c>
    </row>
    <row r="6644" spans="1:3">
      <c r="A6644">
        <v>36202</v>
      </c>
      <c r="B6644">
        <v>4756105</v>
      </c>
      <c r="C6644" s="32">
        <v>43070.661886574075</v>
      </c>
    </row>
    <row r="6645" spans="1:3">
      <c r="A6645">
        <v>169276</v>
      </c>
      <c r="B6645">
        <v>2453525</v>
      </c>
      <c r="C6645" s="32">
        <v>43071.320520833331</v>
      </c>
    </row>
    <row r="6646" spans="1:3">
      <c r="A6646">
        <v>118901</v>
      </c>
      <c r="B6646">
        <v>2520771</v>
      </c>
      <c r="C6646" s="32">
        <v>43072.037928240738</v>
      </c>
    </row>
    <row r="6647" spans="1:3">
      <c r="A6647">
        <v>762061</v>
      </c>
      <c r="B6647">
        <v>2735466</v>
      </c>
      <c r="C6647" s="32">
        <v>43071.481909722221</v>
      </c>
    </row>
    <row r="6648" spans="1:3">
      <c r="A6648">
        <v>817548</v>
      </c>
      <c r="B6648">
        <v>2196412</v>
      </c>
      <c r="C6648" s="32">
        <v>43070.525046296294</v>
      </c>
    </row>
    <row r="6649" spans="1:3">
      <c r="A6649">
        <v>688208</v>
      </c>
      <c r="B6649">
        <v>4082778</v>
      </c>
      <c r="C6649" s="32">
        <v>43071.176851851851</v>
      </c>
    </row>
    <row r="6650" spans="1:3">
      <c r="A6650">
        <v>413123</v>
      </c>
      <c r="B6650">
        <v>1928278</v>
      </c>
      <c r="C6650" s="32">
        <v>43071.47457175926</v>
      </c>
    </row>
    <row r="6651" spans="1:3">
      <c r="A6651">
        <v>305593</v>
      </c>
      <c r="B6651">
        <v>245312</v>
      </c>
      <c r="C6651" s="32">
        <v>43071.054108796299</v>
      </c>
    </row>
    <row r="6652" spans="1:3">
      <c r="A6652">
        <v>748102</v>
      </c>
      <c r="B6652">
        <v>4358542</v>
      </c>
      <c r="C6652" s="32">
        <v>43070.419594907406</v>
      </c>
    </row>
    <row r="6653" spans="1:3">
      <c r="A6653">
        <v>417942</v>
      </c>
      <c r="B6653">
        <v>3112817</v>
      </c>
      <c r="C6653" s="32">
        <v>43070.683611111112</v>
      </c>
    </row>
    <row r="6654" spans="1:3">
      <c r="A6654">
        <v>842487</v>
      </c>
      <c r="B6654">
        <v>866301</v>
      </c>
      <c r="C6654" s="32">
        <v>43071.033194444448</v>
      </c>
    </row>
    <row r="6655" spans="1:3">
      <c r="A6655">
        <v>956018</v>
      </c>
      <c r="B6655">
        <v>1397912</v>
      </c>
      <c r="C6655" s="32">
        <v>43071.438275462962</v>
      </c>
    </row>
    <row r="6656" spans="1:3">
      <c r="A6656">
        <v>149216</v>
      </c>
      <c r="B6656">
        <v>2885642</v>
      </c>
      <c r="C6656" s="32">
        <v>43071.321168981478</v>
      </c>
    </row>
    <row r="6657" spans="1:3">
      <c r="A6657">
        <v>482779</v>
      </c>
      <c r="B6657">
        <v>4801426</v>
      </c>
      <c r="C6657" s="32">
        <v>43071.509710648148</v>
      </c>
    </row>
    <row r="6658" spans="1:3">
      <c r="A6658">
        <v>50956</v>
      </c>
      <c r="B6658">
        <v>1320293</v>
      </c>
      <c r="C6658" s="32">
        <v>43071.614039351851</v>
      </c>
    </row>
    <row r="6659" spans="1:3">
      <c r="A6659">
        <v>943511</v>
      </c>
      <c r="B6659">
        <v>1637260</v>
      </c>
      <c r="C6659" s="32">
        <v>43070.597453703704</v>
      </c>
    </row>
    <row r="6660" spans="1:3">
      <c r="A6660">
        <v>933071</v>
      </c>
      <c r="B6660">
        <v>4756105</v>
      </c>
      <c r="C6660" s="32">
        <v>43072.030277777776</v>
      </c>
    </row>
    <row r="6661" spans="1:3">
      <c r="A6661">
        <v>868450</v>
      </c>
      <c r="B6661">
        <v>2465336</v>
      </c>
      <c r="C6661" s="32">
        <v>43071.323067129626</v>
      </c>
    </row>
    <row r="6662" spans="1:3">
      <c r="A6662">
        <v>67407</v>
      </c>
      <c r="B6662">
        <v>982926</v>
      </c>
      <c r="C6662" s="32">
        <v>43072.621180555558</v>
      </c>
    </row>
    <row r="6663" spans="1:3">
      <c r="A6663">
        <v>111854</v>
      </c>
      <c r="B6663">
        <v>4191275</v>
      </c>
      <c r="C6663" s="32">
        <v>43069.754305555558</v>
      </c>
    </row>
    <row r="6664" spans="1:3">
      <c r="A6664">
        <v>821044</v>
      </c>
      <c r="B6664">
        <v>3607361</v>
      </c>
      <c r="C6664" s="32">
        <v>43072.112766203703</v>
      </c>
    </row>
    <row r="6665" spans="1:3">
      <c r="A6665">
        <v>978008</v>
      </c>
      <c r="B6665">
        <v>1812506</v>
      </c>
      <c r="C6665" s="32">
        <v>43071.616215277776</v>
      </c>
    </row>
    <row r="6666" spans="1:3">
      <c r="A6666">
        <v>741553</v>
      </c>
      <c r="B6666">
        <v>1879194</v>
      </c>
      <c r="C6666" s="32">
        <v>43069.949560185189</v>
      </c>
    </row>
    <row r="6667" spans="1:3">
      <c r="A6667">
        <v>49687</v>
      </c>
      <c r="B6667">
        <v>1879194</v>
      </c>
      <c r="C6667" s="32">
        <v>43071.433946759258</v>
      </c>
    </row>
    <row r="6668" spans="1:3">
      <c r="A6668">
        <v>720359</v>
      </c>
      <c r="B6668">
        <v>2578647</v>
      </c>
      <c r="C6668" s="32">
        <v>43071.63857638889</v>
      </c>
    </row>
    <row r="6669" spans="1:3">
      <c r="A6669">
        <v>428670</v>
      </c>
      <c r="B6669">
        <v>4801426</v>
      </c>
      <c r="C6669" s="32">
        <v>43072.223773148151</v>
      </c>
    </row>
    <row r="6670" spans="1:3">
      <c r="A6670">
        <v>851084</v>
      </c>
      <c r="B6670">
        <v>5053508</v>
      </c>
      <c r="C6670" s="32">
        <v>43071.173159722224</v>
      </c>
    </row>
    <row r="6671" spans="1:3">
      <c r="A6671">
        <v>706713</v>
      </c>
      <c r="B6671">
        <v>1216617</v>
      </c>
      <c r="C6671" s="32">
        <v>43072.16202546296</v>
      </c>
    </row>
    <row r="6672" spans="1:3">
      <c r="A6672">
        <v>848223</v>
      </c>
      <c r="B6672">
        <v>3504022</v>
      </c>
      <c r="C6672" s="32">
        <v>43071.288275462961</v>
      </c>
    </row>
    <row r="6673" spans="1:3">
      <c r="A6673">
        <v>463695</v>
      </c>
      <c r="B6673">
        <v>982926</v>
      </c>
      <c r="C6673" s="32">
        <v>43071.568159722221</v>
      </c>
    </row>
    <row r="6674" spans="1:3">
      <c r="A6674">
        <v>990934</v>
      </c>
      <c r="B6674">
        <v>2939262</v>
      </c>
      <c r="C6674" s="32">
        <v>43070.102858796294</v>
      </c>
    </row>
    <row r="6675" spans="1:3">
      <c r="A6675">
        <v>722093</v>
      </c>
      <c r="B6675">
        <v>3299155</v>
      </c>
      <c r="C6675" s="32">
        <v>43072.572592592594</v>
      </c>
    </row>
    <row r="6676" spans="1:3">
      <c r="A6676">
        <v>359974</v>
      </c>
      <c r="B6676">
        <v>3118167</v>
      </c>
      <c r="C6676" s="32">
        <v>43071.208831018521</v>
      </c>
    </row>
    <row r="6677" spans="1:3">
      <c r="A6677">
        <v>1007433</v>
      </c>
      <c r="B6677">
        <v>3917972</v>
      </c>
      <c r="C6677" s="32">
        <v>43070.582326388889</v>
      </c>
    </row>
    <row r="6678" spans="1:3">
      <c r="A6678">
        <v>668970</v>
      </c>
      <c r="B6678">
        <v>4962280</v>
      </c>
      <c r="C6678" s="32">
        <v>43070.33252314815</v>
      </c>
    </row>
    <row r="6679" spans="1:3">
      <c r="A6679">
        <v>412804</v>
      </c>
      <c r="B6679">
        <v>2465336</v>
      </c>
      <c r="C6679" s="32">
        <v>43071.21025462963</v>
      </c>
    </row>
    <row r="6680" spans="1:3">
      <c r="A6680">
        <v>780485</v>
      </c>
      <c r="B6680">
        <v>4756105</v>
      </c>
      <c r="C6680" s="32">
        <v>43071.131909722222</v>
      </c>
    </row>
    <row r="6681" spans="1:3">
      <c r="A6681">
        <v>919108</v>
      </c>
      <c r="B6681">
        <v>4244487</v>
      </c>
      <c r="C6681" s="32">
        <v>43072.489305555559</v>
      </c>
    </row>
    <row r="6682" spans="1:3">
      <c r="A6682">
        <v>973807</v>
      </c>
      <c r="B6682">
        <v>4069500</v>
      </c>
      <c r="C6682" s="32">
        <v>43070.007465277777</v>
      </c>
    </row>
    <row r="6683" spans="1:3">
      <c r="A6683">
        <v>877669</v>
      </c>
      <c r="B6683">
        <v>3158249</v>
      </c>
      <c r="C6683" s="32">
        <v>43072.422106481485</v>
      </c>
    </row>
    <row r="6684" spans="1:3">
      <c r="A6684">
        <v>504946</v>
      </c>
      <c r="B6684">
        <v>3002561</v>
      </c>
      <c r="C6684" s="32">
        <v>43069.695648148147</v>
      </c>
    </row>
    <row r="6685" spans="1:3">
      <c r="A6685">
        <v>123529</v>
      </c>
      <c r="B6685">
        <v>3844144</v>
      </c>
      <c r="C6685" s="32">
        <v>43070.47320601852</v>
      </c>
    </row>
    <row r="6686" spans="1:3">
      <c r="A6686">
        <v>584028</v>
      </c>
      <c r="B6686">
        <v>846990</v>
      </c>
      <c r="C6686" s="32">
        <v>43072.325752314813</v>
      </c>
    </row>
    <row r="6687" spans="1:3">
      <c r="A6687">
        <v>709637</v>
      </c>
      <c r="B6687">
        <v>285583</v>
      </c>
      <c r="C6687" s="32">
        <v>43071.207673611112</v>
      </c>
    </row>
    <row r="6688" spans="1:3">
      <c r="A6688">
        <v>712232</v>
      </c>
      <c r="B6688">
        <v>1884322</v>
      </c>
      <c r="C6688" s="32">
        <v>43072.578738425924</v>
      </c>
    </row>
    <row r="6689" spans="1:3">
      <c r="A6689">
        <v>623723</v>
      </c>
      <c r="B6689">
        <v>4756105</v>
      </c>
      <c r="C6689" s="32">
        <v>43072.628634259258</v>
      </c>
    </row>
    <row r="6690" spans="1:3">
      <c r="A6690">
        <v>121986</v>
      </c>
      <c r="B6690">
        <v>1631778</v>
      </c>
      <c r="C6690" s="32">
        <v>43071.137754629628</v>
      </c>
    </row>
    <row r="6691" spans="1:3">
      <c r="A6691">
        <v>654601</v>
      </c>
      <c r="B6691">
        <v>2939262</v>
      </c>
      <c r="C6691" s="32">
        <v>43071.895972222221</v>
      </c>
    </row>
    <row r="6692" spans="1:3">
      <c r="A6692">
        <v>183071</v>
      </c>
      <c r="B6692">
        <v>3607361</v>
      </c>
      <c r="C6692" s="32">
        <v>43071.558541666665</v>
      </c>
    </row>
    <row r="6693" spans="1:3">
      <c r="A6693">
        <v>33707</v>
      </c>
      <c r="B6693">
        <v>2452793</v>
      </c>
      <c r="C6693" s="32">
        <v>43070.458599537036</v>
      </c>
    </row>
    <row r="6694" spans="1:3">
      <c r="A6694">
        <v>272306</v>
      </c>
      <c r="B6694">
        <v>1158475</v>
      </c>
      <c r="C6694" s="32">
        <v>43070.445081018515</v>
      </c>
    </row>
    <row r="6695" spans="1:3">
      <c r="A6695">
        <v>947262</v>
      </c>
      <c r="B6695">
        <v>2945933</v>
      </c>
      <c r="C6695" s="32">
        <v>43071.665196759262</v>
      </c>
    </row>
    <row r="6696" spans="1:3">
      <c r="A6696">
        <v>914748</v>
      </c>
      <c r="B6696">
        <v>1737857</v>
      </c>
      <c r="C6696" s="32">
        <v>43071.397743055553</v>
      </c>
    </row>
    <row r="6697" spans="1:3">
      <c r="A6697">
        <v>71877</v>
      </c>
      <c r="B6697">
        <v>411153</v>
      </c>
      <c r="C6697" s="32">
        <v>43070.57476851852</v>
      </c>
    </row>
    <row r="6698" spans="1:3">
      <c r="A6698">
        <v>555352</v>
      </c>
      <c r="B6698">
        <v>3002561</v>
      </c>
      <c r="C6698" s="32">
        <v>43072.558252314811</v>
      </c>
    </row>
    <row r="6699" spans="1:3">
      <c r="A6699">
        <v>853706</v>
      </c>
      <c r="B6699">
        <v>1132429</v>
      </c>
      <c r="C6699" s="32">
        <v>43071.681400462963</v>
      </c>
    </row>
    <row r="6700" spans="1:3">
      <c r="A6700">
        <v>97522</v>
      </c>
      <c r="B6700">
        <v>1464116</v>
      </c>
      <c r="C6700" s="32">
        <v>43072.445439814815</v>
      </c>
    </row>
    <row r="6701" spans="1:3">
      <c r="A6701">
        <v>186634</v>
      </c>
      <c r="B6701">
        <v>3937192</v>
      </c>
      <c r="C6701" s="32">
        <v>43072.607615740744</v>
      </c>
    </row>
    <row r="6702" spans="1:3">
      <c r="A6702">
        <v>161490</v>
      </c>
      <c r="B6702">
        <v>982926</v>
      </c>
      <c r="C6702" s="32">
        <v>43071.636504629627</v>
      </c>
    </row>
    <row r="6703" spans="1:3">
      <c r="A6703">
        <v>264049</v>
      </c>
      <c r="B6703">
        <v>4357323</v>
      </c>
      <c r="C6703" s="32">
        <v>43071.643518518518</v>
      </c>
    </row>
    <row r="6704" spans="1:3">
      <c r="A6704">
        <v>294021</v>
      </c>
      <c r="B6704">
        <v>3126591</v>
      </c>
      <c r="C6704" s="32">
        <v>43071.145497685182</v>
      </c>
    </row>
    <row r="6705" spans="1:3">
      <c r="A6705">
        <v>180365</v>
      </c>
      <c r="B6705">
        <v>2983928</v>
      </c>
      <c r="C6705" s="32">
        <v>43072.376076388886</v>
      </c>
    </row>
    <row r="6706" spans="1:3">
      <c r="A6706">
        <v>524623</v>
      </c>
      <c r="B6706">
        <v>2885642</v>
      </c>
      <c r="C6706" s="32">
        <v>43071.136354166665</v>
      </c>
    </row>
    <row r="6707" spans="1:3">
      <c r="A6707">
        <v>656277</v>
      </c>
      <c r="B6707">
        <v>1216617</v>
      </c>
      <c r="C6707" s="32">
        <v>43071.432627314818</v>
      </c>
    </row>
    <row r="6708" spans="1:3">
      <c r="A6708">
        <v>712849</v>
      </c>
      <c r="B6708">
        <v>4357323</v>
      </c>
      <c r="C6708" s="32">
        <v>43072.30872685185</v>
      </c>
    </row>
    <row r="6709" spans="1:3">
      <c r="A6709">
        <v>596732</v>
      </c>
      <c r="B6709">
        <v>200278</v>
      </c>
      <c r="C6709" s="32">
        <v>43070.34820601852</v>
      </c>
    </row>
    <row r="6710" spans="1:3">
      <c r="A6710">
        <v>22940</v>
      </c>
      <c r="B6710">
        <v>2520377</v>
      </c>
      <c r="C6710" s="32">
        <v>43072.114664351851</v>
      </c>
    </row>
    <row r="6711" spans="1:3">
      <c r="A6711">
        <v>791070</v>
      </c>
      <c r="B6711">
        <v>4145813</v>
      </c>
      <c r="C6711" s="32">
        <v>43070.472048611111</v>
      </c>
    </row>
    <row r="6712" spans="1:3">
      <c r="A6712">
        <v>484258</v>
      </c>
      <c r="B6712">
        <v>1397912</v>
      </c>
      <c r="C6712" s="32">
        <v>43071.537245370368</v>
      </c>
    </row>
    <row r="6713" spans="1:3">
      <c r="A6713">
        <v>152801</v>
      </c>
      <c r="B6713">
        <v>4358294</v>
      </c>
      <c r="C6713" s="32">
        <v>43072.113645833335</v>
      </c>
    </row>
    <row r="6714" spans="1:3">
      <c r="A6714">
        <v>571522</v>
      </c>
      <c r="B6714">
        <v>2926020</v>
      </c>
      <c r="C6714" s="32">
        <v>43072.340682870374</v>
      </c>
    </row>
    <row r="6715" spans="1:3">
      <c r="A6715">
        <v>470818</v>
      </c>
      <c r="B6715">
        <v>1724559</v>
      </c>
      <c r="C6715" s="32">
        <v>43070.260150462964</v>
      </c>
    </row>
    <row r="6716" spans="1:3">
      <c r="A6716">
        <v>623712</v>
      </c>
      <c r="B6716">
        <v>4962280</v>
      </c>
      <c r="C6716" s="32">
        <v>43071.838287037041</v>
      </c>
    </row>
    <row r="6717" spans="1:3">
      <c r="A6717">
        <v>893053</v>
      </c>
      <c r="B6717">
        <v>2735466</v>
      </c>
      <c r="C6717" s="32">
        <v>43071.481620370374</v>
      </c>
    </row>
    <row r="6718" spans="1:3">
      <c r="A6718">
        <v>544976</v>
      </c>
      <c r="B6718">
        <v>3160926</v>
      </c>
      <c r="C6718" s="32">
        <v>43070.090520833335</v>
      </c>
    </row>
    <row r="6719" spans="1:3">
      <c r="A6719">
        <v>1004798</v>
      </c>
      <c r="B6719">
        <v>2520377</v>
      </c>
      <c r="C6719" s="32">
        <v>43071.063055555554</v>
      </c>
    </row>
    <row r="6720" spans="1:3">
      <c r="A6720">
        <v>438481</v>
      </c>
      <c r="B6720">
        <v>4962280</v>
      </c>
      <c r="C6720" s="32">
        <v>43071.529699074075</v>
      </c>
    </row>
    <row r="6721" spans="1:3">
      <c r="A6721">
        <v>522687</v>
      </c>
      <c r="B6721">
        <v>801221</v>
      </c>
      <c r="C6721" s="32">
        <v>43070.612453703703</v>
      </c>
    </row>
    <row r="6722" spans="1:3">
      <c r="A6722">
        <v>815785</v>
      </c>
      <c r="B6722">
        <v>2520377</v>
      </c>
      <c r="C6722" s="32">
        <v>43071.584432870368</v>
      </c>
    </row>
    <row r="6723" spans="1:3">
      <c r="A6723">
        <v>675010</v>
      </c>
      <c r="B6723">
        <v>4818107</v>
      </c>
      <c r="C6723" s="32">
        <v>43071.753888888888</v>
      </c>
    </row>
    <row r="6724" spans="1:3">
      <c r="A6724">
        <v>195965</v>
      </c>
      <c r="B6724">
        <v>1299190</v>
      </c>
      <c r="C6724" s="32">
        <v>43070.480914351851</v>
      </c>
    </row>
    <row r="6725" spans="1:3">
      <c r="A6725">
        <v>355955</v>
      </c>
      <c r="B6725">
        <v>3017203</v>
      </c>
      <c r="C6725" s="32">
        <v>43070.045474537037</v>
      </c>
    </row>
    <row r="6726" spans="1:3">
      <c r="A6726">
        <v>558417</v>
      </c>
      <c r="B6726">
        <v>2304296</v>
      </c>
      <c r="C6726" s="32">
        <v>43070.149421296293</v>
      </c>
    </row>
    <row r="6727" spans="1:3">
      <c r="A6727">
        <v>377168</v>
      </c>
      <c r="B6727">
        <v>3702593</v>
      </c>
      <c r="C6727" s="32">
        <v>43072.083437499998</v>
      </c>
    </row>
    <row r="6728" spans="1:3">
      <c r="A6728">
        <v>450757</v>
      </c>
      <c r="B6728">
        <v>2945933</v>
      </c>
      <c r="C6728" s="32">
        <v>43071.515173611115</v>
      </c>
    </row>
    <row r="6729" spans="1:3">
      <c r="A6729">
        <v>443578</v>
      </c>
      <c r="B6729">
        <v>2733371</v>
      </c>
      <c r="C6729" s="32">
        <v>43071.653981481482</v>
      </c>
    </row>
    <row r="6730" spans="1:3">
      <c r="A6730">
        <v>517025</v>
      </c>
      <c r="B6730">
        <v>2939262</v>
      </c>
      <c r="C6730" s="32">
        <v>43071.672546296293</v>
      </c>
    </row>
    <row r="6731" spans="1:3">
      <c r="A6731">
        <v>356255</v>
      </c>
      <c r="B6731">
        <v>2892802</v>
      </c>
      <c r="C6731" s="32">
        <v>43071.264155092591</v>
      </c>
    </row>
    <row r="6732" spans="1:3">
      <c r="A6732">
        <v>469227</v>
      </c>
      <c r="B6732">
        <v>2925160</v>
      </c>
      <c r="C6732" s="32">
        <v>43070.630509259259</v>
      </c>
    </row>
    <row r="6733" spans="1:3">
      <c r="A6733">
        <v>653401</v>
      </c>
      <c r="B6733">
        <v>4756105</v>
      </c>
      <c r="C6733" s="32">
        <v>43072.171585648146</v>
      </c>
    </row>
    <row r="6734" spans="1:3">
      <c r="A6734">
        <v>733806</v>
      </c>
      <c r="B6734">
        <v>4801426</v>
      </c>
      <c r="C6734" s="32">
        <v>43069.736400462964</v>
      </c>
    </row>
    <row r="6735" spans="1:3">
      <c r="A6735">
        <v>210488</v>
      </c>
      <c r="B6735">
        <v>2520377</v>
      </c>
      <c r="C6735" s="32">
        <v>43071.396122685182</v>
      </c>
    </row>
    <row r="6736" spans="1:3">
      <c r="A6736">
        <v>532471</v>
      </c>
      <c r="B6736">
        <v>1471163</v>
      </c>
      <c r="C6736" s="32">
        <v>43070.586331018516</v>
      </c>
    </row>
    <row r="6737" spans="1:3">
      <c r="A6737">
        <v>296961</v>
      </c>
      <c r="B6737">
        <v>4145813</v>
      </c>
      <c r="C6737" s="32">
        <v>43072.516458333332</v>
      </c>
    </row>
    <row r="6738" spans="1:3">
      <c r="A6738">
        <v>152133</v>
      </c>
      <c r="B6738">
        <v>3645362</v>
      </c>
      <c r="C6738" s="32">
        <v>43072.104861111111</v>
      </c>
    </row>
    <row r="6739" spans="1:3">
      <c r="A6739">
        <v>524192</v>
      </c>
      <c r="B6739">
        <v>1464116</v>
      </c>
      <c r="C6739" s="32">
        <v>43071.434733796297</v>
      </c>
    </row>
    <row r="6740" spans="1:3">
      <c r="A6740">
        <v>503315</v>
      </c>
      <c r="B6740">
        <v>4069500</v>
      </c>
      <c r="C6740" s="32">
        <v>43071.324143518519</v>
      </c>
    </row>
    <row r="6741" spans="1:3">
      <c r="A6741">
        <v>81568</v>
      </c>
      <c r="B6741">
        <v>874415</v>
      </c>
      <c r="C6741" s="32">
        <v>43072.155312499999</v>
      </c>
    </row>
    <row r="6742" spans="1:3">
      <c r="A6742">
        <v>463833</v>
      </c>
      <c r="B6742">
        <v>238434</v>
      </c>
      <c r="C6742" s="32">
        <v>43071.506365740737</v>
      </c>
    </row>
    <row r="6743" spans="1:3">
      <c r="A6743">
        <v>376033</v>
      </c>
      <c r="B6743">
        <v>3549297</v>
      </c>
      <c r="C6743" s="32">
        <v>43072.526712962965</v>
      </c>
    </row>
    <row r="6744" spans="1:3">
      <c r="A6744">
        <v>228370</v>
      </c>
      <c r="B6744">
        <v>4498047</v>
      </c>
      <c r="C6744" s="32">
        <v>43070.501446759263</v>
      </c>
    </row>
    <row r="6745" spans="1:3">
      <c r="A6745">
        <v>47541</v>
      </c>
      <c r="B6745">
        <v>4756105</v>
      </c>
      <c r="C6745" s="32">
        <v>43072.431250000001</v>
      </c>
    </row>
    <row r="6746" spans="1:3">
      <c r="A6746">
        <v>418069</v>
      </c>
      <c r="B6746">
        <v>4869428</v>
      </c>
      <c r="C6746" s="32">
        <v>43070.198321759257</v>
      </c>
    </row>
    <row r="6747" spans="1:3">
      <c r="A6747">
        <v>191315</v>
      </c>
      <c r="B6747">
        <v>5062853</v>
      </c>
      <c r="C6747" s="32">
        <v>43071.072384259256</v>
      </c>
    </row>
    <row r="6748" spans="1:3">
      <c r="A6748">
        <v>459928</v>
      </c>
      <c r="B6748">
        <v>5071267</v>
      </c>
      <c r="C6748" s="32">
        <v>43071.97861111111</v>
      </c>
    </row>
    <row r="6749" spans="1:3">
      <c r="A6749">
        <v>850573</v>
      </c>
      <c r="B6749">
        <v>3702593</v>
      </c>
      <c r="C6749" s="32">
        <v>43071.50271990741</v>
      </c>
    </row>
    <row r="6750" spans="1:3">
      <c r="A6750">
        <v>833486</v>
      </c>
      <c r="B6750">
        <v>1216617</v>
      </c>
      <c r="C6750" s="32">
        <v>43070.286099537036</v>
      </c>
    </row>
    <row r="6751" spans="1:3">
      <c r="A6751">
        <v>251301</v>
      </c>
      <c r="B6751">
        <v>4580532</v>
      </c>
      <c r="C6751" s="32">
        <v>43072.241979166669</v>
      </c>
    </row>
    <row r="6752" spans="1:3">
      <c r="A6752">
        <v>259211</v>
      </c>
      <c r="B6752">
        <v>4217906</v>
      </c>
      <c r="C6752" s="32">
        <v>43071.332939814813</v>
      </c>
    </row>
    <row r="6753" spans="1:3">
      <c r="A6753">
        <v>279618</v>
      </c>
      <c r="B6753">
        <v>2693696</v>
      </c>
      <c r="C6753" s="32">
        <v>43072.119699074072</v>
      </c>
    </row>
    <row r="6754" spans="1:3">
      <c r="A6754">
        <v>136746</v>
      </c>
      <c r="B6754">
        <v>965809</v>
      </c>
      <c r="C6754" s="32">
        <v>43072.143252314818</v>
      </c>
    </row>
    <row r="6755" spans="1:3">
      <c r="A6755">
        <v>536606</v>
      </c>
      <c r="B6755">
        <v>1792277</v>
      </c>
      <c r="C6755" s="32">
        <v>43072.663182870368</v>
      </c>
    </row>
    <row r="6756" spans="1:3">
      <c r="A6756">
        <v>1010714</v>
      </c>
      <c r="B6756">
        <v>635704</v>
      </c>
      <c r="C6756" s="32">
        <v>43070.336712962962</v>
      </c>
    </row>
    <row r="6757" spans="1:3">
      <c r="A6757">
        <v>56504</v>
      </c>
      <c r="B6757">
        <v>903809</v>
      </c>
      <c r="C6757" s="32">
        <v>43071.486284722225</v>
      </c>
    </row>
    <row r="6758" spans="1:3">
      <c r="A6758">
        <v>223238</v>
      </c>
      <c r="B6758">
        <v>4170419</v>
      </c>
      <c r="C6758" s="32">
        <v>43070.738854166666</v>
      </c>
    </row>
    <row r="6759" spans="1:3">
      <c r="A6759">
        <v>305601</v>
      </c>
      <c r="B6759">
        <v>2465336</v>
      </c>
      <c r="C6759" s="32">
        <v>43072.244988425926</v>
      </c>
    </row>
    <row r="6760" spans="1:3">
      <c r="A6760">
        <v>792847</v>
      </c>
      <c r="B6760">
        <v>1320293</v>
      </c>
      <c r="C6760" s="32">
        <v>43072.511041666665</v>
      </c>
    </row>
    <row r="6761" spans="1:3">
      <c r="A6761">
        <v>968337</v>
      </c>
      <c r="B6761">
        <v>1567637</v>
      </c>
      <c r="C6761" s="32">
        <v>43071.532395833332</v>
      </c>
    </row>
    <row r="6762" spans="1:3">
      <c r="A6762">
        <v>362000</v>
      </c>
      <c r="B6762">
        <v>4918438</v>
      </c>
      <c r="C6762" s="32">
        <v>43072.057430555556</v>
      </c>
    </row>
    <row r="6763" spans="1:3">
      <c r="A6763">
        <v>196570</v>
      </c>
      <c r="B6763">
        <v>235534</v>
      </c>
      <c r="C6763" s="32">
        <v>43072.170995370368</v>
      </c>
    </row>
    <row r="6764" spans="1:3">
      <c r="A6764">
        <v>181804</v>
      </c>
      <c r="B6764">
        <v>4135836</v>
      </c>
      <c r="C6764" s="32">
        <v>43072.142754629633</v>
      </c>
    </row>
    <row r="6765" spans="1:3">
      <c r="A6765">
        <v>434905</v>
      </c>
      <c r="B6765">
        <v>4756105</v>
      </c>
      <c r="C6765" s="32">
        <v>43071.138923611114</v>
      </c>
    </row>
    <row r="6766" spans="1:3">
      <c r="A6766">
        <v>874543</v>
      </c>
      <c r="B6766">
        <v>2640118</v>
      </c>
      <c r="C6766" s="32">
        <v>43070.499409722222</v>
      </c>
    </row>
    <row r="6767" spans="1:3">
      <c r="A6767">
        <v>286765</v>
      </c>
      <c r="B6767">
        <v>149192</v>
      </c>
      <c r="C6767" s="32">
        <v>43070.693136574075</v>
      </c>
    </row>
    <row r="6768" spans="1:3">
      <c r="A6768">
        <v>715246</v>
      </c>
      <c r="B6768">
        <v>4244487</v>
      </c>
      <c r="C6768" s="32">
        <v>43071.64607638889</v>
      </c>
    </row>
    <row r="6769" spans="1:3">
      <c r="A6769">
        <v>841771</v>
      </c>
      <c r="B6769">
        <v>2096639</v>
      </c>
      <c r="C6769" s="32">
        <v>43072.100428240738</v>
      </c>
    </row>
    <row r="6770" spans="1:3">
      <c r="A6770">
        <v>249429</v>
      </c>
      <c r="B6770">
        <v>3645362</v>
      </c>
      <c r="C6770" s="32">
        <v>43070.298425925925</v>
      </c>
    </row>
    <row r="6771" spans="1:3">
      <c r="A6771">
        <v>225233</v>
      </c>
      <c r="B6771">
        <v>366112</v>
      </c>
      <c r="C6771" s="32">
        <v>43070.259884259256</v>
      </c>
    </row>
    <row r="6772" spans="1:3">
      <c r="A6772">
        <v>850422</v>
      </c>
      <c r="B6772">
        <v>1464116</v>
      </c>
      <c r="C6772" s="32">
        <v>43071.090370370373</v>
      </c>
    </row>
    <row r="6773" spans="1:3">
      <c r="A6773">
        <v>967424</v>
      </c>
      <c r="B6773">
        <v>1431810</v>
      </c>
      <c r="C6773" s="32">
        <v>43070.131307870368</v>
      </c>
    </row>
    <row r="6774" spans="1:3">
      <c r="A6774">
        <v>413685</v>
      </c>
      <c r="B6774">
        <v>2355072</v>
      </c>
      <c r="C6774" s="32">
        <v>43070.290844907409</v>
      </c>
    </row>
    <row r="6775" spans="1:3">
      <c r="A6775">
        <v>312503</v>
      </c>
      <c r="B6775">
        <v>883960</v>
      </c>
      <c r="C6775" s="32">
        <v>43070.564074074071</v>
      </c>
    </row>
    <row r="6776" spans="1:3">
      <c r="A6776">
        <v>618201</v>
      </c>
      <c r="B6776">
        <v>1817004</v>
      </c>
      <c r="C6776" s="32">
        <v>43071.435266203705</v>
      </c>
    </row>
    <row r="6777" spans="1:3">
      <c r="A6777">
        <v>48799</v>
      </c>
      <c r="B6777">
        <v>3004853</v>
      </c>
      <c r="C6777" s="32">
        <v>43070.039178240739</v>
      </c>
    </row>
    <row r="6778" spans="1:3">
      <c r="A6778">
        <v>192873</v>
      </c>
      <c r="B6778">
        <v>4756105</v>
      </c>
      <c r="C6778" s="32">
        <v>43071.437418981484</v>
      </c>
    </row>
    <row r="6779" spans="1:3">
      <c r="A6779">
        <v>568739</v>
      </c>
      <c r="B6779">
        <v>4145813</v>
      </c>
      <c r="C6779" s="32">
        <v>43071.945243055554</v>
      </c>
    </row>
    <row r="6780" spans="1:3">
      <c r="A6780">
        <v>819259</v>
      </c>
      <c r="B6780">
        <v>411153</v>
      </c>
      <c r="C6780" s="32">
        <v>43070.564247685186</v>
      </c>
    </row>
    <row r="6781" spans="1:3">
      <c r="A6781">
        <v>987191</v>
      </c>
      <c r="B6781">
        <v>753984</v>
      </c>
      <c r="C6781" s="32">
        <v>43072.414097222223</v>
      </c>
    </row>
    <row r="6782" spans="1:3">
      <c r="A6782">
        <v>953816</v>
      </c>
      <c r="B6782">
        <v>4145813</v>
      </c>
      <c r="C6782" s="32">
        <v>43072.309548611112</v>
      </c>
    </row>
    <row r="6783" spans="1:3">
      <c r="A6783">
        <v>288895</v>
      </c>
      <c r="B6783">
        <v>3607361</v>
      </c>
      <c r="C6783" s="32">
        <v>43069.736250000002</v>
      </c>
    </row>
    <row r="6784" spans="1:3">
      <c r="A6784">
        <v>472964</v>
      </c>
      <c r="B6784">
        <v>4022701</v>
      </c>
      <c r="C6784" s="32">
        <v>43072.3594212963</v>
      </c>
    </row>
    <row r="6785" spans="1:3">
      <c r="A6785">
        <v>221756</v>
      </c>
      <c r="B6785">
        <v>982926</v>
      </c>
      <c r="C6785" s="32">
        <v>43070.561354166668</v>
      </c>
    </row>
    <row r="6786" spans="1:3">
      <c r="A6786">
        <v>587514</v>
      </c>
      <c r="B6786">
        <v>4756105</v>
      </c>
      <c r="C6786" s="32">
        <v>43072.492905092593</v>
      </c>
    </row>
    <row r="6787" spans="1:3">
      <c r="A6787">
        <v>930235</v>
      </c>
      <c r="B6787">
        <v>2520377</v>
      </c>
      <c r="C6787" s="32">
        <v>43072.529768518521</v>
      </c>
    </row>
    <row r="6788" spans="1:3">
      <c r="A6788">
        <v>956383</v>
      </c>
      <c r="B6788">
        <v>4357323</v>
      </c>
      <c r="C6788" s="32">
        <v>43070.298159722224</v>
      </c>
    </row>
    <row r="6789" spans="1:3">
      <c r="A6789">
        <v>52585</v>
      </c>
      <c r="B6789">
        <v>1320293</v>
      </c>
      <c r="C6789" s="32">
        <v>43072.08902777778</v>
      </c>
    </row>
    <row r="6790" spans="1:3">
      <c r="A6790">
        <v>166232</v>
      </c>
      <c r="B6790">
        <v>1787510</v>
      </c>
      <c r="C6790" s="32">
        <v>43072.125810185185</v>
      </c>
    </row>
    <row r="6791" spans="1:3">
      <c r="A6791">
        <v>671764</v>
      </c>
      <c r="B6791">
        <v>2926020</v>
      </c>
      <c r="C6791" s="32">
        <v>43072.383252314816</v>
      </c>
    </row>
    <row r="6792" spans="1:3">
      <c r="A6792">
        <v>875237</v>
      </c>
      <c r="B6792">
        <v>2920476</v>
      </c>
      <c r="C6792" s="32">
        <v>43070.014756944445</v>
      </c>
    </row>
    <row r="6793" spans="1:3">
      <c r="A6793">
        <v>758575</v>
      </c>
      <c r="B6793">
        <v>1113817</v>
      </c>
      <c r="C6793" s="32">
        <v>43072.263055555559</v>
      </c>
    </row>
    <row r="6794" spans="1:3">
      <c r="A6794">
        <v>710467</v>
      </c>
      <c r="B6794">
        <v>3002561</v>
      </c>
      <c r="C6794" s="32">
        <v>43072.585393518515</v>
      </c>
    </row>
    <row r="6795" spans="1:3">
      <c r="A6795">
        <v>754798</v>
      </c>
      <c r="B6795">
        <v>4801426</v>
      </c>
      <c r="C6795" s="32">
        <v>43072.261307870373</v>
      </c>
    </row>
    <row r="6796" spans="1:3">
      <c r="A6796">
        <v>548509</v>
      </c>
      <c r="B6796">
        <v>235534</v>
      </c>
      <c r="C6796" s="32">
        <v>43070.504756944443</v>
      </c>
    </row>
    <row r="6797" spans="1:3">
      <c r="A6797">
        <v>281228</v>
      </c>
      <c r="B6797">
        <v>2355072</v>
      </c>
      <c r="C6797" s="32">
        <v>43071.570104166669</v>
      </c>
    </row>
    <row r="6798" spans="1:3">
      <c r="A6798">
        <v>904631</v>
      </c>
      <c r="B6798">
        <v>2520377</v>
      </c>
      <c r="C6798" s="32">
        <v>43071.261550925927</v>
      </c>
    </row>
    <row r="6799" spans="1:3">
      <c r="A6799">
        <v>762217</v>
      </c>
      <c r="B6799">
        <v>3158249</v>
      </c>
      <c r="C6799" s="32">
        <v>43072.408252314817</v>
      </c>
    </row>
    <row r="6800" spans="1:3">
      <c r="A6800">
        <v>211693</v>
      </c>
      <c r="B6800">
        <v>2924150</v>
      </c>
      <c r="C6800" s="32">
        <v>43072.074432870373</v>
      </c>
    </row>
    <row r="6801" spans="1:3">
      <c r="A6801">
        <v>357886</v>
      </c>
      <c r="B6801">
        <v>1851156</v>
      </c>
      <c r="C6801" s="32">
        <v>43069.699444444443</v>
      </c>
    </row>
    <row r="6802" spans="1:3">
      <c r="A6802">
        <v>58890</v>
      </c>
      <c r="B6802">
        <v>3607361</v>
      </c>
      <c r="C6802" s="32">
        <v>43070.171643518515</v>
      </c>
    </row>
    <row r="6803" spans="1:3">
      <c r="A6803">
        <v>775544</v>
      </c>
      <c r="B6803">
        <v>1299190</v>
      </c>
      <c r="C6803" s="32">
        <v>43071.340173611112</v>
      </c>
    </row>
    <row r="6804" spans="1:3">
      <c r="A6804">
        <v>328486</v>
      </c>
      <c r="B6804">
        <v>2228184</v>
      </c>
      <c r="C6804" s="32">
        <v>43071.334490740737</v>
      </c>
    </row>
    <row r="6805" spans="1:3">
      <c r="A6805">
        <v>477338</v>
      </c>
      <c r="B6805">
        <v>3607361</v>
      </c>
      <c r="C6805" s="32">
        <v>43071.996412037035</v>
      </c>
    </row>
    <row r="6806" spans="1:3">
      <c r="A6806">
        <v>591273</v>
      </c>
      <c r="B6806">
        <v>4801426</v>
      </c>
      <c r="C6806" s="32">
        <v>43072.525810185187</v>
      </c>
    </row>
    <row r="6807" spans="1:3">
      <c r="A6807">
        <v>782660</v>
      </c>
      <c r="B6807">
        <v>4690421</v>
      </c>
      <c r="C6807" s="32">
        <v>43069.998043981483</v>
      </c>
    </row>
    <row r="6808" spans="1:3">
      <c r="A6808">
        <v>887387</v>
      </c>
      <c r="B6808">
        <v>4869428</v>
      </c>
      <c r="C6808" s="32">
        <v>43072.519270833334</v>
      </c>
    </row>
    <row r="6809" spans="1:3">
      <c r="A6809">
        <v>347136</v>
      </c>
      <c r="B6809">
        <v>3069540</v>
      </c>
      <c r="C6809" s="32">
        <v>43071.994062500002</v>
      </c>
    </row>
    <row r="6810" spans="1:3">
      <c r="A6810">
        <v>838152</v>
      </c>
      <c r="B6810">
        <v>2926020</v>
      </c>
      <c r="C6810" s="32">
        <v>43070.660856481481</v>
      </c>
    </row>
    <row r="6811" spans="1:3">
      <c r="A6811">
        <v>686701</v>
      </c>
      <c r="B6811">
        <v>2667323</v>
      </c>
      <c r="C6811" s="32">
        <v>43072.303564814814</v>
      </c>
    </row>
    <row r="6812" spans="1:3">
      <c r="A6812">
        <v>822855</v>
      </c>
      <c r="B6812">
        <v>4801426</v>
      </c>
      <c r="C6812" s="32">
        <v>43071.591319444444</v>
      </c>
    </row>
    <row r="6813" spans="1:3">
      <c r="A6813">
        <v>997867</v>
      </c>
      <c r="B6813">
        <v>4801426</v>
      </c>
      <c r="C6813" s="32">
        <v>43072.291284722225</v>
      </c>
    </row>
    <row r="6814" spans="1:3">
      <c r="A6814">
        <v>659651</v>
      </c>
      <c r="B6814">
        <v>2465336</v>
      </c>
      <c r="C6814" s="32">
        <v>43071.5003125</v>
      </c>
    </row>
    <row r="6815" spans="1:3">
      <c r="A6815">
        <v>1009134</v>
      </c>
      <c r="B6815">
        <v>1575622</v>
      </c>
      <c r="C6815" s="32">
        <v>43071.564780092594</v>
      </c>
    </row>
    <row r="6816" spans="1:3">
      <c r="A6816">
        <v>317677</v>
      </c>
      <c r="B6816">
        <v>1879194</v>
      </c>
      <c r="C6816" s="32">
        <v>43071.593136574076</v>
      </c>
    </row>
    <row r="6817" spans="1:3">
      <c r="A6817">
        <v>278648</v>
      </c>
      <c r="B6817">
        <v>4801426</v>
      </c>
      <c r="C6817" s="32">
        <v>43071.492523148147</v>
      </c>
    </row>
    <row r="6818" spans="1:3">
      <c r="A6818">
        <v>584143</v>
      </c>
      <c r="B6818">
        <v>4181361</v>
      </c>
      <c r="C6818" s="32">
        <v>43072.259884259256</v>
      </c>
    </row>
    <row r="6819" spans="1:3">
      <c r="A6819">
        <v>986972</v>
      </c>
      <c r="B6819">
        <v>1360711</v>
      </c>
      <c r="C6819" s="32">
        <v>43070.341817129629</v>
      </c>
    </row>
    <row r="6820" spans="1:3">
      <c r="A6820">
        <v>154803</v>
      </c>
      <c r="B6820">
        <v>154040</v>
      </c>
      <c r="C6820" s="32">
        <v>43071.074872685182</v>
      </c>
    </row>
    <row r="6821" spans="1:3">
      <c r="A6821">
        <v>483312</v>
      </c>
      <c r="B6821">
        <v>2520377</v>
      </c>
      <c r="C6821" s="32">
        <v>43071.081979166665</v>
      </c>
    </row>
    <row r="6822" spans="1:3">
      <c r="A6822">
        <v>917106</v>
      </c>
      <c r="B6822">
        <v>1582197</v>
      </c>
      <c r="C6822" s="32">
        <v>43070.902777777781</v>
      </c>
    </row>
    <row r="6823" spans="1:3">
      <c r="A6823">
        <v>607251</v>
      </c>
      <c r="B6823">
        <v>3729292</v>
      </c>
      <c r="C6823" s="32">
        <v>43071.213055555556</v>
      </c>
    </row>
    <row r="6824" spans="1:3">
      <c r="A6824">
        <v>564575</v>
      </c>
      <c r="B6824">
        <v>3738615</v>
      </c>
      <c r="C6824" s="32">
        <v>43070.404363425929</v>
      </c>
    </row>
    <row r="6825" spans="1:3">
      <c r="A6825">
        <v>287286</v>
      </c>
      <c r="B6825">
        <v>4244487</v>
      </c>
      <c r="C6825" s="32">
        <v>43070.971516203703</v>
      </c>
    </row>
    <row r="6826" spans="1:3">
      <c r="A6826">
        <v>920084</v>
      </c>
      <c r="B6826">
        <v>2033408</v>
      </c>
      <c r="C6826" s="32">
        <v>43072.121087962965</v>
      </c>
    </row>
    <row r="6827" spans="1:3">
      <c r="A6827">
        <v>903676</v>
      </c>
      <c r="B6827">
        <v>3776866</v>
      </c>
      <c r="C6827" s="32">
        <v>43071.265752314815</v>
      </c>
    </row>
    <row r="6828" spans="1:3">
      <c r="A6828">
        <v>12584</v>
      </c>
      <c r="B6828">
        <v>1397912</v>
      </c>
      <c r="C6828" s="32">
        <v>43071.586724537039</v>
      </c>
    </row>
    <row r="6829" spans="1:3">
      <c r="A6829">
        <v>323631</v>
      </c>
      <c r="B6829">
        <v>982926</v>
      </c>
      <c r="C6829" s="32">
        <v>43070.705393518518</v>
      </c>
    </row>
    <row r="6830" spans="1:3">
      <c r="A6830">
        <v>283412</v>
      </c>
      <c r="B6830">
        <v>2496932</v>
      </c>
      <c r="C6830" s="32">
        <v>43072.009837962964</v>
      </c>
    </row>
    <row r="6831" spans="1:3">
      <c r="A6831">
        <v>624236</v>
      </c>
      <c r="B6831">
        <v>4672807</v>
      </c>
      <c r="C6831" s="32">
        <v>43069.849965277775</v>
      </c>
    </row>
    <row r="6832" spans="1:3">
      <c r="A6832">
        <v>434947</v>
      </c>
      <c r="B6832">
        <v>634390</v>
      </c>
      <c r="C6832" s="32">
        <v>43071.575555555559</v>
      </c>
    </row>
    <row r="6833" spans="1:3">
      <c r="A6833">
        <v>173224</v>
      </c>
      <c r="B6833">
        <v>344833</v>
      </c>
      <c r="C6833" s="32">
        <v>43070.619375000002</v>
      </c>
    </row>
    <row r="6834" spans="1:3">
      <c r="A6834">
        <v>932002</v>
      </c>
      <c r="B6834">
        <v>3738615</v>
      </c>
      <c r="C6834" s="32">
        <v>43071.046226851853</v>
      </c>
    </row>
    <row r="6835" spans="1:3">
      <c r="A6835">
        <v>47408</v>
      </c>
      <c r="B6835">
        <v>4719814</v>
      </c>
      <c r="C6835" s="32">
        <v>43071.760567129626</v>
      </c>
    </row>
    <row r="6836" spans="1:3">
      <c r="A6836">
        <v>245868</v>
      </c>
      <c r="B6836">
        <v>2296439</v>
      </c>
      <c r="C6836" s="32">
        <v>43070.966226851851</v>
      </c>
    </row>
    <row r="6837" spans="1:3">
      <c r="A6837">
        <v>58642</v>
      </c>
      <c r="B6837">
        <v>4756105</v>
      </c>
      <c r="C6837" s="32">
        <v>43070.556296296294</v>
      </c>
    </row>
    <row r="6838" spans="1:3">
      <c r="A6838">
        <v>631417</v>
      </c>
      <c r="B6838">
        <v>4818107</v>
      </c>
      <c r="C6838" s="32">
        <v>43072.578564814816</v>
      </c>
    </row>
    <row r="6839" spans="1:3">
      <c r="A6839">
        <v>339855</v>
      </c>
      <c r="B6839">
        <v>3232473</v>
      </c>
      <c r="C6839" s="32">
        <v>43070.816828703704</v>
      </c>
    </row>
    <row r="6840" spans="1:3">
      <c r="A6840">
        <v>174294</v>
      </c>
      <c r="B6840">
        <v>2640118</v>
      </c>
      <c r="C6840" s="32">
        <v>43072.256493055553</v>
      </c>
    </row>
    <row r="6841" spans="1:3">
      <c r="A6841">
        <v>924280</v>
      </c>
      <c r="B6841">
        <v>2072473</v>
      </c>
      <c r="C6841" s="32">
        <v>43070.251435185186</v>
      </c>
    </row>
    <row r="6842" spans="1:3">
      <c r="A6842">
        <v>853593</v>
      </c>
      <c r="B6842">
        <v>2735466</v>
      </c>
      <c r="C6842" s="32">
        <v>43070.516643518517</v>
      </c>
    </row>
    <row r="6843" spans="1:3">
      <c r="A6843">
        <v>858855</v>
      </c>
      <c r="B6843">
        <v>1829804</v>
      </c>
      <c r="C6843" s="32">
        <v>43071.119351851848</v>
      </c>
    </row>
    <row r="6844" spans="1:3">
      <c r="A6844">
        <v>115083</v>
      </c>
      <c r="B6844">
        <v>4756105</v>
      </c>
      <c r="C6844" s="32">
        <v>43070.538506944446</v>
      </c>
    </row>
    <row r="6845" spans="1:3">
      <c r="A6845">
        <v>750446</v>
      </c>
      <c r="B6845">
        <v>3985610</v>
      </c>
      <c r="C6845" s="32">
        <v>43070.28528935185</v>
      </c>
    </row>
    <row r="6846" spans="1:3">
      <c r="A6846">
        <v>827523</v>
      </c>
      <c r="B6846">
        <v>1080785</v>
      </c>
      <c r="C6846" s="32">
        <v>43071.636828703704</v>
      </c>
    </row>
    <row r="6847" spans="1:3">
      <c r="A6847">
        <v>315421</v>
      </c>
      <c r="B6847">
        <v>3606606</v>
      </c>
      <c r="C6847" s="32">
        <v>43072.281192129631</v>
      </c>
    </row>
    <row r="6848" spans="1:3">
      <c r="A6848">
        <v>297705</v>
      </c>
      <c r="B6848">
        <v>4868797</v>
      </c>
      <c r="C6848" s="32">
        <v>43070.214756944442</v>
      </c>
    </row>
    <row r="6849" spans="1:3">
      <c r="A6849">
        <v>902718</v>
      </c>
      <c r="B6849">
        <v>2966303</v>
      </c>
      <c r="C6849" s="32">
        <v>43072.39335648148</v>
      </c>
    </row>
    <row r="6850" spans="1:3">
      <c r="A6850">
        <v>682135</v>
      </c>
      <c r="B6850">
        <v>1051370</v>
      </c>
      <c r="C6850" s="32">
        <v>43070.377465277779</v>
      </c>
    </row>
    <row r="6851" spans="1:3">
      <c r="A6851">
        <v>126701</v>
      </c>
      <c r="B6851">
        <v>734809</v>
      </c>
      <c r="C6851" s="32">
        <v>43071.376770833333</v>
      </c>
    </row>
    <row r="6852" spans="1:3">
      <c r="A6852">
        <v>113873</v>
      </c>
      <c r="B6852">
        <v>2520771</v>
      </c>
      <c r="C6852" s="32">
        <v>43069.710046296299</v>
      </c>
    </row>
    <row r="6853" spans="1:3">
      <c r="A6853">
        <v>27599</v>
      </c>
      <c r="B6853">
        <v>2875366</v>
      </c>
      <c r="C6853" s="32">
        <v>43072.478935185187</v>
      </c>
    </row>
    <row r="6854" spans="1:3">
      <c r="A6854">
        <v>774909</v>
      </c>
      <c r="B6854">
        <v>2735466</v>
      </c>
      <c r="C6854" s="32">
        <v>43070.649826388886</v>
      </c>
    </row>
    <row r="6855" spans="1:3">
      <c r="A6855">
        <v>986534</v>
      </c>
      <c r="B6855">
        <v>1787510</v>
      </c>
      <c r="C6855" s="32">
        <v>43070.289444444446</v>
      </c>
    </row>
    <row r="6856" spans="1:3">
      <c r="A6856">
        <v>31720</v>
      </c>
      <c r="B6856">
        <v>1281171</v>
      </c>
      <c r="C6856" s="32">
        <v>43071.593113425923</v>
      </c>
    </row>
    <row r="6857" spans="1:3">
      <c r="A6857">
        <v>708049</v>
      </c>
      <c r="B6857">
        <v>2465336</v>
      </c>
      <c r="C6857" s="32">
        <v>43071.303900462961</v>
      </c>
    </row>
    <row r="6858" spans="1:3">
      <c r="A6858">
        <v>708610</v>
      </c>
      <c r="B6858">
        <v>2218582</v>
      </c>
      <c r="C6858" s="32">
        <v>43071.588252314818</v>
      </c>
    </row>
    <row r="6859" spans="1:3">
      <c r="A6859">
        <v>1016454</v>
      </c>
      <c r="B6859">
        <v>2920476</v>
      </c>
      <c r="C6859" s="32">
        <v>43071.140381944446</v>
      </c>
    </row>
    <row r="6860" spans="1:3">
      <c r="A6860">
        <v>151731</v>
      </c>
      <c r="B6860">
        <v>903809</v>
      </c>
      <c r="C6860" s="32">
        <v>43072.572106481479</v>
      </c>
    </row>
    <row r="6861" spans="1:3">
      <c r="A6861">
        <v>657847</v>
      </c>
      <c r="B6861">
        <v>4918438</v>
      </c>
      <c r="C6861" s="32">
        <v>43070.111921296295</v>
      </c>
    </row>
    <row r="6862" spans="1:3">
      <c r="A6862">
        <v>670146</v>
      </c>
      <c r="B6862">
        <v>3645362</v>
      </c>
      <c r="C6862" s="32">
        <v>43071.029120370367</v>
      </c>
    </row>
    <row r="6863" spans="1:3">
      <c r="A6863">
        <v>483846</v>
      </c>
      <c r="B6863">
        <v>285583</v>
      </c>
      <c r="C6863" s="32">
        <v>43071.164085648146</v>
      </c>
    </row>
    <row r="6864" spans="1:3">
      <c r="A6864">
        <v>627694</v>
      </c>
      <c r="B6864">
        <v>3607361</v>
      </c>
      <c r="C6864" s="32">
        <v>43072.414039351854</v>
      </c>
    </row>
    <row r="6865" spans="1:3">
      <c r="A6865">
        <v>719103</v>
      </c>
      <c r="B6865">
        <v>4145813</v>
      </c>
      <c r="C6865" s="32">
        <v>43070.336354166669</v>
      </c>
    </row>
    <row r="6866" spans="1:3">
      <c r="A6866">
        <v>862741</v>
      </c>
      <c r="B6866">
        <v>4672807</v>
      </c>
      <c r="C6866" s="32">
        <v>43071.472013888888</v>
      </c>
    </row>
    <row r="6867" spans="1:3">
      <c r="A6867">
        <v>734446</v>
      </c>
      <c r="B6867">
        <v>3598912</v>
      </c>
      <c r="C6867" s="32">
        <v>43071.132951388892</v>
      </c>
    </row>
    <row r="6868" spans="1:3">
      <c r="A6868">
        <v>470537</v>
      </c>
      <c r="B6868">
        <v>1074254</v>
      </c>
      <c r="C6868" s="32">
        <v>43071.620682870373</v>
      </c>
    </row>
    <row r="6869" spans="1:3">
      <c r="A6869">
        <v>92665</v>
      </c>
      <c r="B6869">
        <v>1851156</v>
      </c>
      <c r="C6869" s="32">
        <v>43072.591828703706</v>
      </c>
    </row>
    <row r="6870" spans="1:3">
      <c r="A6870">
        <v>138487</v>
      </c>
      <c r="B6870">
        <v>4159072</v>
      </c>
      <c r="C6870" s="32">
        <v>43070.535497685189</v>
      </c>
    </row>
    <row r="6871" spans="1:3">
      <c r="A6871">
        <v>438818</v>
      </c>
      <c r="B6871">
        <v>4145813</v>
      </c>
      <c r="C6871" s="32">
        <v>43071.906134259261</v>
      </c>
    </row>
    <row r="6872" spans="1:3">
      <c r="A6872">
        <v>514760</v>
      </c>
      <c r="B6872">
        <v>1051370</v>
      </c>
      <c r="C6872" s="32">
        <v>43070.881921296299</v>
      </c>
    </row>
    <row r="6873" spans="1:3">
      <c r="A6873">
        <v>586138</v>
      </c>
      <c r="B6873">
        <v>4051859</v>
      </c>
      <c r="C6873" s="32">
        <v>43072.562881944446</v>
      </c>
    </row>
    <row r="6874" spans="1:3">
      <c r="A6874">
        <v>755659</v>
      </c>
      <c r="B6874">
        <v>4818107</v>
      </c>
      <c r="C6874" s="32">
        <v>43071.468136574076</v>
      </c>
    </row>
    <row r="6875" spans="1:3">
      <c r="A6875">
        <v>193979</v>
      </c>
      <c r="B6875">
        <v>2466971</v>
      </c>
      <c r="C6875" s="32">
        <v>43071.416041666664</v>
      </c>
    </row>
    <row r="6876" spans="1:3">
      <c r="A6876">
        <v>369179</v>
      </c>
      <c r="B6876">
        <v>344833</v>
      </c>
      <c r="C6876" s="32">
        <v>43070.548761574071</v>
      </c>
    </row>
    <row r="6877" spans="1:3">
      <c r="A6877">
        <v>238587</v>
      </c>
      <c r="B6877">
        <v>4170419</v>
      </c>
      <c r="C6877" s="32">
        <v>43071.145104166666</v>
      </c>
    </row>
    <row r="6878" spans="1:3">
      <c r="A6878">
        <v>40462</v>
      </c>
      <c r="B6878">
        <v>4756105</v>
      </c>
      <c r="C6878" s="32">
        <v>43070.587083333332</v>
      </c>
    </row>
    <row r="6879" spans="1:3">
      <c r="A6879">
        <v>97675</v>
      </c>
      <c r="B6879">
        <v>957119</v>
      </c>
      <c r="C6879" s="32">
        <v>43070.036307870374</v>
      </c>
    </row>
    <row r="6880" spans="1:3">
      <c r="A6880">
        <v>658390</v>
      </c>
      <c r="B6880">
        <v>1859277</v>
      </c>
      <c r="C6880" s="32">
        <v>43072.599930555552</v>
      </c>
    </row>
    <row r="6881" spans="1:3">
      <c r="A6881">
        <v>758960</v>
      </c>
      <c r="B6881">
        <v>4022701</v>
      </c>
      <c r="C6881" s="32">
        <v>43072.651736111111</v>
      </c>
    </row>
    <row r="6882" spans="1:3">
      <c r="A6882">
        <v>375574</v>
      </c>
      <c r="B6882">
        <v>1464116</v>
      </c>
      <c r="C6882" s="32">
        <v>43072.493541666663</v>
      </c>
    </row>
    <row r="6883" spans="1:3">
      <c r="A6883">
        <v>526591</v>
      </c>
      <c r="B6883">
        <v>1299190</v>
      </c>
      <c r="C6883" s="32">
        <v>43072.103738425925</v>
      </c>
    </row>
    <row r="6884" spans="1:3">
      <c r="A6884">
        <v>530850</v>
      </c>
      <c r="B6884">
        <v>4217906</v>
      </c>
      <c r="C6884" s="32">
        <v>43070.58079861111</v>
      </c>
    </row>
    <row r="6885" spans="1:3">
      <c r="A6885">
        <v>128052</v>
      </c>
      <c r="B6885">
        <v>2735466</v>
      </c>
      <c r="C6885" s="32">
        <v>43070.438379629632</v>
      </c>
    </row>
    <row r="6886" spans="1:3">
      <c r="A6886">
        <v>344796</v>
      </c>
      <c r="B6886">
        <v>2945933</v>
      </c>
      <c r="C6886" s="32">
        <v>43072.301539351851</v>
      </c>
    </row>
    <row r="6887" spans="1:3">
      <c r="A6887">
        <v>498197</v>
      </c>
      <c r="B6887">
        <v>4756105</v>
      </c>
      <c r="C6887" s="32">
        <v>43070.620300925926</v>
      </c>
    </row>
    <row r="6888" spans="1:3">
      <c r="A6888">
        <v>873242</v>
      </c>
      <c r="B6888">
        <v>4756105</v>
      </c>
      <c r="C6888" s="32">
        <v>43072.527870370373</v>
      </c>
    </row>
    <row r="6889" spans="1:3">
      <c r="A6889">
        <v>455530</v>
      </c>
      <c r="B6889">
        <v>4756105</v>
      </c>
      <c r="C6889" s="32">
        <v>43070.585416666669</v>
      </c>
    </row>
    <row r="6890" spans="1:3">
      <c r="A6890">
        <v>35620</v>
      </c>
      <c r="B6890">
        <v>1040727</v>
      </c>
      <c r="C6890" s="32">
        <v>43072.106504629628</v>
      </c>
    </row>
    <row r="6891" spans="1:3">
      <c r="A6891">
        <v>770968</v>
      </c>
      <c r="B6891">
        <v>4540978</v>
      </c>
      <c r="C6891" s="32">
        <v>43069.697430555556</v>
      </c>
    </row>
    <row r="6892" spans="1:3">
      <c r="A6892">
        <v>803691</v>
      </c>
      <c r="B6892">
        <v>1320293</v>
      </c>
      <c r="C6892" s="32">
        <v>43072.655115740738</v>
      </c>
    </row>
    <row r="6893" spans="1:3">
      <c r="A6893">
        <v>713604</v>
      </c>
      <c r="B6893">
        <v>4756105</v>
      </c>
      <c r="C6893" s="32">
        <v>43071.440671296295</v>
      </c>
    </row>
    <row r="6894" spans="1:3">
      <c r="A6894">
        <v>340627</v>
      </c>
      <c r="B6894">
        <v>1464116</v>
      </c>
      <c r="C6894" s="32">
        <v>43070.592557870368</v>
      </c>
    </row>
    <row r="6895" spans="1:3">
      <c r="A6895">
        <v>989335</v>
      </c>
      <c r="B6895">
        <v>570735</v>
      </c>
      <c r="C6895" s="32">
        <v>43072.29210648148</v>
      </c>
    </row>
    <row r="6896" spans="1:3">
      <c r="A6896">
        <v>635211</v>
      </c>
      <c r="B6896">
        <v>4882154</v>
      </c>
      <c r="C6896" s="32">
        <v>43069.748518518521</v>
      </c>
    </row>
    <row r="6897" spans="1:3">
      <c r="A6897">
        <v>795136</v>
      </c>
      <c r="B6897">
        <v>103181</v>
      </c>
      <c r="C6897" s="32">
        <v>43072.595902777779</v>
      </c>
    </row>
    <row r="6898" spans="1:3">
      <c r="A6898">
        <v>621500</v>
      </c>
      <c r="B6898">
        <v>983613</v>
      </c>
      <c r="C6898" s="32">
        <v>43070.144108796296</v>
      </c>
    </row>
    <row r="6899" spans="1:3">
      <c r="A6899">
        <v>288272</v>
      </c>
      <c r="B6899">
        <v>2355072</v>
      </c>
      <c r="C6899" s="32">
        <v>43070.509513888886</v>
      </c>
    </row>
    <row r="6900" spans="1:3">
      <c r="A6900">
        <v>745526</v>
      </c>
      <c r="B6900">
        <v>1051370</v>
      </c>
      <c r="C6900" s="32">
        <v>43071.114803240744</v>
      </c>
    </row>
    <row r="6901" spans="1:3">
      <c r="A6901">
        <v>43313</v>
      </c>
      <c r="B6901">
        <v>235534</v>
      </c>
      <c r="C6901" s="32">
        <v>43071.465937499997</v>
      </c>
    </row>
    <row r="6902" spans="1:3">
      <c r="A6902">
        <v>528928</v>
      </c>
      <c r="B6902">
        <v>2355072</v>
      </c>
      <c r="C6902" s="32">
        <v>43071.199293981481</v>
      </c>
    </row>
    <row r="6903" spans="1:3">
      <c r="A6903">
        <v>572792</v>
      </c>
      <c r="B6903">
        <v>1265358</v>
      </c>
      <c r="C6903" s="32">
        <v>43069.878993055558</v>
      </c>
    </row>
    <row r="6904" spans="1:3">
      <c r="A6904">
        <v>96125</v>
      </c>
      <c r="B6904">
        <v>2355072</v>
      </c>
      <c r="C6904" s="32">
        <v>43072.282905092594</v>
      </c>
    </row>
    <row r="6905" spans="1:3">
      <c r="A6905">
        <v>714715</v>
      </c>
      <c r="B6905">
        <v>4643350</v>
      </c>
      <c r="C6905" s="32">
        <v>43070.172395833331</v>
      </c>
    </row>
    <row r="6906" spans="1:3">
      <c r="A6906">
        <v>532258</v>
      </c>
      <c r="B6906">
        <v>3598912</v>
      </c>
      <c r="C6906" s="32">
        <v>43070.200740740744</v>
      </c>
    </row>
    <row r="6907" spans="1:3">
      <c r="A6907">
        <v>437631</v>
      </c>
      <c r="B6907">
        <v>4145813</v>
      </c>
      <c r="C6907" s="32">
        <v>43072.14770833333</v>
      </c>
    </row>
    <row r="6908" spans="1:3">
      <c r="A6908">
        <v>386859</v>
      </c>
      <c r="B6908">
        <v>3002561</v>
      </c>
      <c r="C6908" s="32">
        <v>43071.203993055555</v>
      </c>
    </row>
    <row r="6909" spans="1:3">
      <c r="A6909">
        <v>551613</v>
      </c>
      <c r="B6909">
        <v>1505776</v>
      </c>
      <c r="C6909" s="32">
        <v>43070.116203703707</v>
      </c>
    </row>
    <row r="6910" spans="1:3">
      <c r="A6910">
        <v>976735</v>
      </c>
      <c r="B6910">
        <v>883960</v>
      </c>
      <c r="C6910" s="32">
        <v>43071.544027777774</v>
      </c>
    </row>
    <row r="6911" spans="1:3">
      <c r="A6911">
        <v>566450</v>
      </c>
      <c r="B6911">
        <v>1420205</v>
      </c>
      <c r="C6911" s="32">
        <v>43070.323055555556</v>
      </c>
    </row>
    <row r="6912" spans="1:3">
      <c r="A6912">
        <v>346532</v>
      </c>
      <c r="B6912">
        <v>1813610</v>
      </c>
      <c r="C6912" s="32">
        <v>43072.574224537035</v>
      </c>
    </row>
    <row r="6913" spans="1:3">
      <c r="A6913">
        <v>126443</v>
      </c>
      <c r="B6913">
        <v>2834771</v>
      </c>
      <c r="C6913" s="32">
        <v>43071.556145833332</v>
      </c>
    </row>
    <row r="6914" spans="1:3">
      <c r="A6914">
        <v>697332</v>
      </c>
      <c r="B6914">
        <v>4882154</v>
      </c>
      <c r="C6914" s="32">
        <v>43069.774074074077</v>
      </c>
    </row>
    <row r="6915" spans="1:3">
      <c r="A6915">
        <v>497286</v>
      </c>
      <c r="B6915">
        <v>690811</v>
      </c>
      <c r="C6915" s="32">
        <v>43071.645173611112</v>
      </c>
    </row>
    <row r="6916" spans="1:3">
      <c r="A6916">
        <v>255356</v>
      </c>
      <c r="B6916">
        <v>1397898</v>
      </c>
      <c r="C6916" s="32">
        <v>43070.58258101852</v>
      </c>
    </row>
    <row r="6917" spans="1:3">
      <c r="A6917">
        <v>980150</v>
      </c>
      <c r="B6917">
        <v>500212</v>
      </c>
      <c r="C6917" s="32">
        <v>43071.643171296295</v>
      </c>
    </row>
    <row r="6918" spans="1:3">
      <c r="A6918">
        <v>291181</v>
      </c>
      <c r="B6918">
        <v>3158249</v>
      </c>
      <c r="C6918" s="32">
        <v>43070.392476851855</v>
      </c>
    </row>
    <row r="6919" spans="1:3">
      <c r="A6919">
        <v>343549</v>
      </c>
      <c r="B6919">
        <v>4181361</v>
      </c>
      <c r="C6919" s="32">
        <v>43070.45175925926</v>
      </c>
    </row>
    <row r="6920" spans="1:3">
      <c r="A6920">
        <v>176165</v>
      </c>
      <c r="B6920">
        <v>3189162</v>
      </c>
      <c r="C6920" s="32">
        <v>43070.247731481482</v>
      </c>
    </row>
    <row r="6921" spans="1:3">
      <c r="A6921">
        <v>175666</v>
      </c>
      <c r="B6921">
        <v>4145813</v>
      </c>
      <c r="C6921" s="32">
        <v>43070.468807870369</v>
      </c>
    </row>
    <row r="6922" spans="1:3">
      <c r="A6922">
        <v>554826</v>
      </c>
      <c r="B6922">
        <v>3189935</v>
      </c>
      <c r="C6922" s="32">
        <v>43071.571099537039</v>
      </c>
    </row>
    <row r="6923" spans="1:3">
      <c r="A6923">
        <v>920448</v>
      </c>
      <c r="B6923">
        <v>982926</v>
      </c>
      <c r="C6923" s="32">
        <v>43070.612534722219</v>
      </c>
    </row>
    <row r="6924" spans="1:3">
      <c r="A6924">
        <v>435434</v>
      </c>
      <c r="B6924">
        <v>570735</v>
      </c>
      <c r="C6924" s="32">
        <v>43071.398460648146</v>
      </c>
    </row>
    <row r="6925" spans="1:3">
      <c r="A6925">
        <v>314671</v>
      </c>
      <c r="B6925">
        <v>982926</v>
      </c>
      <c r="C6925" s="32">
        <v>43072.230347222219</v>
      </c>
    </row>
    <row r="6926" spans="1:3">
      <c r="A6926">
        <v>350968</v>
      </c>
      <c r="B6926">
        <v>3607361</v>
      </c>
      <c r="C6926" s="32">
        <v>43072.621458333335</v>
      </c>
    </row>
    <row r="6927" spans="1:3">
      <c r="A6927">
        <v>787109</v>
      </c>
      <c r="B6927">
        <v>1320293</v>
      </c>
      <c r="C6927" s="32">
        <v>43071.595289351855</v>
      </c>
    </row>
    <row r="6928" spans="1:3">
      <c r="A6928">
        <v>80527</v>
      </c>
      <c r="B6928">
        <v>2520377</v>
      </c>
      <c r="C6928" s="32">
        <v>43072.659039351849</v>
      </c>
    </row>
    <row r="6929" spans="1:3">
      <c r="A6929">
        <v>180439</v>
      </c>
      <c r="B6929">
        <v>1730594</v>
      </c>
      <c r="C6929" s="32">
        <v>43072.613356481481</v>
      </c>
    </row>
    <row r="6930" spans="1:3">
      <c r="A6930">
        <v>745083</v>
      </c>
      <c r="B6930">
        <v>4690421</v>
      </c>
      <c r="C6930" s="32">
        <v>43070.605995370373</v>
      </c>
    </row>
    <row r="6931" spans="1:3">
      <c r="A6931">
        <v>532100</v>
      </c>
      <c r="B6931">
        <v>3189935</v>
      </c>
      <c r="C6931" s="32">
        <v>43070.084733796299</v>
      </c>
    </row>
    <row r="6932" spans="1:3">
      <c r="A6932">
        <v>841485</v>
      </c>
      <c r="B6932">
        <v>4217906</v>
      </c>
      <c r="C6932" s="32">
        <v>43070.111493055556</v>
      </c>
    </row>
    <row r="6933" spans="1:3">
      <c r="A6933">
        <v>697220</v>
      </c>
      <c r="B6933">
        <v>2476560</v>
      </c>
      <c r="C6933" s="32">
        <v>43070.21025462963</v>
      </c>
    </row>
    <row r="6934" spans="1:3">
      <c r="A6934">
        <v>85365</v>
      </c>
      <c r="B6934">
        <v>2640118</v>
      </c>
      <c r="C6934" s="32">
        <v>43069.685972222222</v>
      </c>
    </row>
    <row r="6935" spans="1:3">
      <c r="A6935">
        <v>948223</v>
      </c>
      <c r="B6935">
        <v>3607361</v>
      </c>
      <c r="C6935" s="32">
        <v>43071.545543981483</v>
      </c>
    </row>
    <row r="6936" spans="1:3">
      <c r="A6936">
        <v>836628</v>
      </c>
      <c r="B6936">
        <v>3177877</v>
      </c>
      <c r="C6936" s="32">
        <v>43070.117384259262</v>
      </c>
    </row>
    <row r="6937" spans="1:3">
      <c r="A6937">
        <v>160824</v>
      </c>
      <c r="B6937">
        <v>3002561</v>
      </c>
      <c r="C6937" s="32">
        <v>43072.577997685185</v>
      </c>
    </row>
    <row r="6938" spans="1:3">
      <c r="A6938">
        <v>233974</v>
      </c>
      <c r="B6938">
        <v>4051859</v>
      </c>
      <c r="C6938" s="32">
        <v>43070.54278935185</v>
      </c>
    </row>
    <row r="6939" spans="1:3">
      <c r="A6939">
        <v>915680</v>
      </c>
      <c r="B6939">
        <v>1080785</v>
      </c>
      <c r="C6939" s="32">
        <v>43071.322696759256</v>
      </c>
    </row>
    <row r="6940" spans="1:3">
      <c r="A6940">
        <v>981577</v>
      </c>
      <c r="B6940">
        <v>1320293</v>
      </c>
      <c r="C6940" s="32">
        <v>43072.061678240738</v>
      </c>
    </row>
    <row r="6941" spans="1:3">
      <c r="A6941">
        <v>199387</v>
      </c>
      <c r="B6941">
        <v>344221</v>
      </c>
      <c r="C6941" s="32">
        <v>43070.134340277778</v>
      </c>
    </row>
    <row r="6942" spans="1:3">
      <c r="A6942">
        <v>719399</v>
      </c>
      <c r="B6942">
        <v>4185300</v>
      </c>
      <c r="C6942" s="32">
        <v>43070.685601851852</v>
      </c>
    </row>
    <row r="6943" spans="1:3">
      <c r="A6943">
        <v>893643</v>
      </c>
      <c r="B6943">
        <v>113102</v>
      </c>
      <c r="C6943" s="32">
        <v>43072.357141203705</v>
      </c>
    </row>
    <row r="6944" spans="1:3">
      <c r="A6944">
        <v>780654</v>
      </c>
      <c r="B6944">
        <v>4756105</v>
      </c>
      <c r="C6944" s="32">
        <v>43072.575011574074</v>
      </c>
    </row>
    <row r="6945" spans="1:3">
      <c r="A6945">
        <v>8529</v>
      </c>
      <c r="B6945">
        <v>2520377</v>
      </c>
      <c r="C6945" s="32">
        <v>43070.414247685185</v>
      </c>
    </row>
    <row r="6946" spans="1:3">
      <c r="A6946">
        <v>767335</v>
      </c>
      <c r="B6946">
        <v>4145813</v>
      </c>
      <c r="C6946" s="32">
        <v>43072.523599537039</v>
      </c>
    </row>
    <row r="6947" spans="1:3">
      <c r="A6947">
        <v>349998</v>
      </c>
      <c r="B6947">
        <v>3720767</v>
      </c>
      <c r="C6947" s="32">
        <v>43072.223182870373</v>
      </c>
    </row>
    <row r="6948" spans="1:3">
      <c r="A6948">
        <v>668059</v>
      </c>
      <c r="B6948">
        <v>888094</v>
      </c>
      <c r="C6948" s="32">
        <v>43072.123831018522</v>
      </c>
    </row>
    <row r="6949" spans="1:3">
      <c r="A6949">
        <v>382405</v>
      </c>
      <c r="B6949">
        <v>1080785</v>
      </c>
      <c r="C6949" s="32">
        <v>43070.187893518516</v>
      </c>
    </row>
    <row r="6950" spans="1:3">
      <c r="A6950">
        <v>460551</v>
      </c>
      <c r="B6950">
        <v>3607361</v>
      </c>
      <c r="C6950" s="32">
        <v>43071.961770833332</v>
      </c>
    </row>
    <row r="6951" spans="1:3">
      <c r="A6951">
        <v>229030</v>
      </c>
      <c r="B6951">
        <v>2735466</v>
      </c>
      <c r="C6951" s="32">
        <v>43071.374108796299</v>
      </c>
    </row>
    <row r="6952" spans="1:3">
      <c r="A6952">
        <v>956604</v>
      </c>
      <c r="B6952">
        <v>4145813</v>
      </c>
      <c r="C6952" s="32">
        <v>43071.965868055559</v>
      </c>
    </row>
    <row r="6953" spans="1:3">
      <c r="A6953">
        <v>314873</v>
      </c>
      <c r="B6953">
        <v>982926</v>
      </c>
      <c r="C6953" s="32">
        <v>43069.676805555559</v>
      </c>
    </row>
    <row r="6954" spans="1:3">
      <c r="A6954">
        <v>371211</v>
      </c>
      <c r="B6954">
        <v>149192</v>
      </c>
      <c r="C6954" s="32">
        <v>43072.310347222221</v>
      </c>
    </row>
    <row r="6955" spans="1:3">
      <c r="A6955">
        <v>210993</v>
      </c>
      <c r="B6955">
        <v>1299190</v>
      </c>
      <c r="C6955" s="32">
        <v>43069.674293981479</v>
      </c>
    </row>
    <row r="6956" spans="1:3">
      <c r="A6956">
        <v>56658</v>
      </c>
      <c r="B6956">
        <v>1820842</v>
      </c>
      <c r="C6956" s="32">
        <v>43071.097013888888</v>
      </c>
    </row>
    <row r="6957" spans="1:3">
      <c r="A6957">
        <v>883789</v>
      </c>
      <c r="B6957">
        <v>2640118</v>
      </c>
      <c r="C6957" s="32">
        <v>43071.046319444446</v>
      </c>
    </row>
    <row r="6958" spans="1:3">
      <c r="A6958">
        <v>927320</v>
      </c>
      <c r="B6958">
        <v>2355072</v>
      </c>
      <c r="C6958" s="32">
        <v>43070.221018518518</v>
      </c>
    </row>
    <row r="6959" spans="1:3">
      <c r="A6959">
        <v>12765</v>
      </c>
      <c r="B6959">
        <v>4565874</v>
      </c>
      <c r="C6959" s="32">
        <v>43071.021932870368</v>
      </c>
    </row>
    <row r="6960" spans="1:3">
      <c r="A6960">
        <v>559131</v>
      </c>
      <c r="B6960">
        <v>2355072</v>
      </c>
      <c r="C6960" s="32">
        <v>43072.340949074074</v>
      </c>
    </row>
    <row r="6961" spans="1:3">
      <c r="A6961">
        <v>147667</v>
      </c>
      <c r="B6961">
        <v>3673049</v>
      </c>
      <c r="C6961" s="32">
        <v>43071.281122685185</v>
      </c>
    </row>
    <row r="6962" spans="1:3">
      <c r="A6962">
        <v>223435</v>
      </c>
      <c r="B6962">
        <v>3607361</v>
      </c>
      <c r="C6962" s="32">
        <v>43070.561678240738</v>
      </c>
    </row>
    <row r="6963" spans="1:3">
      <c r="A6963">
        <v>374971</v>
      </c>
      <c r="B6963">
        <v>2465336</v>
      </c>
      <c r="C6963" s="32">
        <v>43072.406597222223</v>
      </c>
    </row>
    <row r="6964" spans="1:3">
      <c r="A6964">
        <v>820298</v>
      </c>
      <c r="B6964">
        <v>1288487</v>
      </c>
      <c r="C6964" s="32">
        <v>43071.664571759262</v>
      </c>
    </row>
    <row r="6965" spans="1:3">
      <c r="A6965">
        <v>801107</v>
      </c>
      <c r="B6965">
        <v>3616520</v>
      </c>
      <c r="C6965" s="32">
        <v>43071.528831018521</v>
      </c>
    </row>
    <row r="6966" spans="1:3">
      <c r="A6966">
        <v>275803</v>
      </c>
      <c r="B6966">
        <v>2033408</v>
      </c>
      <c r="C6966" s="32">
        <v>43072.338958333334</v>
      </c>
    </row>
    <row r="6967" spans="1:3">
      <c r="A6967">
        <v>902838</v>
      </c>
      <c r="B6967">
        <v>154040</v>
      </c>
      <c r="C6967" s="32">
        <v>43071.542025462964</v>
      </c>
    </row>
    <row r="6968" spans="1:3">
      <c r="A6968">
        <v>396862</v>
      </c>
      <c r="B6968">
        <v>5053508</v>
      </c>
      <c r="C6968" s="32">
        <v>43072.497245370374</v>
      </c>
    </row>
    <row r="6969" spans="1:3">
      <c r="A6969">
        <v>557557</v>
      </c>
      <c r="B6969">
        <v>2355072</v>
      </c>
      <c r="C6969" s="32">
        <v>43072.550625000003</v>
      </c>
    </row>
    <row r="6970" spans="1:3">
      <c r="A6970">
        <v>393215</v>
      </c>
      <c r="B6970">
        <v>4339722</v>
      </c>
      <c r="C6970" s="32">
        <v>43071.593252314815</v>
      </c>
    </row>
    <row r="6971" spans="1:3">
      <c r="A6971">
        <v>41111</v>
      </c>
      <c r="B6971">
        <v>4921805</v>
      </c>
      <c r="C6971" s="32">
        <v>43071.288217592592</v>
      </c>
    </row>
    <row r="6972" spans="1:3">
      <c r="A6972">
        <v>268752</v>
      </c>
      <c r="B6972">
        <v>4801426</v>
      </c>
      <c r="C6972" s="32">
        <v>43071.836400462962</v>
      </c>
    </row>
    <row r="6973" spans="1:3">
      <c r="A6973">
        <v>568578</v>
      </c>
      <c r="B6973">
        <v>2533863</v>
      </c>
      <c r="C6973" s="32">
        <v>43070.378495370373</v>
      </c>
    </row>
    <row r="6974" spans="1:3">
      <c r="A6974">
        <v>543977</v>
      </c>
      <c r="B6974">
        <v>2558244</v>
      </c>
      <c r="C6974" s="32">
        <v>43072.537372685183</v>
      </c>
    </row>
    <row r="6975" spans="1:3">
      <c r="A6975">
        <v>65111</v>
      </c>
      <c r="B6975">
        <v>4756105</v>
      </c>
      <c r="C6975" s="32">
        <v>43071.677754629629</v>
      </c>
    </row>
    <row r="6976" spans="1:3">
      <c r="A6976">
        <v>380660</v>
      </c>
      <c r="B6976">
        <v>4145813</v>
      </c>
      <c r="C6976" s="32">
        <v>43070.625567129631</v>
      </c>
    </row>
    <row r="6977" spans="1:3">
      <c r="A6977">
        <v>100879</v>
      </c>
      <c r="B6977">
        <v>4050612</v>
      </c>
      <c r="C6977" s="32">
        <v>43072.280358796299</v>
      </c>
    </row>
    <row r="6978" spans="1:3">
      <c r="A6978">
        <v>514713</v>
      </c>
      <c r="B6978">
        <v>4640311</v>
      </c>
      <c r="C6978" s="32">
        <v>43070.214849537035</v>
      </c>
    </row>
    <row r="6979" spans="1:3">
      <c r="A6979">
        <v>354694</v>
      </c>
      <c r="B6979">
        <v>3844144</v>
      </c>
      <c r="C6979" s="32">
        <v>43071.20076388889</v>
      </c>
    </row>
    <row r="6980" spans="1:3">
      <c r="A6980">
        <v>146901</v>
      </c>
      <c r="B6980">
        <v>4801426</v>
      </c>
      <c r="C6980" s="32">
        <v>43071.32917824074</v>
      </c>
    </row>
    <row r="6981" spans="1:3">
      <c r="A6981">
        <v>153884</v>
      </c>
      <c r="B6981">
        <v>982926</v>
      </c>
      <c r="C6981" s="32">
        <v>43072.247511574074</v>
      </c>
    </row>
    <row r="6982" spans="1:3">
      <c r="A6982">
        <v>617666</v>
      </c>
      <c r="B6982">
        <v>1807416</v>
      </c>
      <c r="C6982" s="32">
        <v>43071.927685185183</v>
      </c>
    </row>
    <row r="6983" spans="1:3">
      <c r="A6983">
        <v>679722</v>
      </c>
      <c r="B6983">
        <v>2208799</v>
      </c>
      <c r="C6983" s="32">
        <v>43072.473541666666</v>
      </c>
    </row>
    <row r="6984" spans="1:3">
      <c r="A6984">
        <v>56978</v>
      </c>
      <c r="B6984">
        <v>2885642</v>
      </c>
      <c r="C6984" s="32">
        <v>43070.318576388891</v>
      </c>
    </row>
    <row r="6985" spans="1:3">
      <c r="A6985">
        <v>185137</v>
      </c>
      <c r="B6985">
        <v>2072473</v>
      </c>
      <c r="C6985" s="32">
        <v>43070.137280092589</v>
      </c>
    </row>
    <row r="6986" spans="1:3">
      <c r="A6986">
        <v>274617</v>
      </c>
      <c r="B6986">
        <v>4145813</v>
      </c>
      <c r="C6986" s="32">
        <v>43071.221909722219</v>
      </c>
    </row>
    <row r="6987" spans="1:3">
      <c r="A6987">
        <v>735963</v>
      </c>
      <c r="B6987">
        <v>4789432</v>
      </c>
      <c r="C6987" s="32">
        <v>43072.022905092592</v>
      </c>
    </row>
    <row r="6988" spans="1:3">
      <c r="A6988">
        <v>17844</v>
      </c>
      <c r="B6988">
        <v>154040</v>
      </c>
      <c r="C6988" s="32">
        <v>43072.495451388888</v>
      </c>
    </row>
    <row r="6989" spans="1:3">
      <c r="A6989">
        <v>491688</v>
      </c>
      <c r="B6989">
        <v>570735</v>
      </c>
      <c r="C6989" s="32">
        <v>43070.421631944446</v>
      </c>
    </row>
    <row r="6990" spans="1:3">
      <c r="A6990">
        <v>382587</v>
      </c>
      <c r="B6990">
        <v>2520377</v>
      </c>
      <c r="C6990" s="32">
        <v>43070.280289351853</v>
      </c>
    </row>
    <row r="6991" spans="1:3">
      <c r="A6991">
        <v>355609</v>
      </c>
      <c r="B6991">
        <v>3299155</v>
      </c>
      <c r="C6991" s="32">
        <v>43071.623020833336</v>
      </c>
    </row>
    <row r="6992" spans="1:3">
      <c r="A6992">
        <v>818330</v>
      </c>
      <c r="B6992">
        <v>2578647</v>
      </c>
      <c r="C6992" s="32">
        <v>43071.183287037034</v>
      </c>
    </row>
    <row r="6993" spans="1:3">
      <c r="A6993">
        <v>857492</v>
      </c>
      <c r="B6993">
        <v>149192</v>
      </c>
      <c r="C6993" s="32">
        <v>43072.582418981481</v>
      </c>
    </row>
    <row r="6994" spans="1:3">
      <c r="A6994">
        <v>814536</v>
      </c>
      <c r="B6994">
        <v>2939262</v>
      </c>
      <c r="C6994" s="32">
        <v>43069.872361111113</v>
      </c>
    </row>
    <row r="6995" spans="1:3">
      <c r="A6995">
        <v>966636</v>
      </c>
      <c r="B6995">
        <v>4640311</v>
      </c>
      <c r="C6995" s="32">
        <v>43071.030405092592</v>
      </c>
    </row>
    <row r="6996" spans="1:3">
      <c r="A6996">
        <v>337833</v>
      </c>
      <c r="B6996">
        <v>2940518</v>
      </c>
      <c r="C6996" s="32">
        <v>43071.650243055556</v>
      </c>
    </row>
    <row r="6997" spans="1:3">
      <c r="A6997">
        <v>412805</v>
      </c>
      <c r="B6997">
        <v>4181361</v>
      </c>
      <c r="C6997" s="32">
        <v>43070.942685185182</v>
      </c>
    </row>
    <row r="6998" spans="1:3">
      <c r="A6998">
        <v>69087</v>
      </c>
      <c r="B6998">
        <v>876318</v>
      </c>
      <c r="C6998" s="32">
        <v>43069.985555555555</v>
      </c>
    </row>
    <row r="6999" spans="1:3">
      <c r="A6999">
        <v>204602</v>
      </c>
      <c r="B6999">
        <v>3995452</v>
      </c>
      <c r="C6999" s="32">
        <v>43070.678680555553</v>
      </c>
    </row>
    <row r="7000" spans="1:3">
      <c r="A7000">
        <v>487242</v>
      </c>
      <c r="B7000">
        <v>3607361</v>
      </c>
      <c r="C7000" s="32">
        <v>43070.555462962962</v>
      </c>
    </row>
    <row r="7001" spans="1:3">
      <c r="A7001">
        <v>1009075</v>
      </c>
      <c r="B7001">
        <v>2465336</v>
      </c>
      <c r="C7001" s="32">
        <v>43071.670844907407</v>
      </c>
    </row>
    <row r="7002" spans="1:3">
      <c r="A7002">
        <v>209867</v>
      </c>
      <c r="B7002">
        <v>1817004</v>
      </c>
      <c r="C7002" s="32">
        <v>43072.573831018519</v>
      </c>
    </row>
    <row r="7003" spans="1:3">
      <c r="A7003">
        <v>82015</v>
      </c>
      <c r="B7003">
        <v>3607361</v>
      </c>
      <c r="C7003" s="32">
        <v>43070.567789351851</v>
      </c>
    </row>
    <row r="7004" spans="1:3">
      <c r="A7004">
        <v>508038</v>
      </c>
      <c r="B7004">
        <v>4022701</v>
      </c>
      <c r="C7004" s="32">
        <v>43071.531666666669</v>
      </c>
    </row>
    <row r="7005" spans="1:3">
      <c r="A7005">
        <v>607343</v>
      </c>
      <c r="B7005">
        <v>154040</v>
      </c>
      <c r="C7005" s="32">
        <v>43071.995740740742</v>
      </c>
    </row>
    <row r="7006" spans="1:3">
      <c r="A7006">
        <v>367546</v>
      </c>
      <c r="B7006">
        <v>3715096</v>
      </c>
      <c r="C7006" s="32">
        <v>43071.555324074077</v>
      </c>
    </row>
    <row r="7007" spans="1:3">
      <c r="A7007">
        <v>116675</v>
      </c>
      <c r="B7007">
        <v>1320293</v>
      </c>
      <c r="C7007" s="32">
        <v>43071.141412037039</v>
      </c>
    </row>
    <row r="7008" spans="1:3">
      <c r="A7008">
        <v>926677</v>
      </c>
      <c r="B7008">
        <v>4339722</v>
      </c>
      <c r="C7008" s="32">
        <v>43071.664444444446</v>
      </c>
    </row>
    <row r="7009" spans="1:3">
      <c r="A7009">
        <v>182435</v>
      </c>
      <c r="B7009">
        <v>4145813</v>
      </c>
      <c r="C7009" s="32">
        <v>43070.551342592589</v>
      </c>
    </row>
    <row r="7010" spans="1:3">
      <c r="A7010">
        <v>749100</v>
      </c>
      <c r="B7010">
        <v>2355072</v>
      </c>
      <c r="C7010" s="32">
        <v>43072.643773148149</v>
      </c>
    </row>
    <row r="7011" spans="1:3">
      <c r="A7011">
        <v>200416</v>
      </c>
      <c r="B7011">
        <v>3189162</v>
      </c>
      <c r="C7011" s="32">
        <v>43072.418865740743</v>
      </c>
    </row>
    <row r="7012" spans="1:3">
      <c r="A7012">
        <v>938594</v>
      </c>
      <c r="B7012">
        <v>383749</v>
      </c>
      <c r="C7012" s="32">
        <v>43071.63758101852</v>
      </c>
    </row>
    <row r="7013" spans="1:3">
      <c r="A7013">
        <v>566268</v>
      </c>
      <c r="B7013">
        <v>4756105</v>
      </c>
      <c r="C7013" s="32">
        <v>43070.435219907406</v>
      </c>
    </row>
    <row r="7014" spans="1:3">
      <c r="A7014">
        <v>100331</v>
      </c>
      <c r="B7014">
        <v>570735</v>
      </c>
      <c r="C7014" s="32">
        <v>43072.09034722222</v>
      </c>
    </row>
    <row r="7015" spans="1:3">
      <c r="A7015">
        <v>515394</v>
      </c>
      <c r="B7015">
        <v>4145813</v>
      </c>
      <c r="C7015" s="32">
        <v>43071.410833333335</v>
      </c>
    </row>
    <row r="7016" spans="1:3">
      <c r="A7016">
        <v>753913</v>
      </c>
      <c r="B7016">
        <v>1299190</v>
      </c>
      <c r="C7016" s="32">
        <v>43070.20585648148</v>
      </c>
    </row>
    <row r="7017" spans="1:3">
      <c r="A7017">
        <v>942147</v>
      </c>
      <c r="B7017">
        <v>2905937</v>
      </c>
      <c r="C7017" s="32">
        <v>43072.534097222226</v>
      </c>
    </row>
    <row r="7018" spans="1:3">
      <c r="A7018">
        <v>251703</v>
      </c>
      <c r="B7018">
        <v>4918438</v>
      </c>
      <c r="C7018" s="32">
        <v>43071.262361111112</v>
      </c>
    </row>
    <row r="7019" spans="1:3">
      <c r="A7019">
        <v>65881</v>
      </c>
      <c r="B7019">
        <v>3002561</v>
      </c>
      <c r="C7019" s="32">
        <v>43071.330127314817</v>
      </c>
    </row>
    <row r="7020" spans="1:3">
      <c r="A7020">
        <v>879137</v>
      </c>
      <c r="B7020">
        <v>1464116</v>
      </c>
      <c r="C7020" s="32">
        <v>43072.424710648149</v>
      </c>
    </row>
    <row r="7021" spans="1:3">
      <c r="A7021">
        <v>940788</v>
      </c>
      <c r="B7021">
        <v>235534</v>
      </c>
      <c r="C7021" s="32">
        <v>43071.589097222219</v>
      </c>
    </row>
    <row r="7022" spans="1:3">
      <c r="A7022">
        <v>813824</v>
      </c>
      <c r="B7022">
        <v>119741</v>
      </c>
      <c r="C7022" s="32">
        <v>43071.953541666669</v>
      </c>
    </row>
    <row r="7023" spans="1:3">
      <c r="A7023">
        <v>152505</v>
      </c>
      <c r="B7023">
        <v>2735466</v>
      </c>
      <c r="C7023" s="32">
        <v>43072.609247685185</v>
      </c>
    </row>
    <row r="7024" spans="1:3">
      <c r="A7024">
        <v>817083</v>
      </c>
      <c r="B7024">
        <v>4853595</v>
      </c>
      <c r="C7024" s="32">
        <v>43072.444722222222</v>
      </c>
    </row>
    <row r="7025" spans="1:3">
      <c r="A7025">
        <v>667710</v>
      </c>
      <c r="B7025">
        <v>2520771</v>
      </c>
      <c r="C7025" s="32">
        <v>43071.652499999997</v>
      </c>
    </row>
    <row r="7026" spans="1:3">
      <c r="A7026">
        <v>160009</v>
      </c>
      <c r="B7026">
        <v>4558987</v>
      </c>
      <c r="C7026" s="32">
        <v>43071.580868055556</v>
      </c>
    </row>
    <row r="7027" spans="1:3">
      <c r="A7027">
        <v>258497</v>
      </c>
      <c r="B7027">
        <v>5053508</v>
      </c>
      <c r="C7027" s="32">
        <v>43072.160821759258</v>
      </c>
    </row>
    <row r="7028" spans="1:3">
      <c r="A7028">
        <v>44190</v>
      </c>
      <c r="B7028">
        <v>2735466</v>
      </c>
      <c r="C7028" s="32">
        <v>43072.626840277779</v>
      </c>
    </row>
    <row r="7029" spans="1:3">
      <c r="A7029">
        <v>21711</v>
      </c>
      <c r="B7029">
        <v>3422001</v>
      </c>
      <c r="C7029" s="32">
        <v>43070.246527777781</v>
      </c>
    </row>
    <row r="7030" spans="1:3">
      <c r="A7030">
        <v>47295</v>
      </c>
      <c r="B7030">
        <v>2072473</v>
      </c>
      <c r="C7030" s="32">
        <v>43072.66233796296</v>
      </c>
    </row>
    <row r="7031" spans="1:3">
      <c r="A7031">
        <v>381901</v>
      </c>
      <c r="B7031">
        <v>2853993</v>
      </c>
      <c r="C7031" s="32">
        <v>43070.392245370371</v>
      </c>
    </row>
    <row r="7032" spans="1:3">
      <c r="A7032">
        <v>576185</v>
      </c>
      <c r="B7032">
        <v>1879194</v>
      </c>
      <c r="C7032" s="32">
        <v>43072.528715277775</v>
      </c>
    </row>
    <row r="7033" spans="1:3">
      <c r="A7033">
        <v>943995</v>
      </c>
      <c r="B7033">
        <v>4181361</v>
      </c>
      <c r="C7033" s="32">
        <v>43071.091145833336</v>
      </c>
    </row>
    <row r="7034" spans="1:3">
      <c r="A7034">
        <v>679722</v>
      </c>
      <c r="B7034">
        <v>4181361</v>
      </c>
      <c r="C7034" s="32">
        <v>43072.461828703701</v>
      </c>
    </row>
    <row r="7035" spans="1:3">
      <c r="A7035">
        <v>941405</v>
      </c>
      <c r="B7035">
        <v>3720767</v>
      </c>
      <c r="C7035" s="32">
        <v>43072.476006944446</v>
      </c>
    </row>
    <row r="7036" spans="1:3">
      <c r="A7036">
        <v>1014552</v>
      </c>
      <c r="B7036">
        <v>405755</v>
      </c>
      <c r="C7036" s="32">
        <v>43071.082824074074</v>
      </c>
    </row>
    <row r="7037" spans="1:3">
      <c r="A7037">
        <v>520183</v>
      </c>
      <c r="B7037">
        <v>3607361</v>
      </c>
      <c r="C7037" s="32">
        <v>43071.179143518515</v>
      </c>
    </row>
    <row r="7038" spans="1:3">
      <c r="A7038">
        <v>165780</v>
      </c>
      <c r="B7038">
        <v>4690421</v>
      </c>
      <c r="C7038" s="32">
        <v>43071.452187499999</v>
      </c>
    </row>
    <row r="7039" spans="1:3">
      <c r="A7039">
        <v>90802</v>
      </c>
      <c r="B7039">
        <v>4756105</v>
      </c>
      <c r="C7039" s="32">
        <v>43072.53466435185</v>
      </c>
    </row>
    <row r="7040" spans="1:3">
      <c r="A7040">
        <v>185023</v>
      </c>
      <c r="B7040">
        <v>154040</v>
      </c>
      <c r="C7040" s="32">
        <v>43071.595706018517</v>
      </c>
    </row>
    <row r="7041" spans="1:3">
      <c r="A7041">
        <v>530984</v>
      </c>
      <c r="B7041">
        <v>1275696</v>
      </c>
      <c r="C7041" s="32">
        <v>43071.694027777776</v>
      </c>
    </row>
    <row r="7042" spans="1:3">
      <c r="A7042">
        <v>27560</v>
      </c>
      <c r="B7042">
        <v>4331400</v>
      </c>
      <c r="C7042" s="32">
        <v>43070.073923611111</v>
      </c>
    </row>
    <row r="7043" spans="1:3">
      <c r="A7043">
        <v>565361</v>
      </c>
      <c r="B7043">
        <v>4357323</v>
      </c>
      <c r="C7043" s="32">
        <v>43072.079201388886</v>
      </c>
    </row>
    <row r="7044" spans="1:3">
      <c r="A7044">
        <v>451786</v>
      </c>
      <c r="B7044">
        <v>4801426</v>
      </c>
      <c r="C7044" s="32">
        <v>43071.541192129633</v>
      </c>
    </row>
    <row r="7045" spans="1:3">
      <c r="A7045">
        <v>456634</v>
      </c>
      <c r="B7045">
        <v>3880463</v>
      </c>
      <c r="C7045" s="32">
        <v>43070.160694444443</v>
      </c>
    </row>
    <row r="7046" spans="1:3">
      <c r="A7046">
        <v>410820</v>
      </c>
      <c r="B7046">
        <v>4576874</v>
      </c>
      <c r="C7046" s="32">
        <v>43071.547800925924</v>
      </c>
    </row>
    <row r="7047" spans="1:3">
      <c r="A7047">
        <v>38435</v>
      </c>
      <c r="B7047">
        <v>149192</v>
      </c>
      <c r="C7047" s="32">
        <v>43072.620347222219</v>
      </c>
    </row>
    <row r="7048" spans="1:3">
      <c r="A7048">
        <v>837683</v>
      </c>
      <c r="B7048">
        <v>235534</v>
      </c>
      <c r="C7048" s="32">
        <v>43070.722581018519</v>
      </c>
    </row>
    <row r="7049" spans="1:3">
      <c r="A7049">
        <v>798755</v>
      </c>
      <c r="B7049">
        <v>149192</v>
      </c>
      <c r="C7049" s="32">
        <v>43071.526261574072</v>
      </c>
    </row>
    <row r="7050" spans="1:3">
      <c r="A7050">
        <v>936962</v>
      </c>
      <c r="B7050">
        <v>2578647</v>
      </c>
      <c r="C7050" s="32">
        <v>43071.39806712963</v>
      </c>
    </row>
    <row r="7051" spans="1:3">
      <c r="A7051">
        <v>229655</v>
      </c>
      <c r="B7051">
        <v>2311290</v>
      </c>
      <c r="C7051" s="32">
        <v>43072.020983796298</v>
      </c>
    </row>
    <row r="7052" spans="1:3">
      <c r="A7052">
        <v>384601</v>
      </c>
      <c r="B7052">
        <v>2693696</v>
      </c>
      <c r="C7052" s="32">
        <v>43069.757824074077</v>
      </c>
    </row>
    <row r="7053" spans="1:3">
      <c r="A7053">
        <v>805636</v>
      </c>
      <c r="B7053">
        <v>381850</v>
      </c>
      <c r="C7053" s="32">
        <v>43070.052476851852</v>
      </c>
    </row>
    <row r="7054" spans="1:3">
      <c r="A7054">
        <v>230887</v>
      </c>
      <c r="B7054">
        <v>2812445</v>
      </c>
      <c r="C7054" s="32">
        <v>43072.608888888892</v>
      </c>
    </row>
    <row r="7055" spans="1:3">
      <c r="A7055">
        <v>479235</v>
      </c>
      <c r="B7055">
        <v>3102419</v>
      </c>
      <c r="C7055" s="32">
        <v>43070.352650462963</v>
      </c>
    </row>
    <row r="7056" spans="1:3">
      <c r="A7056">
        <v>336106</v>
      </c>
      <c r="B7056">
        <v>4756105</v>
      </c>
      <c r="C7056" s="32">
        <v>43071.420300925929</v>
      </c>
    </row>
    <row r="7057" spans="1:3">
      <c r="A7057">
        <v>132457</v>
      </c>
      <c r="B7057">
        <v>2640118</v>
      </c>
      <c r="C7057" s="32">
        <v>43072.131851851853</v>
      </c>
    </row>
    <row r="7058" spans="1:3">
      <c r="A7058">
        <v>109414</v>
      </c>
      <c r="B7058">
        <v>2520771</v>
      </c>
      <c r="C7058" s="32">
        <v>43071.573553240742</v>
      </c>
    </row>
    <row r="7059" spans="1:3">
      <c r="A7059">
        <v>117177</v>
      </c>
      <c r="B7059">
        <v>235534</v>
      </c>
      <c r="C7059" s="32">
        <v>43072.658541666664</v>
      </c>
    </row>
    <row r="7060" spans="1:3">
      <c r="A7060">
        <v>329432</v>
      </c>
      <c r="B7060">
        <v>4238676</v>
      </c>
      <c r="C7060" s="32">
        <v>43072.534363425926</v>
      </c>
    </row>
    <row r="7061" spans="1:3">
      <c r="A7061">
        <v>910988</v>
      </c>
      <c r="B7061">
        <v>3004853</v>
      </c>
      <c r="C7061" s="32">
        <v>43071.339444444442</v>
      </c>
    </row>
    <row r="7062" spans="1:3">
      <c r="A7062">
        <v>600830</v>
      </c>
      <c r="B7062">
        <v>4331400</v>
      </c>
      <c r="C7062" s="32">
        <v>43071.317071759258</v>
      </c>
    </row>
    <row r="7063" spans="1:3">
      <c r="A7063">
        <v>831290</v>
      </c>
      <c r="B7063">
        <v>4731191</v>
      </c>
      <c r="C7063" s="32">
        <v>43072.531365740739</v>
      </c>
    </row>
    <row r="7064" spans="1:3">
      <c r="A7064">
        <v>412200</v>
      </c>
      <c r="B7064">
        <v>866301</v>
      </c>
      <c r="C7064" s="32">
        <v>43071.638055555559</v>
      </c>
    </row>
    <row r="7065" spans="1:3">
      <c r="A7065">
        <v>334510</v>
      </c>
      <c r="B7065">
        <v>4217906</v>
      </c>
      <c r="C7065" s="32">
        <v>43071.484710648147</v>
      </c>
    </row>
    <row r="7066" spans="1:3">
      <c r="A7066">
        <v>386648</v>
      </c>
      <c r="B7066">
        <v>4145813</v>
      </c>
      <c r="C7066" s="32">
        <v>43070.835972222223</v>
      </c>
    </row>
    <row r="7067" spans="1:3">
      <c r="A7067">
        <v>991869</v>
      </c>
      <c r="B7067">
        <v>570735</v>
      </c>
      <c r="C7067" s="32">
        <v>43072.476631944446</v>
      </c>
    </row>
    <row r="7068" spans="1:3">
      <c r="A7068">
        <v>911625</v>
      </c>
      <c r="B7068">
        <v>4756105</v>
      </c>
      <c r="C7068" s="32">
        <v>43071.615844907406</v>
      </c>
    </row>
    <row r="7069" spans="1:3">
      <c r="A7069">
        <v>12597</v>
      </c>
      <c r="B7069">
        <v>4756105</v>
      </c>
      <c r="C7069" s="32">
        <v>43071.539733796293</v>
      </c>
    </row>
    <row r="7070" spans="1:3">
      <c r="A7070">
        <v>825053</v>
      </c>
      <c r="B7070">
        <v>3702593</v>
      </c>
      <c r="C7070" s="32">
        <v>43070.520972222221</v>
      </c>
    </row>
    <row r="7071" spans="1:3">
      <c r="A7071">
        <v>306888</v>
      </c>
      <c r="B7071">
        <v>3002561</v>
      </c>
      <c r="C7071" s="32">
        <v>43071.587152777778</v>
      </c>
    </row>
    <row r="7072" spans="1:3">
      <c r="A7072">
        <v>560796</v>
      </c>
      <c r="B7072">
        <v>4919077</v>
      </c>
      <c r="C7072" s="32">
        <v>43071.627962962964</v>
      </c>
    </row>
    <row r="7073" spans="1:3">
      <c r="A7073">
        <v>725756</v>
      </c>
      <c r="B7073">
        <v>1080785</v>
      </c>
      <c r="C7073" s="32">
        <v>43070.591747685183</v>
      </c>
    </row>
    <row r="7074" spans="1:3">
      <c r="A7074">
        <v>776727</v>
      </c>
      <c r="B7074">
        <v>3736316</v>
      </c>
      <c r="C7074" s="32">
        <v>43072.295995370368</v>
      </c>
    </row>
    <row r="7075" spans="1:3">
      <c r="A7075">
        <v>271799</v>
      </c>
      <c r="B7075">
        <v>3189162</v>
      </c>
      <c r="C7075" s="32">
        <v>43070.330648148149</v>
      </c>
    </row>
    <row r="7076" spans="1:3">
      <c r="A7076">
        <v>455020</v>
      </c>
      <c r="B7076">
        <v>1464116</v>
      </c>
      <c r="C7076" s="32">
        <v>43072.329942129632</v>
      </c>
    </row>
    <row r="7077" spans="1:3">
      <c r="A7077">
        <v>83132</v>
      </c>
      <c r="B7077">
        <v>3795317</v>
      </c>
      <c r="C7077" s="32">
        <v>43072.088495370372</v>
      </c>
    </row>
    <row r="7078" spans="1:3">
      <c r="A7078">
        <v>235589</v>
      </c>
      <c r="B7078">
        <v>4357323</v>
      </c>
      <c r="C7078" s="32">
        <v>43070.451215277775</v>
      </c>
    </row>
    <row r="7079" spans="1:3">
      <c r="A7079">
        <v>984162</v>
      </c>
      <c r="B7079">
        <v>982926</v>
      </c>
      <c r="C7079" s="32">
        <v>43070.0862037037</v>
      </c>
    </row>
    <row r="7080" spans="1:3">
      <c r="A7080">
        <v>14452</v>
      </c>
      <c r="B7080">
        <v>3669044</v>
      </c>
      <c r="C7080" s="32">
        <v>43072.596886574072</v>
      </c>
    </row>
    <row r="7081" spans="1:3">
      <c r="A7081">
        <v>274045</v>
      </c>
      <c r="B7081">
        <v>3740459</v>
      </c>
      <c r="C7081" s="32">
        <v>43071.248668981483</v>
      </c>
    </row>
    <row r="7082" spans="1:3">
      <c r="A7082">
        <v>117291</v>
      </c>
      <c r="B7082">
        <v>4801426</v>
      </c>
      <c r="C7082" s="32">
        <v>43070.164421296293</v>
      </c>
    </row>
    <row r="7083" spans="1:3">
      <c r="A7083">
        <v>77108</v>
      </c>
      <c r="B7083">
        <v>2407396</v>
      </c>
      <c r="C7083" s="32">
        <v>43071.694814814815</v>
      </c>
    </row>
    <row r="7084" spans="1:3">
      <c r="A7084">
        <v>642675</v>
      </c>
      <c r="B7084">
        <v>3579754</v>
      </c>
      <c r="C7084" s="32">
        <v>43071.581608796296</v>
      </c>
    </row>
    <row r="7085" spans="1:3">
      <c r="A7085">
        <v>500837</v>
      </c>
      <c r="B7085">
        <v>3645362</v>
      </c>
      <c r="C7085" s="32">
        <v>43072.273923611108</v>
      </c>
    </row>
    <row r="7086" spans="1:3">
      <c r="A7086">
        <v>704704</v>
      </c>
      <c r="B7086">
        <v>4980533</v>
      </c>
      <c r="C7086" s="32">
        <v>43070.394305555557</v>
      </c>
    </row>
    <row r="7087" spans="1:3">
      <c r="A7087">
        <v>740503</v>
      </c>
      <c r="B7087">
        <v>982926</v>
      </c>
      <c r="C7087" s="32">
        <v>43071.352465277778</v>
      </c>
    </row>
    <row r="7088" spans="1:3">
      <c r="A7088">
        <v>354269</v>
      </c>
      <c r="B7088">
        <v>3711641</v>
      </c>
      <c r="C7088" s="32">
        <v>43072.581956018519</v>
      </c>
    </row>
    <row r="7089" spans="1:3">
      <c r="A7089">
        <v>989967</v>
      </c>
      <c r="B7089">
        <v>2863168</v>
      </c>
      <c r="C7089" s="32">
        <v>43072.419085648151</v>
      </c>
    </row>
    <row r="7090" spans="1:3">
      <c r="A7090">
        <v>791962</v>
      </c>
      <c r="B7090">
        <v>2774299</v>
      </c>
      <c r="C7090" s="32">
        <v>43072.347002314818</v>
      </c>
    </row>
    <row r="7091" spans="1:3">
      <c r="A7091">
        <v>1011935</v>
      </c>
      <c r="B7091">
        <v>4135836</v>
      </c>
      <c r="C7091" s="32">
        <v>43072.05232638889</v>
      </c>
    </row>
    <row r="7092" spans="1:3">
      <c r="A7092">
        <v>979304</v>
      </c>
      <c r="B7092">
        <v>4756105</v>
      </c>
      <c r="C7092" s="32">
        <v>43072.257939814815</v>
      </c>
    </row>
    <row r="7093" spans="1:3">
      <c r="A7093">
        <v>534958</v>
      </c>
      <c r="B7093">
        <v>856718</v>
      </c>
      <c r="C7093" s="32">
        <v>43072.460300925923</v>
      </c>
    </row>
    <row r="7094" spans="1:3">
      <c r="A7094">
        <v>374595</v>
      </c>
      <c r="B7094">
        <v>1635619</v>
      </c>
      <c r="C7094" s="32">
        <v>43071.464004629626</v>
      </c>
    </row>
    <row r="7095" spans="1:3">
      <c r="A7095">
        <v>131142</v>
      </c>
      <c r="B7095">
        <v>3077776</v>
      </c>
      <c r="C7095" s="32">
        <v>43072.542233796295</v>
      </c>
    </row>
    <row r="7096" spans="1:3">
      <c r="A7096">
        <v>166967</v>
      </c>
      <c r="B7096">
        <v>3938045</v>
      </c>
      <c r="C7096" s="32">
        <v>43072.400578703702</v>
      </c>
    </row>
    <row r="7097" spans="1:3">
      <c r="A7097">
        <v>904713</v>
      </c>
      <c r="B7097">
        <v>1879194</v>
      </c>
      <c r="C7097" s="32">
        <v>43072.006851851853</v>
      </c>
    </row>
    <row r="7098" spans="1:3">
      <c r="A7098">
        <v>396221</v>
      </c>
      <c r="B7098">
        <v>1879194</v>
      </c>
      <c r="C7098" s="32">
        <v>43070.688634259262</v>
      </c>
    </row>
    <row r="7099" spans="1:3">
      <c r="A7099">
        <v>311686</v>
      </c>
      <c r="B7099">
        <v>982926</v>
      </c>
      <c r="C7099" s="32">
        <v>43071.78769675926</v>
      </c>
    </row>
    <row r="7100" spans="1:3">
      <c r="A7100">
        <v>477783</v>
      </c>
      <c r="B7100">
        <v>982926</v>
      </c>
      <c r="C7100" s="32">
        <v>43071.327210648145</v>
      </c>
    </row>
    <row r="7101" spans="1:3">
      <c r="A7101">
        <v>89641</v>
      </c>
      <c r="B7101">
        <v>4756105</v>
      </c>
      <c r="C7101" s="32">
        <v>43070.985486111109</v>
      </c>
    </row>
    <row r="7102" spans="1:3">
      <c r="A7102">
        <v>463368</v>
      </c>
      <c r="B7102">
        <v>982926</v>
      </c>
      <c r="C7102" s="32">
        <v>43069.93482638889</v>
      </c>
    </row>
    <row r="7103" spans="1:3">
      <c r="A7103">
        <v>549125</v>
      </c>
      <c r="B7103">
        <v>4643350</v>
      </c>
      <c r="C7103" s="32">
        <v>43071.173414351855</v>
      </c>
    </row>
    <row r="7104" spans="1:3">
      <c r="A7104">
        <v>650330</v>
      </c>
      <c r="B7104">
        <v>2262787</v>
      </c>
      <c r="C7104" s="32">
        <v>43072.487222222226</v>
      </c>
    </row>
    <row r="7105" spans="1:3">
      <c r="A7105">
        <v>989078</v>
      </c>
      <c r="B7105">
        <v>772629</v>
      </c>
      <c r="C7105" s="32">
        <v>43072.619837962964</v>
      </c>
    </row>
    <row r="7106" spans="1:3">
      <c r="A7106">
        <v>403730</v>
      </c>
      <c r="B7106">
        <v>4181361</v>
      </c>
      <c r="C7106" s="32">
        <v>43071.584131944444</v>
      </c>
    </row>
    <row r="7107" spans="1:3">
      <c r="A7107">
        <v>277734</v>
      </c>
      <c r="B7107">
        <v>3645362</v>
      </c>
      <c r="C7107" s="32">
        <v>43071.659212962964</v>
      </c>
    </row>
    <row r="7108" spans="1:3">
      <c r="A7108">
        <v>493681</v>
      </c>
      <c r="B7108">
        <v>3720767</v>
      </c>
      <c r="C7108" s="32">
        <v>43070.064849537041</v>
      </c>
    </row>
    <row r="7109" spans="1:3">
      <c r="A7109">
        <v>613770</v>
      </c>
      <c r="B7109">
        <v>4756105</v>
      </c>
      <c r="C7109" s="32">
        <v>43071.242928240739</v>
      </c>
    </row>
    <row r="7110" spans="1:3">
      <c r="A7110">
        <v>821045</v>
      </c>
      <c r="B7110">
        <v>4462359</v>
      </c>
      <c r="C7110" s="32">
        <v>43072.18959490741</v>
      </c>
    </row>
    <row r="7111" spans="1:3">
      <c r="A7111">
        <v>836354</v>
      </c>
      <c r="B7111">
        <v>1029459</v>
      </c>
      <c r="C7111" s="32">
        <v>43070.534212962964</v>
      </c>
    </row>
    <row r="7112" spans="1:3">
      <c r="A7112">
        <v>961406</v>
      </c>
      <c r="B7112">
        <v>149192</v>
      </c>
      <c r="C7112" s="32">
        <v>43071.210972222223</v>
      </c>
    </row>
    <row r="7113" spans="1:3">
      <c r="A7113">
        <v>400030</v>
      </c>
      <c r="B7113">
        <v>1320293</v>
      </c>
      <c r="C7113" s="32">
        <v>43071.979212962964</v>
      </c>
    </row>
    <row r="7114" spans="1:3">
      <c r="A7114">
        <v>248956</v>
      </c>
      <c r="B7114">
        <v>238434</v>
      </c>
      <c r="C7114" s="32">
        <v>43070.703217592592</v>
      </c>
    </row>
    <row r="7115" spans="1:3">
      <c r="A7115">
        <v>268449</v>
      </c>
      <c r="B7115">
        <v>1320530</v>
      </c>
      <c r="C7115" s="32">
        <v>43072.446076388886</v>
      </c>
    </row>
    <row r="7116" spans="1:3">
      <c r="A7116">
        <v>1001800</v>
      </c>
      <c r="B7116">
        <v>3004853</v>
      </c>
      <c r="C7116" s="32">
        <v>43071.502349537041</v>
      </c>
    </row>
    <row r="7117" spans="1:3">
      <c r="A7117">
        <v>894945</v>
      </c>
      <c r="B7117">
        <v>1320293</v>
      </c>
      <c r="C7117" s="32">
        <v>43072.633912037039</v>
      </c>
    </row>
    <row r="7118" spans="1:3">
      <c r="A7118">
        <v>453253</v>
      </c>
      <c r="B7118">
        <v>64179</v>
      </c>
      <c r="C7118" s="32">
        <v>43070.71497685185</v>
      </c>
    </row>
    <row r="7119" spans="1:3">
      <c r="A7119">
        <v>539520</v>
      </c>
      <c r="B7119">
        <v>2926020</v>
      </c>
      <c r="C7119" s="32">
        <v>43071.338113425925</v>
      </c>
    </row>
    <row r="7120" spans="1:3">
      <c r="A7120">
        <v>370451</v>
      </c>
      <c r="B7120">
        <v>1207887</v>
      </c>
      <c r="C7120" s="32">
        <v>43070.620949074073</v>
      </c>
    </row>
    <row r="7121" spans="1:3">
      <c r="A7121">
        <v>998711</v>
      </c>
      <c r="B7121">
        <v>4969568</v>
      </c>
      <c r="C7121" s="32">
        <v>43071.125798611109</v>
      </c>
    </row>
    <row r="7122" spans="1:3">
      <c r="A7122">
        <v>1008215</v>
      </c>
      <c r="B7122">
        <v>5028478</v>
      </c>
      <c r="C7122" s="32">
        <v>43070.525567129633</v>
      </c>
    </row>
    <row r="7123" spans="1:3">
      <c r="A7123">
        <v>511949</v>
      </c>
      <c r="B7123">
        <v>238434</v>
      </c>
      <c r="C7123" s="32">
        <v>43070.336319444446</v>
      </c>
    </row>
    <row r="7124" spans="1:3">
      <c r="A7124">
        <v>381131</v>
      </c>
      <c r="B7124">
        <v>3607361</v>
      </c>
      <c r="C7124" s="32">
        <v>43071.579351851855</v>
      </c>
    </row>
    <row r="7125" spans="1:3">
      <c r="A7125">
        <v>180088</v>
      </c>
      <c r="B7125">
        <v>3779369</v>
      </c>
      <c r="C7125" s="32">
        <v>43070.256793981483</v>
      </c>
    </row>
    <row r="7126" spans="1:3">
      <c r="A7126">
        <v>239539</v>
      </c>
      <c r="B7126">
        <v>154040</v>
      </c>
      <c r="C7126" s="32">
        <v>43070.663321759261</v>
      </c>
    </row>
    <row r="7127" spans="1:3">
      <c r="A7127">
        <v>955002</v>
      </c>
      <c r="B7127">
        <v>3740459</v>
      </c>
      <c r="C7127" s="32">
        <v>43070.148981481485</v>
      </c>
    </row>
    <row r="7128" spans="1:3">
      <c r="A7128">
        <v>532912</v>
      </c>
      <c r="B7128">
        <v>4339722</v>
      </c>
      <c r="C7128" s="32">
        <v>43071.500300925924</v>
      </c>
    </row>
    <row r="7129" spans="1:3">
      <c r="A7129">
        <v>957353</v>
      </c>
      <c r="B7129">
        <v>4723214</v>
      </c>
      <c r="C7129" s="32">
        <v>43069.90011574074</v>
      </c>
    </row>
    <row r="7130" spans="1:3">
      <c r="A7130">
        <v>53467</v>
      </c>
      <c r="B7130">
        <v>2920476</v>
      </c>
      <c r="C7130" s="32">
        <v>43072.440833333334</v>
      </c>
    </row>
    <row r="7131" spans="1:3">
      <c r="A7131">
        <v>372519</v>
      </c>
      <c r="B7131">
        <v>149192</v>
      </c>
      <c r="C7131" s="32">
        <v>43072.34233796296</v>
      </c>
    </row>
    <row r="7132" spans="1:3">
      <c r="A7132">
        <v>807662</v>
      </c>
      <c r="B7132">
        <v>2772071</v>
      </c>
      <c r="C7132" s="32">
        <v>43070.404791666668</v>
      </c>
    </row>
    <row r="7133" spans="1:3">
      <c r="A7133">
        <v>151729</v>
      </c>
      <c r="B7133">
        <v>2096639</v>
      </c>
      <c r="C7133" s="32">
        <v>43071.351493055554</v>
      </c>
    </row>
    <row r="7134" spans="1:3">
      <c r="A7134">
        <v>437525</v>
      </c>
      <c r="B7134">
        <v>1320293</v>
      </c>
      <c r="C7134" s="32">
        <v>43072.043842592589</v>
      </c>
    </row>
    <row r="7135" spans="1:3">
      <c r="A7135">
        <v>501445</v>
      </c>
      <c r="B7135">
        <v>3002561</v>
      </c>
      <c r="C7135" s="32">
        <v>43070.534618055557</v>
      </c>
    </row>
    <row r="7136" spans="1:3">
      <c r="A7136">
        <v>752198</v>
      </c>
      <c r="B7136">
        <v>2440115</v>
      </c>
      <c r="C7136" s="32">
        <v>43070.191736111112</v>
      </c>
    </row>
    <row r="7137" spans="1:3">
      <c r="A7137">
        <v>1663</v>
      </c>
      <c r="B7137">
        <v>3702593</v>
      </c>
      <c r="C7137" s="32">
        <v>43071.674641203703</v>
      </c>
    </row>
    <row r="7138" spans="1:3">
      <c r="A7138">
        <v>742767</v>
      </c>
      <c r="B7138">
        <v>4015820</v>
      </c>
      <c r="C7138" s="32">
        <v>43071.545706018522</v>
      </c>
    </row>
    <row r="7139" spans="1:3">
      <c r="A7139">
        <v>875926</v>
      </c>
      <c r="B7139">
        <v>2358943</v>
      </c>
      <c r="C7139" s="32">
        <v>43072.55363425926</v>
      </c>
    </row>
    <row r="7140" spans="1:3">
      <c r="A7140">
        <v>985884</v>
      </c>
      <c r="B7140">
        <v>3898483</v>
      </c>
      <c r="C7140" s="32">
        <v>43072.527418981481</v>
      </c>
    </row>
    <row r="7141" spans="1:3">
      <c r="A7141">
        <v>568182</v>
      </c>
      <c r="B7141">
        <v>4345501</v>
      </c>
      <c r="C7141" s="32">
        <v>43072.232997685183</v>
      </c>
    </row>
    <row r="7142" spans="1:3">
      <c r="A7142">
        <v>239577</v>
      </c>
      <c r="B7142">
        <v>1345364</v>
      </c>
      <c r="C7142" s="32">
        <v>43071.072314814817</v>
      </c>
    </row>
    <row r="7143" spans="1:3">
      <c r="A7143">
        <v>576045</v>
      </c>
      <c r="B7143">
        <v>753984</v>
      </c>
      <c r="C7143" s="32">
        <v>43071.538055555553</v>
      </c>
    </row>
    <row r="7144" spans="1:3">
      <c r="A7144">
        <v>806842</v>
      </c>
      <c r="B7144">
        <v>4238676</v>
      </c>
      <c r="C7144" s="32">
        <v>43072.108738425923</v>
      </c>
    </row>
    <row r="7145" spans="1:3">
      <c r="A7145">
        <v>442115</v>
      </c>
      <c r="B7145">
        <v>4476428</v>
      </c>
      <c r="C7145" s="32">
        <v>43072.068287037036</v>
      </c>
    </row>
    <row r="7146" spans="1:3">
      <c r="A7146">
        <v>637604</v>
      </c>
      <c r="B7146">
        <v>2629787</v>
      </c>
      <c r="C7146" s="32">
        <v>43071.717187499999</v>
      </c>
    </row>
    <row r="7147" spans="1:3">
      <c r="A7147">
        <v>988893</v>
      </c>
      <c r="B7147">
        <v>2020240</v>
      </c>
      <c r="C7147" s="32">
        <v>43069.69326388889</v>
      </c>
    </row>
    <row r="7148" spans="1:3">
      <c r="A7148">
        <v>383597</v>
      </c>
      <c r="B7148">
        <v>3138705</v>
      </c>
      <c r="C7148" s="32">
        <v>43072.597222222219</v>
      </c>
    </row>
    <row r="7149" spans="1:3">
      <c r="A7149">
        <v>391057</v>
      </c>
      <c r="B7149">
        <v>3607361</v>
      </c>
      <c r="C7149" s="32">
        <v>43071.444444444445</v>
      </c>
    </row>
    <row r="7150" spans="1:3">
      <c r="A7150">
        <v>23249</v>
      </c>
      <c r="B7150">
        <v>3607361</v>
      </c>
      <c r="C7150" s="32">
        <v>43072.132824074077</v>
      </c>
    </row>
    <row r="7151" spans="1:3">
      <c r="A7151">
        <v>728065</v>
      </c>
      <c r="B7151">
        <v>4444302</v>
      </c>
      <c r="C7151" s="32">
        <v>43072.132395833331</v>
      </c>
    </row>
    <row r="7152" spans="1:3">
      <c r="A7152">
        <v>342460</v>
      </c>
      <c r="B7152">
        <v>4145813</v>
      </c>
      <c r="C7152" s="32">
        <v>43070.27988425926</v>
      </c>
    </row>
    <row r="7153" spans="1:3">
      <c r="A7153">
        <v>282484</v>
      </c>
      <c r="B7153">
        <v>3607361</v>
      </c>
      <c r="C7153" s="32">
        <v>43070.565254629626</v>
      </c>
    </row>
    <row r="7154" spans="1:3">
      <c r="A7154">
        <v>504437</v>
      </c>
      <c r="B7154">
        <v>3425094</v>
      </c>
      <c r="C7154" s="32">
        <v>43071.629374999997</v>
      </c>
    </row>
    <row r="7155" spans="1:3">
      <c r="A7155">
        <v>554958</v>
      </c>
      <c r="B7155">
        <v>1631778</v>
      </c>
      <c r="C7155" s="32">
        <v>43070.660578703704</v>
      </c>
    </row>
    <row r="7156" spans="1:3">
      <c r="A7156">
        <v>643377</v>
      </c>
      <c r="B7156">
        <v>3464786</v>
      </c>
      <c r="C7156" s="32">
        <v>43071.516006944446</v>
      </c>
    </row>
    <row r="7157" spans="1:3">
      <c r="A7157">
        <v>118936</v>
      </c>
      <c r="B7157">
        <v>570735</v>
      </c>
      <c r="C7157" s="32">
        <v>43071.919849537036</v>
      </c>
    </row>
    <row r="7158" spans="1:3">
      <c r="A7158">
        <v>635501</v>
      </c>
      <c r="B7158">
        <v>4242717</v>
      </c>
      <c r="C7158" s="32">
        <v>43071.427951388891</v>
      </c>
    </row>
    <row r="7159" spans="1:3">
      <c r="A7159">
        <v>672784</v>
      </c>
      <c r="B7159">
        <v>149192</v>
      </c>
      <c r="C7159" s="32">
        <v>43072.209456018521</v>
      </c>
    </row>
    <row r="7160" spans="1:3">
      <c r="A7160">
        <v>827456</v>
      </c>
      <c r="B7160">
        <v>4181361</v>
      </c>
      <c r="C7160" s="32">
        <v>43071.839097222219</v>
      </c>
    </row>
    <row r="7161" spans="1:3">
      <c r="A7161">
        <v>27267</v>
      </c>
      <c r="B7161">
        <v>1050007</v>
      </c>
      <c r="C7161" s="32">
        <v>43071.212708333333</v>
      </c>
    </row>
    <row r="7162" spans="1:3">
      <c r="A7162">
        <v>1008362</v>
      </c>
      <c r="B7162">
        <v>1575622</v>
      </c>
      <c r="C7162" s="32">
        <v>43071.327534722222</v>
      </c>
    </row>
    <row r="7163" spans="1:3">
      <c r="A7163">
        <v>395917</v>
      </c>
      <c r="B7163">
        <v>1464116</v>
      </c>
      <c r="C7163" s="32">
        <v>43071.222175925926</v>
      </c>
    </row>
    <row r="7164" spans="1:3">
      <c r="A7164">
        <v>115217</v>
      </c>
      <c r="B7164">
        <v>2885642</v>
      </c>
      <c r="C7164" s="32">
        <v>43071.021423611113</v>
      </c>
    </row>
    <row r="7165" spans="1:3">
      <c r="A7165">
        <v>438723</v>
      </c>
      <c r="B7165">
        <v>4643350</v>
      </c>
      <c r="C7165" s="32">
        <v>43071.452314814815</v>
      </c>
    </row>
    <row r="7166" spans="1:3">
      <c r="A7166">
        <v>950676</v>
      </c>
      <c r="B7166">
        <v>5147460</v>
      </c>
      <c r="C7166" s="32">
        <v>43072.605520833335</v>
      </c>
    </row>
    <row r="7167" spans="1:3">
      <c r="A7167">
        <v>651892</v>
      </c>
      <c r="B7167">
        <v>2926020</v>
      </c>
      <c r="C7167" s="32">
        <v>43070.674016203702</v>
      </c>
    </row>
    <row r="7168" spans="1:3">
      <c r="A7168">
        <v>365485</v>
      </c>
      <c r="B7168">
        <v>3004853</v>
      </c>
      <c r="C7168" s="32">
        <v>43071.713761574072</v>
      </c>
    </row>
    <row r="7169" spans="1:3">
      <c r="A7169">
        <v>273679</v>
      </c>
      <c r="B7169">
        <v>4145813</v>
      </c>
      <c r="C7169" s="32">
        <v>43070.975763888891</v>
      </c>
    </row>
    <row r="7170" spans="1:3">
      <c r="A7170">
        <v>490469</v>
      </c>
      <c r="B7170">
        <v>4242717</v>
      </c>
      <c r="C7170" s="32">
        <v>43072.581296296295</v>
      </c>
    </row>
    <row r="7171" spans="1:3">
      <c r="A7171">
        <v>311069</v>
      </c>
      <c r="B7171">
        <v>4789432</v>
      </c>
      <c r="C7171" s="32">
        <v>43072.139004629629</v>
      </c>
    </row>
    <row r="7172" spans="1:3">
      <c r="A7172">
        <v>110116</v>
      </c>
      <c r="B7172">
        <v>1859277</v>
      </c>
      <c r="C7172" s="32">
        <v>43072.490740740737</v>
      </c>
    </row>
    <row r="7173" spans="1:3">
      <c r="A7173">
        <v>927005</v>
      </c>
      <c r="B7173">
        <v>4163659</v>
      </c>
      <c r="C7173" s="32">
        <v>43071.659386574072</v>
      </c>
    </row>
    <row r="7174" spans="1:3">
      <c r="A7174">
        <v>777054</v>
      </c>
      <c r="B7174">
        <v>4672807</v>
      </c>
      <c r="C7174" s="32">
        <v>43071.619363425925</v>
      </c>
    </row>
    <row r="7175" spans="1:3">
      <c r="A7175">
        <v>248173</v>
      </c>
      <c r="B7175">
        <v>2939262</v>
      </c>
      <c r="C7175" s="32">
        <v>43072.305347222224</v>
      </c>
    </row>
    <row r="7176" spans="1:3">
      <c r="A7176">
        <v>315733</v>
      </c>
      <c r="B7176">
        <v>2355072</v>
      </c>
      <c r="C7176" s="32">
        <v>43072.027557870373</v>
      </c>
    </row>
    <row r="7177" spans="1:3">
      <c r="A7177">
        <v>372811</v>
      </c>
      <c r="B7177">
        <v>4911196</v>
      </c>
      <c r="C7177" s="32">
        <v>43072.513472222221</v>
      </c>
    </row>
    <row r="7178" spans="1:3">
      <c r="A7178">
        <v>686206</v>
      </c>
      <c r="B7178">
        <v>102272</v>
      </c>
      <c r="C7178" s="32">
        <v>43071.389305555553</v>
      </c>
    </row>
    <row r="7179" spans="1:3">
      <c r="A7179">
        <v>762270</v>
      </c>
      <c r="B7179">
        <v>1859277</v>
      </c>
      <c r="C7179" s="32">
        <v>43071.137048611112</v>
      </c>
    </row>
    <row r="7180" spans="1:3">
      <c r="A7180">
        <v>869163</v>
      </c>
      <c r="B7180">
        <v>3768664</v>
      </c>
      <c r="C7180" s="32">
        <v>43070.350254629629</v>
      </c>
    </row>
    <row r="7181" spans="1:3">
      <c r="A7181">
        <v>913683</v>
      </c>
      <c r="B7181">
        <v>2465336</v>
      </c>
      <c r="C7181" s="32">
        <v>43072.451354166667</v>
      </c>
    </row>
    <row r="7182" spans="1:3">
      <c r="A7182">
        <v>823982</v>
      </c>
      <c r="B7182">
        <v>3230909</v>
      </c>
      <c r="C7182" s="32">
        <v>43071.917245370372</v>
      </c>
    </row>
    <row r="7183" spans="1:3">
      <c r="A7183">
        <v>16988</v>
      </c>
      <c r="B7183">
        <v>2926020</v>
      </c>
      <c r="C7183" s="32">
        <v>43072.557326388887</v>
      </c>
    </row>
    <row r="7184" spans="1:3">
      <c r="A7184">
        <v>509878</v>
      </c>
      <c r="B7184">
        <v>4167298</v>
      </c>
      <c r="C7184" s="32">
        <v>43072.541631944441</v>
      </c>
    </row>
    <row r="7185" spans="1:3">
      <c r="A7185">
        <v>94139</v>
      </c>
      <c r="B7185">
        <v>3371868</v>
      </c>
      <c r="C7185" s="32">
        <v>43072.46365740741</v>
      </c>
    </row>
    <row r="7186" spans="1:3">
      <c r="A7186">
        <v>375253</v>
      </c>
      <c r="B7186">
        <v>4022701</v>
      </c>
      <c r="C7186" s="32">
        <v>43070.289872685185</v>
      </c>
    </row>
    <row r="7187" spans="1:3">
      <c r="A7187">
        <v>238317</v>
      </c>
      <c r="B7187">
        <v>149192</v>
      </c>
      <c r="C7187" s="32">
        <v>43071.350243055553</v>
      </c>
    </row>
    <row r="7188" spans="1:3">
      <c r="A7188">
        <v>1001982</v>
      </c>
      <c r="B7188">
        <v>1312642</v>
      </c>
      <c r="C7188" s="32">
        <v>43072.648888888885</v>
      </c>
    </row>
    <row r="7189" spans="1:3">
      <c r="A7189">
        <v>654743</v>
      </c>
      <c r="B7189">
        <v>4583654</v>
      </c>
      <c r="C7189" s="32">
        <v>43072.571157407408</v>
      </c>
    </row>
    <row r="7190" spans="1:3">
      <c r="A7190">
        <v>187196</v>
      </c>
      <c r="B7190">
        <v>2733371</v>
      </c>
      <c r="C7190" s="32">
        <v>43071.343611111108</v>
      </c>
    </row>
    <row r="7191" spans="1:3">
      <c r="A7191">
        <v>179202</v>
      </c>
      <c r="B7191">
        <v>2301954</v>
      </c>
      <c r="C7191" s="32">
        <v>43071.366400462961</v>
      </c>
    </row>
    <row r="7192" spans="1:3">
      <c r="A7192">
        <v>508038</v>
      </c>
      <c r="B7192">
        <v>4321796</v>
      </c>
      <c r="C7192" s="32">
        <v>43071.517592592594</v>
      </c>
    </row>
    <row r="7193" spans="1:3">
      <c r="A7193">
        <v>945383</v>
      </c>
      <c r="B7193">
        <v>1320293</v>
      </c>
      <c r="C7193" s="32">
        <v>43070.643761574072</v>
      </c>
    </row>
    <row r="7194" spans="1:3">
      <c r="A7194">
        <v>270120</v>
      </c>
      <c r="B7194">
        <v>4643350</v>
      </c>
      <c r="C7194" s="32">
        <v>43070.976875</v>
      </c>
    </row>
    <row r="7195" spans="1:3">
      <c r="A7195">
        <v>246952</v>
      </c>
      <c r="B7195">
        <v>2355072</v>
      </c>
      <c r="C7195" s="32">
        <v>43072.544178240743</v>
      </c>
    </row>
    <row r="7196" spans="1:3">
      <c r="A7196">
        <v>279902</v>
      </c>
      <c r="B7196">
        <v>1080785</v>
      </c>
      <c r="C7196" s="32">
        <v>43070.090046296296</v>
      </c>
    </row>
    <row r="7197" spans="1:3">
      <c r="A7197">
        <v>20431</v>
      </c>
      <c r="B7197">
        <v>2685357</v>
      </c>
      <c r="C7197" s="32">
        <v>43070.803854166668</v>
      </c>
    </row>
    <row r="7198" spans="1:3">
      <c r="A7198">
        <v>213030</v>
      </c>
      <c r="B7198">
        <v>3002561</v>
      </c>
      <c r="C7198" s="32">
        <v>43072.461273148147</v>
      </c>
    </row>
    <row r="7199" spans="1:3">
      <c r="A7199">
        <v>77283</v>
      </c>
      <c r="B7199">
        <v>4731191</v>
      </c>
      <c r="C7199" s="32">
        <v>43070.032384259262</v>
      </c>
    </row>
    <row r="7200" spans="1:3">
      <c r="A7200">
        <v>691026</v>
      </c>
      <c r="B7200">
        <v>1711596</v>
      </c>
      <c r="C7200" s="32">
        <v>43071.727789351855</v>
      </c>
    </row>
    <row r="7201" spans="1:3">
      <c r="A7201">
        <v>772719</v>
      </c>
      <c r="B7201">
        <v>2520377</v>
      </c>
      <c r="C7201" s="32">
        <v>43071.0309837963</v>
      </c>
    </row>
    <row r="7202" spans="1:3">
      <c r="A7202">
        <v>778608</v>
      </c>
      <c r="B7202">
        <v>603655</v>
      </c>
      <c r="C7202" s="32">
        <v>43070.76258101852</v>
      </c>
    </row>
    <row r="7203" spans="1:3">
      <c r="A7203">
        <v>306915</v>
      </c>
      <c r="B7203">
        <v>903809</v>
      </c>
      <c r="C7203" s="32">
        <v>43071.643263888887</v>
      </c>
    </row>
    <row r="7204" spans="1:3">
      <c r="A7204">
        <v>53717</v>
      </c>
      <c r="B7204">
        <v>1879194</v>
      </c>
      <c r="C7204" s="32">
        <v>43072.266631944447</v>
      </c>
    </row>
    <row r="7205" spans="1:3">
      <c r="A7205">
        <v>290545</v>
      </c>
      <c r="B7205">
        <v>983613</v>
      </c>
      <c r="C7205" s="32">
        <v>43072.201111111113</v>
      </c>
    </row>
    <row r="7206" spans="1:3">
      <c r="A7206">
        <v>911704</v>
      </c>
      <c r="B7206">
        <v>2096639</v>
      </c>
      <c r="C7206" s="32">
        <v>43071.447731481479</v>
      </c>
    </row>
    <row r="7207" spans="1:3">
      <c r="A7207">
        <v>261118</v>
      </c>
      <c r="B7207">
        <v>2425393</v>
      </c>
      <c r="C7207" s="32">
        <v>43071.609305555554</v>
      </c>
    </row>
    <row r="7208" spans="1:3">
      <c r="A7208">
        <v>579848</v>
      </c>
      <c r="B7208">
        <v>1154246</v>
      </c>
      <c r="C7208" s="32">
        <v>43071.012777777774</v>
      </c>
    </row>
    <row r="7209" spans="1:3">
      <c r="A7209">
        <v>867220</v>
      </c>
      <c r="B7209">
        <v>3607361</v>
      </c>
      <c r="C7209" s="32">
        <v>43071.111805555556</v>
      </c>
    </row>
    <row r="7210" spans="1:3">
      <c r="A7210">
        <v>25994</v>
      </c>
      <c r="B7210">
        <v>3248072</v>
      </c>
      <c r="C7210" s="32">
        <v>43072.574814814812</v>
      </c>
    </row>
    <row r="7211" spans="1:3">
      <c r="A7211">
        <v>690655</v>
      </c>
      <c r="B7211">
        <v>2072473</v>
      </c>
      <c r="C7211" s="32">
        <v>43071.276979166665</v>
      </c>
    </row>
    <row r="7212" spans="1:3">
      <c r="A7212">
        <v>804770</v>
      </c>
      <c r="B7212">
        <v>982926</v>
      </c>
      <c r="C7212" s="32">
        <v>43072.178252314814</v>
      </c>
    </row>
    <row r="7213" spans="1:3">
      <c r="A7213">
        <v>44915</v>
      </c>
      <c r="B7213">
        <v>1462446</v>
      </c>
      <c r="C7213" s="32">
        <v>43070.572002314817</v>
      </c>
    </row>
    <row r="7214" spans="1:3">
      <c r="A7214">
        <v>169898</v>
      </c>
      <c r="B7214">
        <v>171529</v>
      </c>
      <c r="C7214" s="32">
        <v>43072.576145833336</v>
      </c>
    </row>
    <row r="7215" spans="1:3">
      <c r="A7215">
        <v>181705</v>
      </c>
      <c r="B7215">
        <v>2671397</v>
      </c>
      <c r="C7215" s="32">
        <v>43071.403784722221</v>
      </c>
    </row>
    <row r="7216" spans="1:3">
      <c r="A7216">
        <v>404237</v>
      </c>
      <c r="B7216">
        <v>2629787</v>
      </c>
      <c r="C7216" s="32">
        <v>43072.058854166666</v>
      </c>
    </row>
    <row r="7217" spans="1:3">
      <c r="A7217">
        <v>662173</v>
      </c>
      <c r="B7217">
        <v>4533189</v>
      </c>
      <c r="C7217" s="32">
        <v>43071.534594907411</v>
      </c>
    </row>
    <row r="7218" spans="1:3">
      <c r="A7218">
        <v>1013118</v>
      </c>
      <c r="B7218">
        <v>1984197</v>
      </c>
      <c r="C7218" s="32">
        <v>43071.630601851852</v>
      </c>
    </row>
    <row r="7219" spans="1:3">
      <c r="A7219">
        <v>231611</v>
      </c>
      <c r="B7219">
        <v>1331853</v>
      </c>
      <c r="C7219" s="32">
        <v>43070.725972222222</v>
      </c>
    </row>
    <row r="7220" spans="1:3">
      <c r="A7220">
        <v>871148</v>
      </c>
      <c r="B7220">
        <v>2732466</v>
      </c>
      <c r="C7220" s="32">
        <v>43071.607361111113</v>
      </c>
    </row>
    <row r="7221" spans="1:3">
      <c r="A7221">
        <v>336636</v>
      </c>
      <c r="B7221">
        <v>3002561</v>
      </c>
      <c r="C7221" s="32">
        <v>43070.605196759258</v>
      </c>
    </row>
    <row r="7222" spans="1:3">
      <c r="A7222">
        <v>295711</v>
      </c>
      <c r="B7222">
        <v>2926020</v>
      </c>
      <c r="C7222" s="32">
        <v>43071.938576388886</v>
      </c>
    </row>
    <row r="7223" spans="1:3">
      <c r="A7223">
        <v>166143</v>
      </c>
      <c r="B7223">
        <v>2155313</v>
      </c>
      <c r="C7223" s="32">
        <v>43070.113680555558</v>
      </c>
    </row>
    <row r="7224" spans="1:3">
      <c r="A7224">
        <v>391439</v>
      </c>
      <c r="B7224">
        <v>3757834</v>
      </c>
      <c r="C7224" s="32">
        <v>43071.147499999999</v>
      </c>
    </row>
    <row r="7225" spans="1:3">
      <c r="A7225">
        <v>686102</v>
      </c>
      <c r="B7225">
        <v>1249761</v>
      </c>
      <c r="C7225" s="32">
        <v>43071.262974537036</v>
      </c>
    </row>
    <row r="7226" spans="1:3">
      <c r="A7226">
        <v>83389</v>
      </c>
      <c r="B7226">
        <v>4756105</v>
      </c>
      <c r="C7226" s="32">
        <v>43070.058622685188</v>
      </c>
    </row>
    <row r="7227" spans="1:3">
      <c r="A7227">
        <v>985305</v>
      </c>
      <c r="B7227">
        <v>1029459</v>
      </c>
      <c r="C7227" s="32">
        <v>43072.57104166667</v>
      </c>
    </row>
    <row r="7228" spans="1:3">
      <c r="A7228">
        <v>749341</v>
      </c>
      <c r="B7228">
        <v>1575622</v>
      </c>
      <c r="C7228" s="32">
        <v>43071.619467592594</v>
      </c>
    </row>
    <row r="7229" spans="1:3">
      <c r="A7229">
        <v>928359</v>
      </c>
      <c r="B7229">
        <v>4217906</v>
      </c>
      <c r="C7229" s="32">
        <v>43071.368136574078</v>
      </c>
    </row>
    <row r="7230" spans="1:3">
      <c r="A7230">
        <v>803781</v>
      </c>
      <c r="B7230">
        <v>882707</v>
      </c>
      <c r="C7230" s="32">
        <v>43070.148946759262</v>
      </c>
    </row>
    <row r="7231" spans="1:3">
      <c r="A7231">
        <v>282507</v>
      </c>
      <c r="B7231">
        <v>4602841</v>
      </c>
      <c r="C7231" s="32">
        <v>43071.250671296293</v>
      </c>
    </row>
    <row r="7232" spans="1:3">
      <c r="A7232">
        <v>29130</v>
      </c>
      <c r="B7232">
        <v>2520771</v>
      </c>
      <c r="C7232" s="32">
        <v>43072.531770833331</v>
      </c>
    </row>
    <row r="7233" spans="1:3">
      <c r="A7233">
        <v>597738</v>
      </c>
      <c r="B7233">
        <v>2939262</v>
      </c>
      <c r="C7233" s="32">
        <v>43070.513009259259</v>
      </c>
    </row>
    <row r="7234" spans="1:3">
      <c r="A7234">
        <v>31718</v>
      </c>
      <c r="B7234">
        <v>50601</v>
      </c>
      <c r="C7234" s="32">
        <v>43071.505254629628</v>
      </c>
    </row>
    <row r="7235" spans="1:3">
      <c r="A7235">
        <v>740283</v>
      </c>
      <c r="B7235">
        <v>2314022</v>
      </c>
      <c r="C7235" s="32">
        <v>43070.500138888892</v>
      </c>
    </row>
    <row r="7236" spans="1:3">
      <c r="A7236">
        <v>294422</v>
      </c>
      <c r="B7236">
        <v>1051370</v>
      </c>
      <c r="C7236" s="32">
        <v>43070.777754629627</v>
      </c>
    </row>
    <row r="7237" spans="1:3">
      <c r="A7237">
        <v>690205</v>
      </c>
      <c r="B7237">
        <v>2558244</v>
      </c>
      <c r="C7237" s="32">
        <v>43070.582361111112</v>
      </c>
    </row>
    <row r="7238" spans="1:3">
      <c r="A7238">
        <v>396221</v>
      </c>
      <c r="B7238">
        <v>3002561</v>
      </c>
      <c r="C7238" s="32">
        <v>43071.241574074076</v>
      </c>
    </row>
    <row r="7239" spans="1:3">
      <c r="A7239">
        <v>508082</v>
      </c>
      <c r="B7239">
        <v>3299155</v>
      </c>
      <c r="C7239" s="32">
        <v>43071.657870370371</v>
      </c>
    </row>
    <row r="7240" spans="1:3">
      <c r="A7240">
        <v>298852</v>
      </c>
      <c r="B7240">
        <v>1320293</v>
      </c>
      <c r="C7240" s="32">
        <v>43072.386331018519</v>
      </c>
    </row>
    <row r="7241" spans="1:3">
      <c r="A7241">
        <v>391001</v>
      </c>
      <c r="B7241">
        <v>4220654</v>
      </c>
      <c r="C7241" s="32">
        <v>43071.595046296294</v>
      </c>
    </row>
    <row r="7242" spans="1:3">
      <c r="A7242">
        <v>217212</v>
      </c>
      <c r="B7242">
        <v>4276479</v>
      </c>
      <c r="C7242" s="32">
        <v>43070.597800925927</v>
      </c>
    </row>
    <row r="7243" spans="1:3">
      <c r="A7243">
        <v>171429</v>
      </c>
      <c r="B7243">
        <v>2737740</v>
      </c>
      <c r="C7243" s="32">
        <v>43072.656909722224</v>
      </c>
    </row>
    <row r="7244" spans="1:3">
      <c r="A7244">
        <v>53146</v>
      </c>
      <c r="B7244">
        <v>58836</v>
      </c>
      <c r="C7244" s="32">
        <v>43070.261203703703</v>
      </c>
    </row>
    <row r="7245" spans="1:3">
      <c r="A7245">
        <v>145489</v>
      </c>
      <c r="B7245">
        <v>2735466</v>
      </c>
      <c r="C7245" s="32">
        <v>43070.59815972222</v>
      </c>
    </row>
    <row r="7246" spans="1:3">
      <c r="A7246">
        <v>772524</v>
      </c>
      <c r="B7246">
        <v>2558244</v>
      </c>
      <c r="C7246" s="32">
        <v>43072.09170138889</v>
      </c>
    </row>
    <row r="7247" spans="1:3">
      <c r="A7247">
        <v>481311</v>
      </c>
      <c r="B7247">
        <v>3738615</v>
      </c>
      <c r="C7247" s="32">
        <v>43071.571712962963</v>
      </c>
    </row>
    <row r="7248" spans="1:3">
      <c r="A7248">
        <v>900042</v>
      </c>
      <c r="B7248">
        <v>3962843</v>
      </c>
      <c r="C7248" s="32">
        <v>43071.592268518521</v>
      </c>
    </row>
    <row r="7249" spans="1:3">
      <c r="A7249">
        <v>945063</v>
      </c>
      <c r="B7249">
        <v>119741</v>
      </c>
      <c r="C7249" s="32">
        <v>43070.153101851851</v>
      </c>
    </row>
    <row r="7250" spans="1:3">
      <c r="A7250">
        <v>656020</v>
      </c>
      <c r="B7250">
        <v>3004853</v>
      </c>
      <c r="C7250" s="32">
        <v>43070.729537037034</v>
      </c>
    </row>
    <row r="7251" spans="1:3">
      <c r="A7251">
        <v>986972</v>
      </c>
      <c r="B7251">
        <v>1320293</v>
      </c>
      <c r="C7251" s="32">
        <v>43070.621851851851</v>
      </c>
    </row>
    <row r="7252" spans="1:3">
      <c r="A7252">
        <v>550793</v>
      </c>
      <c r="B7252">
        <v>570735</v>
      </c>
      <c r="C7252" s="32">
        <v>43071.416863425926</v>
      </c>
    </row>
    <row r="7253" spans="1:3">
      <c r="A7253">
        <v>922861</v>
      </c>
      <c r="B7253">
        <v>1973012</v>
      </c>
      <c r="C7253" s="32">
        <v>43070.223009259258</v>
      </c>
    </row>
    <row r="7254" spans="1:3">
      <c r="A7254">
        <v>612890</v>
      </c>
      <c r="B7254">
        <v>2355072</v>
      </c>
      <c r="C7254" s="32">
        <v>43070.726701388892</v>
      </c>
    </row>
    <row r="7255" spans="1:3">
      <c r="A7255">
        <v>273063</v>
      </c>
      <c r="B7255">
        <v>1467750</v>
      </c>
      <c r="C7255" s="32">
        <v>43072.400185185186</v>
      </c>
    </row>
    <row r="7256" spans="1:3">
      <c r="A7256">
        <v>714574</v>
      </c>
      <c r="B7256">
        <v>2331312</v>
      </c>
      <c r="C7256" s="32">
        <v>43070.962476851855</v>
      </c>
    </row>
    <row r="7257" spans="1:3">
      <c r="A7257">
        <v>682750</v>
      </c>
      <c r="B7257">
        <v>181182</v>
      </c>
      <c r="C7257" s="32">
        <v>43071.615300925929</v>
      </c>
    </row>
    <row r="7258" spans="1:3">
      <c r="A7258">
        <v>43754</v>
      </c>
      <c r="B7258">
        <v>3139583</v>
      </c>
      <c r="C7258" s="32">
        <v>43072.29483796296</v>
      </c>
    </row>
    <row r="7259" spans="1:3">
      <c r="A7259">
        <v>125410</v>
      </c>
      <c r="B7259">
        <v>1320293</v>
      </c>
      <c r="C7259" s="32">
        <v>43071.033807870372</v>
      </c>
    </row>
    <row r="7260" spans="1:3">
      <c r="A7260">
        <v>495956</v>
      </c>
      <c r="B7260">
        <v>1449177</v>
      </c>
      <c r="C7260" s="32">
        <v>43071.29173611111</v>
      </c>
    </row>
    <row r="7261" spans="1:3">
      <c r="A7261">
        <v>315557</v>
      </c>
      <c r="B7261">
        <v>3738615</v>
      </c>
      <c r="C7261" s="32">
        <v>43072.300706018519</v>
      </c>
    </row>
    <row r="7262" spans="1:3">
      <c r="A7262">
        <v>338056</v>
      </c>
      <c r="B7262">
        <v>65362</v>
      </c>
      <c r="C7262" s="32">
        <v>43071.468865740739</v>
      </c>
    </row>
    <row r="7263" spans="1:3">
      <c r="A7263">
        <v>151094</v>
      </c>
      <c r="B7263">
        <v>4801426</v>
      </c>
      <c r="C7263" s="32">
        <v>43071.175393518519</v>
      </c>
    </row>
    <row r="7264" spans="1:3">
      <c r="A7264">
        <v>423736</v>
      </c>
      <c r="B7264">
        <v>1464116</v>
      </c>
      <c r="C7264" s="32">
        <v>43071.109363425923</v>
      </c>
    </row>
    <row r="7265" spans="1:3">
      <c r="A7265">
        <v>499152</v>
      </c>
      <c r="B7265">
        <v>715319</v>
      </c>
      <c r="C7265" s="32">
        <v>43070.507951388892</v>
      </c>
    </row>
    <row r="7266" spans="1:3">
      <c r="A7266">
        <v>682361</v>
      </c>
      <c r="B7266">
        <v>1792277</v>
      </c>
      <c r="C7266" s="32">
        <v>43072.470601851855</v>
      </c>
    </row>
    <row r="7267" spans="1:3">
      <c r="A7267">
        <v>512037</v>
      </c>
      <c r="B7267">
        <v>3371868</v>
      </c>
      <c r="C7267" s="32">
        <v>43072.282743055555</v>
      </c>
    </row>
    <row r="7268" spans="1:3">
      <c r="A7268">
        <v>448856</v>
      </c>
      <c r="B7268">
        <v>149192</v>
      </c>
      <c r="C7268" s="32">
        <v>43069.708321759259</v>
      </c>
    </row>
    <row r="7269" spans="1:3">
      <c r="A7269">
        <v>783610</v>
      </c>
      <c r="B7269">
        <v>2355072</v>
      </c>
      <c r="C7269" s="32">
        <v>43072.202152777776</v>
      </c>
    </row>
    <row r="7270" spans="1:3">
      <c r="A7270">
        <v>561521</v>
      </c>
      <c r="B7270">
        <v>3002561</v>
      </c>
      <c r="C7270" s="32">
        <v>43072.343657407408</v>
      </c>
    </row>
    <row r="7271" spans="1:3">
      <c r="A7271">
        <v>472604</v>
      </c>
      <c r="B7271">
        <v>4690421</v>
      </c>
      <c r="C7271" s="32">
        <v>43070.139907407407</v>
      </c>
    </row>
    <row r="7272" spans="1:3">
      <c r="A7272">
        <v>543901</v>
      </c>
      <c r="B7272">
        <v>2815065</v>
      </c>
      <c r="C7272" s="32">
        <v>43071.617418981485</v>
      </c>
    </row>
    <row r="7273" spans="1:3">
      <c r="A7273">
        <v>84080</v>
      </c>
      <c r="B7273">
        <v>1074254</v>
      </c>
      <c r="C7273" s="32">
        <v>43070.386319444442</v>
      </c>
    </row>
    <row r="7274" spans="1:3">
      <c r="A7274">
        <v>56596</v>
      </c>
      <c r="B7274">
        <v>2465336</v>
      </c>
      <c r="C7274" s="32">
        <v>43071.381643518522</v>
      </c>
    </row>
    <row r="7275" spans="1:3">
      <c r="A7275">
        <v>205233</v>
      </c>
      <c r="B7275">
        <v>2085893</v>
      </c>
      <c r="C7275" s="32">
        <v>43072.457465277781</v>
      </c>
    </row>
    <row r="7276" spans="1:3">
      <c r="A7276">
        <v>436837</v>
      </c>
      <c r="B7276">
        <v>4901188</v>
      </c>
      <c r="C7276" s="32">
        <v>43072.133483796293</v>
      </c>
    </row>
    <row r="7277" spans="1:3">
      <c r="A7277">
        <v>749215</v>
      </c>
      <c r="B7277">
        <v>2527525</v>
      </c>
      <c r="C7277" s="32">
        <v>43071.590810185182</v>
      </c>
    </row>
    <row r="7278" spans="1:3">
      <c r="A7278">
        <v>330532</v>
      </c>
      <c r="B7278">
        <v>3607361</v>
      </c>
      <c r="C7278" s="32">
        <v>43071.979247685187</v>
      </c>
    </row>
    <row r="7279" spans="1:3">
      <c r="A7279">
        <v>353303</v>
      </c>
      <c r="B7279">
        <v>2558244</v>
      </c>
      <c r="C7279" s="32">
        <v>43070.043078703704</v>
      </c>
    </row>
    <row r="7280" spans="1:3">
      <c r="A7280">
        <v>911126</v>
      </c>
      <c r="B7280">
        <v>113102</v>
      </c>
      <c r="C7280" s="32">
        <v>43072.181087962963</v>
      </c>
    </row>
    <row r="7281" spans="1:3">
      <c r="A7281">
        <v>424892</v>
      </c>
      <c r="B7281">
        <v>1464116</v>
      </c>
      <c r="C7281" s="32">
        <v>43072.518935185188</v>
      </c>
    </row>
    <row r="7282" spans="1:3">
      <c r="A7282">
        <v>91621</v>
      </c>
      <c r="B7282">
        <v>1575622</v>
      </c>
      <c r="C7282" s="32">
        <v>43072.047974537039</v>
      </c>
    </row>
    <row r="7283" spans="1:3">
      <c r="A7283">
        <v>206680</v>
      </c>
      <c r="B7283">
        <v>5030562</v>
      </c>
      <c r="C7283" s="32">
        <v>43070.285555555558</v>
      </c>
    </row>
    <row r="7284" spans="1:3">
      <c r="A7284">
        <v>272196</v>
      </c>
      <c r="B7284">
        <v>1575622</v>
      </c>
      <c r="C7284" s="32">
        <v>43071.656666666669</v>
      </c>
    </row>
    <row r="7285" spans="1:3">
      <c r="A7285">
        <v>553454</v>
      </c>
      <c r="B7285">
        <v>1759909</v>
      </c>
      <c r="C7285" s="32">
        <v>43072.612870370373</v>
      </c>
    </row>
    <row r="7286" spans="1:3">
      <c r="A7286">
        <v>519973</v>
      </c>
      <c r="B7286">
        <v>4756105</v>
      </c>
      <c r="C7286" s="32">
        <v>43072.576944444445</v>
      </c>
    </row>
    <row r="7287" spans="1:3">
      <c r="A7287">
        <v>114578</v>
      </c>
      <c r="B7287">
        <v>2303546</v>
      </c>
      <c r="C7287" s="32">
        <v>43070.30976851852</v>
      </c>
    </row>
    <row r="7288" spans="1:3">
      <c r="A7288">
        <v>475414</v>
      </c>
      <c r="B7288">
        <v>982926</v>
      </c>
      <c r="C7288" s="32">
        <v>43069.713217592594</v>
      </c>
    </row>
    <row r="7289" spans="1:3">
      <c r="A7289">
        <v>782625</v>
      </c>
      <c r="B7289">
        <v>4993094</v>
      </c>
      <c r="C7289" s="32">
        <v>43069.959189814814</v>
      </c>
    </row>
    <row r="7290" spans="1:3">
      <c r="A7290">
        <v>943618</v>
      </c>
      <c r="B7290">
        <v>4756105</v>
      </c>
      <c r="C7290" s="32">
        <v>43072.234953703701</v>
      </c>
    </row>
    <row r="7291" spans="1:3">
      <c r="A7291">
        <v>63396</v>
      </c>
      <c r="B7291">
        <v>1548278</v>
      </c>
      <c r="C7291" s="32">
        <v>43070.300497685188</v>
      </c>
    </row>
    <row r="7292" spans="1:3">
      <c r="A7292">
        <v>641869</v>
      </c>
      <c r="B7292">
        <v>3747586</v>
      </c>
      <c r="C7292" s="32">
        <v>43070.509027777778</v>
      </c>
    </row>
    <row r="7293" spans="1:3">
      <c r="A7293">
        <v>885318</v>
      </c>
      <c r="B7293">
        <v>149192</v>
      </c>
      <c r="C7293" s="32">
        <v>43070.003819444442</v>
      </c>
    </row>
    <row r="7294" spans="1:3">
      <c r="A7294">
        <v>896505</v>
      </c>
      <c r="B7294">
        <v>2355072</v>
      </c>
      <c r="C7294" s="32">
        <v>43070.350115740737</v>
      </c>
    </row>
    <row r="7295" spans="1:3">
      <c r="A7295">
        <v>504982</v>
      </c>
      <c r="B7295">
        <v>4756105</v>
      </c>
      <c r="C7295" s="32">
        <v>43070.464849537035</v>
      </c>
    </row>
    <row r="7296" spans="1:3">
      <c r="A7296">
        <v>506430</v>
      </c>
      <c r="B7296">
        <v>982926</v>
      </c>
      <c r="C7296" s="32">
        <v>43072.62537037037</v>
      </c>
    </row>
    <row r="7297" spans="1:3">
      <c r="A7297">
        <v>493826</v>
      </c>
      <c r="B7297">
        <v>1928278</v>
      </c>
      <c r="C7297" s="32">
        <v>43070.582569444443</v>
      </c>
    </row>
    <row r="7298" spans="1:3">
      <c r="A7298">
        <v>772338</v>
      </c>
      <c r="B7298">
        <v>5053508</v>
      </c>
      <c r="C7298" s="32">
        <v>43072.65761574074</v>
      </c>
    </row>
    <row r="7299" spans="1:3">
      <c r="A7299">
        <v>995401</v>
      </c>
      <c r="B7299">
        <v>2476560</v>
      </c>
      <c r="C7299" s="32">
        <v>43071.529004629629</v>
      </c>
    </row>
    <row r="7300" spans="1:3">
      <c r="A7300">
        <v>790441</v>
      </c>
      <c r="B7300">
        <v>5053508</v>
      </c>
      <c r="C7300" s="32">
        <v>43070.170381944445</v>
      </c>
    </row>
    <row r="7301" spans="1:3">
      <c r="A7301">
        <v>799854</v>
      </c>
      <c r="B7301">
        <v>1464116</v>
      </c>
      <c r="C7301" s="32">
        <v>43070.563043981485</v>
      </c>
    </row>
    <row r="7302" spans="1:3">
      <c r="A7302">
        <v>255478</v>
      </c>
      <c r="B7302">
        <v>982926</v>
      </c>
      <c r="C7302" s="32">
        <v>43072.592615740738</v>
      </c>
    </row>
    <row r="7303" spans="1:3">
      <c r="A7303">
        <v>218618</v>
      </c>
      <c r="B7303">
        <v>2735466</v>
      </c>
      <c r="C7303" s="32">
        <v>43071.400069444448</v>
      </c>
    </row>
    <row r="7304" spans="1:3">
      <c r="A7304">
        <v>346907</v>
      </c>
      <c r="B7304">
        <v>4921617</v>
      </c>
      <c r="C7304" s="32">
        <v>43071.220439814817</v>
      </c>
    </row>
    <row r="7305" spans="1:3">
      <c r="A7305">
        <v>363092</v>
      </c>
      <c r="B7305">
        <v>3738615</v>
      </c>
      <c r="C7305" s="32">
        <v>43072.48642361111</v>
      </c>
    </row>
    <row r="7306" spans="1:3">
      <c r="A7306">
        <v>117238</v>
      </c>
      <c r="B7306">
        <v>3598912</v>
      </c>
      <c r="C7306" s="32">
        <v>43071.422083333331</v>
      </c>
    </row>
    <row r="7307" spans="1:3">
      <c r="A7307">
        <v>92388</v>
      </c>
      <c r="B7307">
        <v>4801426</v>
      </c>
      <c r="C7307" s="32">
        <v>43071.611828703702</v>
      </c>
    </row>
    <row r="7308" spans="1:3">
      <c r="A7308">
        <v>730406</v>
      </c>
      <c r="B7308">
        <v>2520377</v>
      </c>
      <c r="C7308" s="32">
        <v>43071.203263888892</v>
      </c>
    </row>
    <row r="7309" spans="1:3">
      <c r="A7309">
        <v>372093</v>
      </c>
      <c r="B7309">
        <v>1548278</v>
      </c>
      <c r="C7309" s="32">
        <v>43070.16101851852</v>
      </c>
    </row>
    <row r="7310" spans="1:3">
      <c r="A7310">
        <v>887017</v>
      </c>
      <c r="B7310">
        <v>3342150</v>
      </c>
      <c r="C7310" s="32">
        <v>43070.166909722226</v>
      </c>
    </row>
    <row r="7311" spans="1:3">
      <c r="A7311">
        <v>185807</v>
      </c>
      <c r="B7311">
        <v>3160926</v>
      </c>
      <c r="C7311" s="32">
        <v>43070.502523148149</v>
      </c>
    </row>
    <row r="7312" spans="1:3">
      <c r="A7312">
        <v>251566</v>
      </c>
      <c r="B7312">
        <v>65362</v>
      </c>
      <c r="C7312" s="32">
        <v>43072.006412037037</v>
      </c>
    </row>
    <row r="7313" spans="1:3">
      <c r="A7313">
        <v>778092</v>
      </c>
      <c r="B7313">
        <v>149192</v>
      </c>
      <c r="C7313" s="32">
        <v>43070.580231481479</v>
      </c>
    </row>
    <row r="7314" spans="1:3">
      <c r="A7314">
        <v>643183</v>
      </c>
      <c r="B7314">
        <v>1125862</v>
      </c>
      <c r="C7314" s="32">
        <v>43071.719594907408</v>
      </c>
    </row>
    <row r="7315" spans="1:3">
      <c r="A7315">
        <v>681024</v>
      </c>
      <c r="B7315">
        <v>3607361</v>
      </c>
      <c r="C7315" s="32">
        <v>43072.118668981479</v>
      </c>
    </row>
    <row r="7316" spans="1:3">
      <c r="A7316">
        <v>759048</v>
      </c>
      <c r="B7316">
        <v>4756105</v>
      </c>
      <c r="C7316" s="32">
        <v>43072.481932870367</v>
      </c>
    </row>
    <row r="7317" spans="1:3">
      <c r="A7317">
        <v>336645</v>
      </c>
      <c r="B7317">
        <v>1567637</v>
      </c>
      <c r="C7317" s="32">
        <v>43071.226793981485</v>
      </c>
    </row>
    <row r="7318" spans="1:3">
      <c r="A7318">
        <v>186613</v>
      </c>
      <c r="B7318">
        <v>5063923</v>
      </c>
      <c r="C7318" s="32">
        <v>43072.49386574074</v>
      </c>
    </row>
    <row r="7319" spans="1:3">
      <c r="A7319">
        <v>454480</v>
      </c>
      <c r="B7319">
        <v>2945933</v>
      </c>
      <c r="C7319" s="32">
        <v>43072.216643518521</v>
      </c>
    </row>
    <row r="7320" spans="1:3">
      <c r="A7320">
        <v>22096</v>
      </c>
      <c r="B7320">
        <v>2629787</v>
      </c>
      <c r="C7320" s="32">
        <v>43070.148969907408</v>
      </c>
    </row>
    <row r="7321" spans="1:3">
      <c r="A7321">
        <v>4542</v>
      </c>
      <c r="B7321">
        <v>2891408</v>
      </c>
      <c r="C7321" s="32">
        <v>43072.021782407406</v>
      </c>
    </row>
    <row r="7322" spans="1:3">
      <c r="A7322">
        <v>431452</v>
      </c>
      <c r="B7322">
        <v>863375</v>
      </c>
      <c r="C7322" s="32">
        <v>43072.116342592592</v>
      </c>
    </row>
    <row r="7323" spans="1:3">
      <c r="A7323">
        <v>1008560</v>
      </c>
      <c r="B7323">
        <v>1850548</v>
      </c>
      <c r="C7323" s="32">
        <v>43070.525914351849</v>
      </c>
    </row>
    <row r="7324" spans="1:3">
      <c r="A7324">
        <v>482841</v>
      </c>
      <c r="B7324">
        <v>200278</v>
      </c>
      <c r="C7324" s="32">
        <v>43071.367696759262</v>
      </c>
    </row>
    <row r="7325" spans="1:3">
      <c r="A7325">
        <v>199880</v>
      </c>
      <c r="B7325">
        <v>1169503</v>
      </c>
      <c r="C7325" s="32">
        <v>43070.253067129626</v>
      </c>
    </row>
    <row r="7326" spans="1:3">
      <c r="A7326">
        <v>831410</v>
      </c>
      <c r="B7326">
        <v>4121590</v>
      </c>
      <c r="C7326" s="32">
        <v>43070.633900462963</v>
      </c>
    </row>
    <row r="7327" spans="1:3">
      <c r="A7327">
        <v>109136</v>
      </c>
      <c r="B7327">
        <v>2885642</v>
      </c>
      <c r="C7327" s="32">
        <v>43072.60800925926</v>
      </c>
    </row>
    <row r="7328" spans="1:3">
      <c r="A7328">
        <v>547304</v>
      </c>
      <c r="B7328">
        <v>2520377</v>
      </c>
      <c r="C7328" s="32">
        <v>43070.602071759262</v>
      </c>
    </row>
    <row r="7329" spans="1:3">
      <c r="A7329">
        <v>797191</v>
      </c>
      <c r="B7329">
        <v>883960</v>
      </c>
      <c r="C7329" s="32">
        <v>43071.650995370372</v>
      </c>
    </row>
    <row r="7330" spans="1:3">
      <c r="A7330">
        <v>587825</v>
      </c>
      <c r="B7330">
        <v>4756105</v>
      </c>
      <c r="C7330" s="32">
        <v>43072.028541666667</v>
      </c>
    </row>
    <row r="7331" spans="1:3">
      <c r="A7331">
        <v>456943</v>
      </c>
      <c r="B7331">
        <v>1792277</v>
      </c>
      <c r="C7331" s="32">
        <v>43071.381550925929</v>
      </c>
    </row>
    <row r="7332" spans="1:3">
      <c r="A7332">
        <v>726495</v>
      </c>
      <c r="B7332">
        <v>1320293</v>
      </c>
      <c r="C7332" s="32">
        <v>43071.531585648147</v>
      </c>
    </row>
    <row r="7333" spans="1:3">
      <c r="A7333">
        <v>341785</v>
      </c>
      <c r="B7333">
        <v>4756105</v>
      </c>
      <c r="C7333" s="32">
        <v>43071.557650462964</v>
      </c>
    </row>
    <row r="7334" spans="1:3">
      <c r="A7334">
        <v>672176</v>
      </c>
      <c r="B7334">
        <v>4801426</v>
      </c>
      <c r="C7334" s="32">
        <v>43070.629733796297</v>
      </c>
    </row>
    <row r="7335" spans="1:3">
      <c r="A7335">
        <v>212505</v>
      </c>
      <c r="B7335">
        <v>1349561</v>
      </c>
      <c r="C7335" s="32">
        <v>43071.467881944445</v>
      </c>
    </row>
    <row r="7336" spans="1:3">
      <c r="A7336">
        <v>91752</v>
      </c>
      <c r="B7336">
        <v>2030976</v>
      </c>
      <c r="C7336" s="32">
        <v>43071.598252314812</v>
      </c>
    </row>
    <row r="7337" spans="1:3">
      <c r="A7337">
        <v>506773</v>
      </c>
      <c r="B7337">
        <v>4962280</v>
      </c>
      <c r="C7337" s="32">
        <v>43072.141585648147</v>
      </c>
    </row>
    <row r="7338" spans="1:3">
      <c r="A7338">
        <v>362319</v>
      </c>
      <c r="B7338">
        <v>845650</v>
      </c>
      <c r="C7338" s="32">
        <v>43071.419409722221</v>
      </c>
    </row>
    <row r="7339" spans="1:3">
      <c r="A7339">
        <v>457220</v>
      </c>
      <c r="B7339">
        <v>4145813</v>
      </c>
      <c r="C7339" s="32">
        <v>43072.525000000001</v>
      </c>
    </row>
    <row r="7340" spans="1:3">
      <c r="A7340">
        <v>710716</v>
      </c>
      <c r="B7340">
        <v>4801426</v>
      </c>
      <c r="C7340" s="32">
        <v>43072.486597222225</v>
      </c>
    </row>
    <row r="7341" spans="1:3">
      <c r="A7341">
        <v>981497</v>
      </c>
      <c r="B7341">
        <v>4643350</v>
      </c>
      <c r="C7341" s="32">
        <v>43071.223738425928</v>
      </c>
    </row>
    <row r="7342" spans="1:3">
      <c r="A7342">
        <v>653051</v>
      </c>
      <c r="B7342">
        <v>3004853</v>
      </c>
      <c r="C7342" s="32">
        <v>43071.053553240738</v>
      </c>
    </row>
    <row r="7343" spans="1:3">
      <c r="A7343">
        <v>24395</v>
      </c>
      <c r="B7343">
        <v>4672807</v>
      </c>
      <c r="C7343" s="32">
        <v>43072.492546296293</v>
      </c>
    </row>
    <row r="7344" spans="1:3">
      <c r="A7344">
        <v>744557</v>
      </c>
      <c r="B7344">
        <v>916918</v>
      </c>
      <c r="C7344" s="32">
        <v>43071.585081018522</v>
      </c>
    </row>
    <row r="7345" spans="1:3">
      <c r="A7345">
        <v>938751</v>
      </c>
      <c r="B7345">
        <v>2355072</v>
      </c>
      <c r="C7345" s="32">
        <v>43071.680185185185</v>
      </c>
    </row>
    <row r="7346" spans="1:3">
      <c r="A7346">
        <v>957617</v>
      </c>
      <c r="B7346">
        <v>982926</v>
      </c>
      <c r="C7346" s="32">
        <v>43071.52171296296</v>
      </c>
    </row>
    <row r="7347" spans="1:3">
      <c r="A7347">
        <v>7475</v>
      </c>
      <c r="B7347">
        <v>4936889</v>
      </c>
      <c r="C7347" s="32">
        <v>43071.529189814813</v>
      </c>
    </row>
    <row r="7348" spans="1:3">
      <c r="A7348">
        <v>297960</v>
      </c>
      <c r="B7348">
        <v>982926</v>
      </c>
      <c r="C7348" s="32">
        <v>43071.322175925925</v>
      </c>
    </row>
    <row r="7349" spans="1:3">
      <c r="A7349">
        <v>602849</v>
      </c>
      <c r="B7349">
        <v>4919077</v>
      </c>
      <c r="C7349" s="32">
        <v>43070.720590277779</v>
      </c>
    </row>
    <row r="7350" spans="1:3">
      <c r="A7350">
        <v>173234</v>
      </c>
      <c r="B7350">
        <v>4069500</v>
      </c>
      <c r="C7350" s="32">
        <v>43072.033831018518</v>
      </c>
    </row>
    <row r="7351" spans="1:3">
      <c r="A7351">
        <v>140112</v>
      </c>
      <c r="B7351">
        <v>3320579</v>
      </c>
      <c r="C7351" s="32">
        <v>43072.170914351853</v>
      </c>
    </row>
    <row r="7352" spans="1:3">
      <c r="A7352">
        <v>292794</v>
      </c>
      <c r="B7352">
        <v>3607361</v>
      </c>
      <c r="C7352" s="32">
        <v>43072.54855324074</v>
      </c>
    </row>
    <row r="7353" spans="1:3">
      <c r="A7353">
        <v>197910</v>
      </c>
      <c r="B7353">
        <v>4145813</v>
      </c>
      <c r="C7353" s="32">
        <v>43072.630312499998</v>
      </c>
    </row>
    <row r="7354" spans="1:3">
      <c r="A7354">
        <v>82091</v>
      </c>
      <c r="B7354">
        <v>2407396</v>
      </c>
      <c r="C7354" s="32">
        <v>43071.546006944445</v>
      </c>
    </row>
    <row r="7355" spans="1:3">
      <c r="A7355">
        <v>879768</v>
      </c>
      <c r="B7355">
        <v>4069500</v>
      </c>
      <c r="C7355" s="32">
        <v>43072.367071759261</v>
      </c>
    </row>
    <row r="7356" spans="1:3">
      <c r="A7356">
        <v>791743</v>
      </c>
      <c r="B7356">
        <v>3607361</v>
      </c>
      <c r="C7356" s="32">
        <v>43071.264606481483</v>
      </c>
    </row>
    <row r="7357" spans="1:3">
      <c r="A7357">
        <v>864832</v>
      </c>
      <c r="B7357">
        <v>1493374</v>
      </c>
      <c r="C7357" s="32">
        <v>43070.9453125</v>
      </c>
    </row>
    <row r="7358" spans="1:3">
      <c r="A7358">
        <v>72067</v>
      </c>
      <c r="B7358">
        <v>4853207</v>
      </c>
      <c r="C7358" s="32">
        <v>43071.536874999998</v>
      </c>
    </row>
    <row r="7359" spans="1:3">
      <c r="A7359">
        <v>456629</v>
      </c>
      <c r="B7359">
        <v>3738615</v>
      </c>
      <c r="C7359" s="32">
        <v>43071.948449074072</v>
      </c>
    </row>
    <row r="7360" spans="1:3">
      <c r="A7360">
        <v>160953</v>
      </c>
      <c r="B7360">
        <v>1464116</v>
      </c>
      <c r="C7360" s="32">
        <v>43071.238645833335</v>
      </c>
    </row>
    <row r="7361" spans="1:3">
      <c r="A7361">
        <v>375719</v>
      </c>
      <c r="B7361">
        <v>2885642</v>
      </c>
      <c r="C7361" s="32">
        <v>43072.017129629632</v>
      </c>
    </row>
    <row r="7362" spans="1:3">
      <c r="A7362">
        <v>604130</v>
      </c>
      <c r="B7362">
        <v>339305</v>
      </c>
      <c r="C7362" s="32">
        <v>43071.24428240741</v>
      </c>
    </row>
    <row r="7363" spans="1:3">
      <c r="A7363">
        <v>777488</v>
      </c>
      <c r="B7363">
        <v>551706</v>
      </c>
      <c r="C7363" s="32">
        <v>43072.523229166669</v>
      </c>
    </row>
    <row r="7364" spans="1:3">
      <c r="A7364">
        <v>995743</v>
      </c>
      <c r="B7364">
        <v>3231861</v>
      </c>
      <c r="C7364" s="32">
        <v>43069.893437500003</v>
      </c>
    </row>
    <row r="7365" spans="1:3">
      <c r="A7365">
        <v>282397</v>
      </c>
      <c r="B7365">
        <v>381850</v>
      </c>
      <c r="C7365" s="32">
        <v>43070.992199074077</v>
      </c>
    </row>
    <row r="7366" spans="1:3">
      <c r="A7366">
        <v>503626</v>
      </c>
      <c r="B7366">
        <v>982926</v>
      </c>
      <c r="C7366" s="32">
        <v>43072.168842592589</v>
      </c>
    </row>
    <row r="7367" spans="1:3">
      <c r="A7367">
        <v>236112</v>
      </c>
      <c r="B7367">
        <v>970709</v>
      </c>
      <c r="C7367" s="32">
        <v>43070.300532407404</v>
      </c>
    </row>
    <row r="7368" spans="1:3">
      <c r="A7368">
        <v>958646</v>
      </c>
      <c r="B7368">
        <v>1320293</v>
      </c>
      <c r="C7368" s="32">
        <v>43070.483206018522</v>
      </c>
    </row>
    <row r="7369" spans="1:3">
      <c r="A7369">
        <v>19052</v>
      </c>
      <c r="B7369">
        <v>4756105</v>
      </c>
      <c r="C7369" s="32">
        <v>43070.205543981479</v>
      </c>
    </row>
    <row r="7370" spans="1:3">
      <c r="A7370">
        <v>488985</v>
      </c>
      <c r="B7370">
        <v>3702593</v>
      </c>
      <c r="C7370" s="32">
        <v>43072.12537037037</v>
      </c>
    </row>
    <row r="7371" spans="1:3">
      <c r="A7371">
        <v>835271</v>
      </c>
      <c r="B7371">
        <v>4801426</v>
      </c>
      <c r="C7371" s="32">
        <v>43071.643831018519</v>
      </c>
    </row>
    <row r="7372" spans="1:3">
      <c r="A7372">
        <v>986447</v>
      </c>
      <c r="B7372">
        <v>4583884</v>
      </c>
      <c r="C7372" s="32">
        <v>43071.672407407408</v>
      </c>
    </row>
    <row r="7373" spans="1:3">
      <c r="A7373">
        <v>22947</v>
      </c>
      <c r="B7373">
        <v>3457718</v>
      </c>
      <c r="C7373" s="32">
        <v>43070.33185185185</v>
      </c>
    </row>
    <row r="7374" spans="1:3">
      <c r="A7374">
        <v>558403</v>
      </c>
      <c r="B7374">
        <v>1875258</v>
      </c>
      <c r="C7374" s="32">
        <v>43071.686539351853</v>
      </c>
    </row>
    <row r="7375" spans="1:3">
      <c r="A7375">
        <v>313029</v>
      </c>
      <c r="B7375">
        <v>570735</v>
      </c>
      <c r="C7375" s="32">
        <v>43071.668969907405</v>
      </c>
    </row>
    <row r="7376" spans="1:3">
      <c r="A7376">
        <v>549917</v>
      </c>
      <c r="B7376">
        <v>3338209</v>
      </c>
      <c r="C7376" s="32">
        <v>43072.125381944446</v>
      </c>
    </row>
    <row r="7377" spans="1:3">
      <c r="A7377">
        <v>907108</v>
      </c>
      <c r="B7377">
        <v>3232473</v>
      </c>
      <c r="C7377" s="32">
        <v>43071.67459490741</v>
      </c>
    </row>
    <row r="7378" spans="1:3">
      <c r="A7378">
        <v>32163</v>
      </c>
      <c r="B7378">
        <v>2195789</v>
      </c>
      <c r="C7378" s="32">
        <v>43072.299259259256</v>
      </c>
    </row>
    <row r="7379" spans="1:3">
      <c r="A7379">
        <v>141013</v>
      </c>
      <c r="B7379">
        <v>1888306</v>
      </c>
      <c r="C7379" s="32">
        <v>43071.752256944441</v>
      </c>
    </row>
    <row r="7380" spans="1:3">
      <c r="A7380">
        <v>330276</v>
      </c>
      <c r="B7380">
        <v>2520377</v>
      </c>
      <c r="C7380" s="32">
        <v>43069.972592592596</v>
      </c>
    </row>
    <row r="7381" spans="1:3">
      <c r="A7381">
        <v>206927</v>
      </c>
      <c r="B7381">
        <v>3800818</v>
      </c>
      <c r="C7381" s="32">
        <v>43072.120682870373</v>
      </c>
    </row>
    <row r="7382" spans="1:3">
      <c r="A7382">
        <v>75819</v>
      </c>
      <c r="B7382">
        <v>3738615</v>
      </c>
      <c r="C7382" s="32">
        <v>43070.632754629631</v>
      </c>
    </row>
    <row r="7383" spans="1:3">
      <c r="A7383">
        <v>874266</v>
      </c>
      <c r="B7383">
        <v>2520377</v>
      </c>
      <c r="C7383" s="32">
        <v>43071.688726851855</v>
      </c>
    </row>
    <row r="7384" spans="1:3">
      <c r="A7384">
        <v>122006</v>
      </c>
      <c r="B7384">
        <v>2578647</v>
      </c>
      <c r="C7384" s="32">
        <v>43070.206331018519</v>
      </c>
    </row>
    <row r="7385" spans="1:3">
      <c r="A7385">
        <v>960983</v>
      </c>
      <c r="B7385">
        <v>4145813</v>
      </c>
      <c r="C7385" s="32">
        <v>43070.220891203702</v>
      </c>
    </row>
    <row r="7386" spans="1:3">
      <c r="A7386">
        <v>11679</v>
      </c>
      <c r="B7386">
        <v>2880419</v>
      </c>
      <c r="C7386" s="32">
        <v>43071.984259259261</v>
      </c>
    </row>
    <row r="7387" spans="1:3">
      <c r="A7387">
        <v>11808</v>
      </c>
      <c r="B7387">
        <v>982926</v>
      </c>
      <c r="C7387" s="32">
        <v>43070.669212962966</v>
      </c>
    </row>
    <row r="7388" spans="1:3">
      <c r="A7388">
        <v>49741</v>
      </c>
      <c r="B7388">
        <v>2939262</v>
      </c>
      <c r="C7388" s="32">
        <v>43071.519826388889</v>
      </c>
    </row>
    <row r="7389" spans="1:3">
      <c r="A7389">
        <v>323666</v>
      </c>
      <c r="B7389">
        <v>982926</v>
      </c>
      <c r="C7389" s="32">
        <v>43072.09474537037</v>
      </c>
    </row>
    <row r="7390" spans="1:3">
      <c r="A7390">
        <v>782630</v>
      </c>
      <c r="B7390">
        <v>3267288</v>
      </c>
      <c r="C7390" s="32">
        <v>43071.013564814813</v>
      </c>
    </row>
    <row r="7391" spans="1:3">
      <c r="A7391">
        <v>953346</v>
      </c>
      <c r="B7391">
        <v>4756105</v>
      </c>
      <c r="C7391" s="32">
        <v>43070.781574074077</v>
      </c>
    </row>
    <row r="7392" spans="1:3">
      <c r="A7392">
        <v>4103</v>
      </c>
      <c r="B7392">
        <v>4672807</v>
      </c>
      <c r="C7392" s="32">
        <v>43072.662974537037</v>
      </c>
    </row>
    <row r="7393" spans="1:3">
      <c r="A7393">
        <v>187882</v>
      </c>
      <c r="B7393">
        <v>4338287</v>
      </c>
      <c r="C7393" s="32">
        <v>43071.555532407408</v>
      </c>
    </row>
    <row r="7394" spans="1:3">
      <c r="A7394">
        <v>406560</v>
      </c>
      <c r="B7394">
        <v>4217906</v>
      </c>
      <c r="C7394" s="32">
        <v>43071.134293981479</v>
      </c>
    </row>
    <row r="7395" spans="1:3">
      <c r="A7395">
        <v>883361</v>
      </c>
      <c r="B7395">
        <v>1807416</v>
      </c>
      <c r="C7395" s="32">
        <v>43070.659409722219</v>
      </c>
    </row>
    <row r="7396" spans="1:3">
      <c r="A7396">
        <v>417208</v>
      </c>
      <c r="B7396">
        <v>3738615</v>
      </c>
      <c r="C7396" s="32">
        <v>43071.505682870367</v>
      </c>
    </row>
    <row r="7397" spans="1:3">
      <c r="A7397">
        <v>104930</v>
      </c>
      <c r="B7397">
        <v>982926</v>
      </c>
      <c r="C7397" s="32">
        <v>43069.978055555555</v>
      </c>
    </row>
    <row r="7398" spans="1:3">
      <c r="A7398">
        <v>205591</v>
      </c>
      <c r="B7398">
        <v>2465336</v>
      </c>
      <c r="C7398" s="32">
        <v>43072.156909722224</v>
      </c>
    </row>
    <row r="7399" spans="1:3">
      <c r="A7399">
        <v>251750</v>
      </c>
      <c r="B7399">
        <v>3664107</v>
      </c>
      <c r="C7399" s="32">
        <v>43070.701932870368</v>
      </c>
    </row>
    <row r="7400" spans="1:3">
      <c r="A7400">
        <v>35427</v>
      </c>
      <c r="B7400">
        <v>4217906</v>
      </c>
      <c r="C7400" s="32">
        <v>43071.947974537034</v>
      </c>
    </row>
    <row r="7401" spans="1:3">
      <c r="A7401">
        <v>618419</v>
      </c>
      <c r="B7401">
        <v>677862</v>
      </c>
      <c r="C7401" s="32">
        <v>43069.794456018521</v>
      </c>
    </row>
    <row r="7402" spans="1:3">
      <c r="A7402">
        <v>205382</v>
      </c>
      <c r="B7402">
        <v>2440115</v>
      </c>
      <c r="C7402" s="32">
        <v>43071.485717592594</v>
      </c>
    </row>
    <row r="7403" spans="1:3">
      <c r="A7403">
        <v>297334</v>
      </c>
      <c r="B7403">
        <v>2735466</v>
      </c>
      <c r="C7403" s="32">
        <v>43071.609131944446</v>
      </c>
    </row>
    <row r="7404" spans="1:3">
      <c r="A7404">
        <v>326438</v>
      </c>
      <c r="B7404">
        <v>119741</v>
      </c>
      <c r="C7404" s="32">
        <v>43069.988043981481</v>
      </c>
    </row>
    <row r="7405" spans="1:3">
      <c r="A7405">
        <v>131473</v>
      </c>
      <c r="B7405">
        <v>2355072</v>
      </c>
      <c r="C7405" s="32">
        <v>43070.652071759258</v>
      </c>
    </row>
    <row r="7406" spans="1:3">
      <c r="A7406">
        <v>356308</v>
      </c>
      <c r="B7406">
        <v>4756105</v>
      </c>
      <c r="C7406" s="32">
        <v>43071.039768518516</v>
      </c>
    </row>
    <row r="7407" spans="1:3">
      <c r="A7407">
        <v>854983</v>
      </c>
      <c r="B7407">
        <v>2181935</v>
      </c>
      <c r="C7407" s="32">
        <v>43071.489583333336</v>
      </c>
    </row>
    <row r="7408" spans="1:3">
      <c r="A7408">
        <v>266383</v>
      </c>
      <c r="B7408">
        <v>3299155</v>
      </c>
      <c r="C7408" s="32">
        <v>43070.015034722222</v>
      </c>
    </row>
    <row r="7409" spans="1:3">
      <c r="A7409">
        <v>372607</v>
      </c>
      <c r="B7409">
        <v>4611962</v>
      </c>
      <c r="C7409" s="32">
        <v>43070.343043981484</v>
      </c>
    </row>
    <row r="7410" spans="1:3">
      <c r="A7410">
        <v>170747</v>
      </c>
      <c r="B7410">
        <v>4163659</v>
      </c>
      <c r="C7410" s="32">
        <v>43070.216863425929</v>
      </c>
    </row>
    <row r="7411" spans="1:3">
      <c r="A7411">
        <v>465801</v>
      </c>
      <c r="B7411">
        <v>4181361</v>
      </c>
      <c r="C7411" s="32">
        <v>43071.277337962965</v>
      </c>
    </row>
    <row r="7412" spans="1:3">
      <c r="A7412">
        <v>905361</v>
      </c>
      <c r="B7412">
        <v>3738615</v>
      </c>
      <c r="C7412" s="32">
        <v>43071.590902777774</v>
      </c>
    </row>
    <row r="7413" spans="1:3">
      <c r="A7413">
        <v>953507</v>
      </c>
      <c r="B7413">
        <v>2448593</v>
      </c>
      <c r="C7413" s="32">
        <v>43070.605590277781</v>
      </c>
    </row>
    <row r="7414" spans="1:3">
      <c r="A7414">
        <v>686201</v>
      </c>
      <c r="B7414">
        <v>753984</v>
      </c>
      <c r="C7414" s="32">
        <v>43071.639965277776</v>
      </c>
    </row>
    <row r="7415" spans="1:3">
      <c r="A7415">
        <v>107681</v>
      </c>
      <c r="B7415">
        <v>4606718</v>
      </c>
      <c r="C7415" s="32">
        <v>43070.701527777775</v>
      </c>
    </row>
    <row r="7416" spans="1:3">
      <c r="A7416">
        <v>619451</v>
      </c>
      <c r="B7416">
        <v>5071267</v>
      </c>
      <c r="C7416" s="32">
        <v>43071.613043981481</v>
      </c>
    </row>
    <row r="7417" spans="1:3">
      <c r="A7417">
        <v>472101</v>
      </c>
      <c r="B7417">
        <v>3189935</v>
      </c>
      <c r="C7417" s="32">
        <v>43071.627314814818</v>
      </c>
    </row>
    <row r="7418" spans="1:3">
      <c r="A7418">
        <v>41056</v>
      </c>
      <c r="B7418">
        <v>4211233</v>
      </c>
      <c r="C7418" s="32">
        <v>43070.210162037038</v>
      </c>
    </row>
    <row r="7419" spans="1:3">
      <c r="A7419">
        <v>147500</v>
      </c>
      <c r="B7419">
        <v>2982027</v>
      </c>
      <c r="C7419" s="32">
        <v>43069.79959490741</v>
      </c>
    </row>
    <row r="7420" spans="1:3">
      <c r="A7420">
        <v>692205</v>
      </c>
      <c r="B7420">
        <v>1807416</v>
      </c>
      <c r="C7420" s="32">
        <v>43071.343009259261</v>
      </c>
    </row>
    <row r="7421" spans="1:3">
      <c r="A7421">
        <v>555537</v>
      </c>
      <c r="B7421">
        <v>4756105</v>
      </c>
      <c r="C7421" s="32">
        <v>43072.049085648148</v>
      </c>
    </row>
    <row r="7422" spans="1:3">
      <c r="A7422">
        <v>815481</v>
      </c>
      <c r="B7422">
        <v>2272151</v>
      </c>
      <c r="C7422" s="32">
        <v>43070.745381944442</v>
      </c>
    </row>
    <row r="7423" spans="1:3">
      <c r="A7423">
        <v>824048</v>
      </c>
      <c r="B7423">
        <v>1061857</v>
      </c>
      <c r="C7423" s="32">
        <v>43071.08353009259</v>
      </c>
    </row>
    <row r="7424" spans="1:3">
      <c r="A7424">
        <v>191830</v>
      </c>
      <c r="B7424">
        <v>102272</v>
      </c>
      <c r="C7424" s="32">
        <v>43072.317824074074</v>
      </c>
    </row>
    <row r="7425" spans="1:3">
      <c r="A7425">
        <v>44379</v>
      </c>
      <c r="B7425">
        <v>764716</v>
      </c>
      <c r="C7425" s="32">
        <v>43071.338414351849</v>
      </c>
    </row>
    <row r="7426" spans="1:3">
      <c r="A7426">
        <v>415035</v>
      </c>
      <c r="B7426">
        <v>2693696</v>
      </c>
      <c r="C7426" s="32">
        <v>43071.690949074073</v>
      </c>
    </row>
    <row r="7427" spans="1:3">
      <c r="A7427">
        <v>476831</v>
      </c>
      <c r="B7427">
        <v>3378887</v>
      </c>
      <c r="C7427" s="32">
        <v>43070.551990740743</v>
      </c>
    </row>
    <row r="7428" spans="1:3">
      <c r="A7428">
        <v>928610</v>
      </c>
      <c r="B7428">
        <v>2640118</v>
      </c>
      <c r="C7428" s="32">
        <v>43071.689768518518</v>
      </c>
    </row>
    <row r="7429" spans="1:3">
      <c r="A7429">
        <v>306201</v>
      </c>
      <c r="B7429">
        <v>1851156</v>
      </c>
      <c r="C7429" s="32">
        <v>43070.121747685182</v>
      </c>
    </row>
    <row r="7430" spans="1:3">
      <c r="A7430">
        <v>774962</v>
      </c>
      <c r="B7430">
        <v>1879194</v>
      </c>
      <c r="C7430" s="32">
        <v>43071.503067129626</v>
      </c>
    </row>
    <row r="7431" spans="1:3">
      <c r="A7431">
        <v>66902</v>
      </c>
      <c r="B7431">
        <v>1320293</v>
      </c>
      <c r="C7431" s="32">
        <v>43071.640543981484</v>
      </c>
    </row>
    <row r="7432" spans="1:3">
      <c r="A7432">
        <v>325435</v>
      </c>
      <c r="B7432">
        <v>3112817</v>
      </c>
      <c r="C7432" s="32">
        <v>43072.596539351849</v>
      </c>
    </row>
    <row r="7433" spans="1:3">
      <c r="A7433">
        <v>863787</v>
      </c>
      <c r="B7433">
        <v>2885642</v>
      </c>
      <c r="C7433" s="32">
        <v>43071.376064814816</v>
      </c>
    </row>
    <row r="7434" spans="1:3">
      <c r="A7434">
        <v>464549</v>
      </c>
      <c r="B7434">
        <v>3607361</v>
      </c>
      <c r="C7434" s="32">
        <v>43071.32912037037</v>
      </c>
    </row>
    <row r="7435" spans="1:3">
      <c r="A7435">
        <v>1002172</v>
      </c>
      <c r="B7435">
        <v>2228184</v>
      </c>
      <c r="C7435" s="32">
        <v>43072.579618055555</v>
      </c>
    </row>
    <row r="7436" spans="1:3">
      <c r="A7436">
        <v>379596</v>
      </c>
      <c r="B7436">
        <v>846990</v>
      </c>
      <c r="C7436" s="32">
        <v>43071.285682870373</v>
      </c>
    </row>
    <row r="7437" spans="1:3">
      <c r="A7437">
        <v>563195</v>
      </c>
      <c r="B7437">
        <v>4801426</v>
      </c>
      <c r="C7437" s="32">
        <v>43072.45752314815</v>
      </c>
    </row>
    <row r="7438" spans="1:3">
      <c r="A7438">
        <v>862676</v>
      </c>
      <c r="B7438">
        <v>903809</v>
      </c>
      <c r="C7438" s="32">
        <v>43070.371319444443</v>
      </c>
    </row>
    <row r="7439" spans="1:3">
      <c r="A7439">
        <v>612248</v>
      </c>
      <c r="B7439">
        <v>2520377</v>
      </c>
      <c r="C7439" s="32">
        <v>43070.54760416667</v>
      </c>
    </row>
    <row r="7440" spans="1:3">
      <c r="A7440">
        <v>442812</v>
      </c>
      <c r="B7440">
        <v>622168</v>
      </c>
      <c r="C7440" s="32">
        <v>43071.023946759262</v>
      </c>
    </row>
    <row r="7441" spans="1:3">
      <c r="A7441">
        <v>633859</v>
      </c>
      <c r="B7441">
        <v>1349561</v>
      </c>
      <c r="C7441" s="32">
        <v>43071.169270833336</v>
      </c>
    </row>
    <row r="7442" spans="1:3">
      <c r="A7442">
        <v>752801</v>
      </c>
      <c r="B7442">
        <v>1320293</v>
      </c>
      <c r="C7442" s="32">
        <v>43070.426400462966</v>
      </c>
    </row>
    <row r="7443" spans="1:3">
      <c r="A7443">
        <v>641682</v>
      </c>
      <c r="B7443">
        <v>901282</v>
      </c>
      <c r="C7443" s="32">
        <v>43071.82167824074</v>
      </c>
    </row>
    <row r="7444" spans="1:3">
      <c r="A7444">
        <v>86184</v>
      </c>
      <c r="B7444">
        <v>750949</v>
      </c>
      <c r="C7444" s="32">
        <v>43072.526898148149</v>
      </c>
    </row>
    <row r="7445" spans="1:3">
      <c r="A7445">
        <v>973877</v>
      </c>
      <c r="B7445">
        <v>411153</v>
      </c>
      <c r="C7445" s="32">
        <v>43070.720081018517</v>
      </c>
    </row>
    <row r="7446" spans="1:3">
      <c r="A7446">
        <v>796567</v>
      </c>
      <c r="B7446">
        <v>200278</v>
      </c>
      <c r="C7446" s="32">
        <v>43070.708379629628</v>
      </c>
    </row>
    <row r="7447" spans="1:3">
      <c r="A7447">
        <v>692240</v>
      </c>
      <c r="B7447">
        <v>982926</v>
      </c>
      <c r="C7447" s="32">
        <v>43071.673564814817</v>
      </c>
    </row>
    <row r="7448" spans="1:3">
      <c r="A7448">
        <v>999099</v>
      </c>
      <c r="B7448">
        <v>4181361</v>
      </c>
      <c r="C7448" s="32">
        <v>43071.378449074073</v>
      </c>
    </row>
    <row r="7449" spans="1:3">
      <c r="A7449">
        <v>957028</v>
      </c>
      <c r="B7449">
        <v>1859277</v>
      </c>
      <c r="C7449" s="32">
        <v>43072.623888888891</v>
      </c>
    </row>
    <row r="7450" spans="1:3">
      <c r="A7450">
        <v>363128</v>
      </c>
      <c r="B7450">
        <v>4138583</v>
      </c>
      <c r="C7450" s="32">
        <v>43070.501469907409</v>
      </c>
    </row>
    <row r="7451" spans="1:3">
      <c r="A7451">
        <v>185425</v>
      </c>
      <c r="B7451">
        <v>4756105</v>
      </c>
      <c r="C7451" s="32">
        <v>43071.587361111109</v>
      </c>
    </row>
    <row r="7452" spans="1:3">
      <c r="A7452">
        <v>434712</v>
      </c>
      <c r="B7452">
        <v>4509358</v>
      </c>
      <c r="C7452" s="32">
        <v>43072.614837962959</v>
      </c>
    </row>
    <row r="7453" spans="1:3">
      <c r="A7453">
        <v>522982</v>
      </c>
      <c r="B7453">
        <v>2920476</v>
      </c>
      <c r="C7453" s="32">
        <v>43069.763020833336</v>
      </c>
    </row>
    <row r="7454" spans="1:3">
      <c r="A7454">
        <v>35420</v>
      </c>
      <c r="B7454">
        <v>3188631</v>
      </c>
      <c r="C7454" s="32">
        <v>43071.631458333337</v>
      </c>
    </row>
    <row r="7455" spans="1:3">
      <c r="A7455">
        <v>581721</v>
      </c>
      <c r="B7455">
        <v>2465336</v>
      </c>
      <c r="C7455" s="32">
        <v>43070.225763888891</v>
      </c>
    </row>
    <row r="7456" spans="1:3">
      <c r="A7456">
        <v>759765</v>
      </c>
      <c r="B7456">
        <v>4756105</v>
      </c>
      <c r="C7456" s="32">
        <v>43072.32471064815</v>
      </c>
    </row>
    <row r="7457" spans="1:3">
      <c r="A7457">
        <v>183702</v>
      </c>
      <c r="B7457">
        <v>4145813</v>
      </c>
      <c r="C7457" s="32">
        <v>43071.617858796293</v>
      </c>
    </row>
    <row r="7458" spans="1:3">
      <c r="A7458">
        <v>652981</v>
      </c>
      <c r="B7458">
        <v>4690421</v>
      </c>
      <c r="C7458" s="32">
        <v>43071.665706018517</v>
      </c>
    </row>
    <row r="7459" spans="1:3">
      <c r="A7459">
        <v>902284</v>
      </c>
      <c r="B7459">
        <v>903809</v>
      </c>
      <c r="C7459" s="32">
        <v>43070.531736111108</v>
      </c>
    </row>
    <row r="7460" spans="1:3">
      <c r="A7460">
        <v>621803</v>
      </c>
      <c r="B7460">
        <v>4244487</v>
      </c>
      <c r="C7460" s="32">
        <v>43070.806400462963</v>
      </c>
    </row>
    <row r="7461" spans="1:3">
      <c r="A7461">
        <v>138797</v>
      </c>
      <c r="B7461">
        <v>4801426</v>
      </c>
      <c r="C7461" s="32">
        <v>43072.514166666668</v>
      </c>
    </row>
    <row r="7462" spans="1:3">
      <c r="A7462">
        <v>545934</v>
      </c>
      <c r="B7462">
        <v>3407883</v>
      </c>
      <c r="C7462" s="32">
        <v>43072.605092592596</v>
      </c>
    </row>
    <row r="7463" spans="1:3">
      <c r="A7463">
        <v>15576</v>
      </c>
      <c r="B7463">
        <v>4801426</v>
      </c>
      <c r="C7463" s="32">
        <v>43071.59107638889</v>
      </c>
    </row>
    <row r="7464" spans="1:3">
      <c r="A7464">
        <v>147404</v>
      </c>
      <c r="B7464">
        <v>2342116</v>
      </c>
      <c r="C7464" s="32">
        <v>43071.27107638889</v>
      </c>
    </row>
    <row r="7465" spans="1:3">
      <c r="A7465">
        <v>568000</v>
      </c>
      <c r="B7465">
        <v>4672807</v>
      </c>
      <c r="C7465" s="32">
        <v>43072.491736111115</v>
      </c>
    </row>
    <row r="7466" spans="1:3">
      <c r="A7466">
        <v>650512</v>
      </c>
      <c r="B7466">
        <v>2926020</v>
      </c>
      <c r="C7466" s="32">
        <v>43071.566516203704</v>
      </c>
    </row>
    <row r="7467" spans="1:3">
      <c r="A7467">
        <v>801791</v>
      </c>
      <c r="B7467">
        <v>982926</v>
      </c>
      <c r="C7467" s="32">
        <v>43071.600428240738</v>
      </c>
    </row>
    <row r="7468" spans="1:3">
      <c r="A7468">
        <v>291917</v>
      </c>
      <c r="B7468">
        <v>4756105</v>
      </c>
      <c r="C7468" s="32">
        <v>43071.171909722223</v>
      </c>
    </row>
    <row r="7469" spans="1:3">
      <c r="A7469">
        <v>175444</v>
      </c>
      <c r="B7469">
        <v>3702593</v>
      </c>
      <c r="C7469" s="32">
        <v>43071.538506944446</v>
      </c>
    </row>
    <row r="7470" spans="1:3">
      <c r="A7470">
        <v>692573</v>
      </c>
      <c r="B7470">
        <v>3694648</v>
      </c>
      <c r="C7470" s="32">
        <v>43071.273912037039</v>
      </c>
    </row>
    <row r="7471" spans="1:3">
      <c r="A7471">
        <v>73811</v>
      </c>
      <c r="B7471">
        <v>149192</v>
      </c>
      <c r="C7471" s="32">
        <v>43072.531493055554</v>
      </c>
    </row>
    <row r="7472" spans="1:3">
      <c r="A7472">
        <v>425045</v>
      </c>
      <c r="B7472">
        <v>4476428</v>
      </c>
      <c r="C7472" s="32">
        <v>43072.137430555558</v>
      </c>
    </row>
    <row r="7473" spans="1:3">
      <c r="A7473">
        <v>290545</v>
      </c>
      <c r="B7473">
        <v>4170419</v>
      </c>
      <c r="C7473" s="32">
        <v>43071.327280092592</v>
      </c>
    </row>
    <row r="7474" spans="1:3">
      <c r="A7474">
        <v>340667</v>
      </c>
      <c r="B7474">
        <v>2735466</v>
      </c>
      <c r="C7474" s="32">
        <v>43072.642430555556</v>
      </c>
    </row>
    <row r="7475" spans="1:3">
      <c r="A7475">
        <v>695183</v>
      </c>
      <c r="B7475">
        <v>3102419</v>
      </c>
      <c r="C7475" s="32">
        <v>43070.297210648147</v>
      </c>
    </row>
    <row r="7476" spans="1:3">
      <c r="A7476">
        <v>699097</v>
      </c>
      <c r="B7476">
        <v>3002561</v>
      </c>
      <c r="C7476" s="32">
        <v>43070.611539351848</v>
      </c>
    </row>
    <row r="7477" spans="1:3">
      <c r="A7477">
        <v>170428</v>
      </c>
      <c r="B7477">
        <v>2926020</v>
      </c>
      <c r="C7477" s="32">
        <v>43071.575277777774</v>
      </c>
    </row>
    <row r="7478" spans="1:3">
      <c r="A7478">
        <v>484438</v>
      </c>
      <c r="B7478">
        <v>4181361</v>
      </c>
      <c r="C7478" s="32">
        <v>43071.610601851855</v>
      </c>
    </row>
    <row r="7479" spans="1:3">
      <c r="A7479">
        <v>551099</v>
      </c>
      <c r="B7479">
        <v>3736316</v>
      </c>
      <c r="C7479" s="32">
        <v>43071.729166666664</v>
      </c>
    </row>
    <row r="7480" spans="1:3">
      <c r="A7480">
        <v>637314</v>
      </c>
      <c r="B7480">
        <v>3004643</v>
      </c>
      <c r="C7480" s="32">
        <v>43072.373182870368</v>
      </c>
    </row>
    <row r="7481" spans="1:3">
      <c r="A7481">
        <v>345252</v>
      </c>
      <c r="B7481">
        <v>2520377</v>
      </c>
      <c r="C7481" s="32">
        <v>43071.492997685185</v>
      </c>
    </row>
    <row r="7482" spans="1:3">
      <c r="A7482">
        <v>184972</v>
      </c>
      <c r="B7482">
        <v>360294</v>
      </c>
      <c r="C7482" s="32">
        <v>43071.581296296295</v>
      </c>
    </row>
    <row r="7483" spans="1:3">
      <c r="A7483">
        <v>454798</v>
      </c>
      <c r="B7483">
        <v>2440115</v>
      </c>
      <c r="C7483" s="32">
        <v>43069.92460648148</v>
      </c>
    </row>
    <row r="7484" spans="1:3">
      <c r="A7484">
        <v>73613</v>
      </c>
      <c r="B7484">
        <v>1464116</v>
      </c>
      <c r="C7484" s="32">
        <v>43072.13894675926</v>
      </c>
    </row>
    <row r="7485" spans="1:3">
      <c r="A7485">
        <v>832048</v>
      </c>
      <c r="B7485">
        <v>4756105</v>
      </c>
      <c r="C7485" s="32">
        <v>43071.623136574075</v>
      </c>
    </row>
    <row r="7486" spans="1:3">
      <c r="A7486">
        <v>827416</v>
      </c>
      <c r="B7486">
        <v>2052526</v>
      </c>
      <c r="C7486" s="32">
        <v>43070.661817129629</v>
      </c>
    </row>
    <row r="7487" spans="1:3">
      <c r="A7487">
        <v>168532</v>
      </c>
      <c r="B7487">
        <v>1859277</v>
      </c>
      <c r="C7487" s="32">
        <v>43072.369386574072</v>
      </c>
    </row>
    <row r="7488" spans="1:3">
      <c r="A7488">
        <v>847496</v>
      </c>
      <c r="B7488">
        <v>753984</v>
      </c>
      <c r="C7488" s="32">
        <v>43071.665277777778</v>
      </c>
    </row>
    <row r="7489" spans="1:3">
      <c r="A7489">
        <v>827781</v>
      </c>
      <c r="B7489">
        <v>2520771</v>
      </c>
      <c r="C7489" s="32">
        <v>43072.374791666669</v>
      </c>
    </row>
    <row r="7490" spans="1:3">
      <c r="A7490">
        <v>272107</v>
      </c>
      <c r="B7490">
        <v>772629</v>
      </c>
      <c r="C7490" s="32">
        <v>43072.222210648149</v>
      </c>
    </row>
    <row r="7491" spans="1:3">
      <c r="A7491">
        <v>22837</v>
      </c>
      <c r="B7491">
        <v>846990</v>
      </c>
      <c r="C7491" s="32">
        <v>43070.659780092596</v>
      </c>
    </row>
    <row r="7492" spans="1:3">
      <c r="A7492">
        <v>620215</v>
      </c>
      <c r="B7492">
        <v>4756105</v>
      </c>
      <c r="C7492" s="32">
        <v>43070.482592592591</v>
      </c>
    </row>
    <row r="7493" spans="1:3">
      <c r="A7493">
        <v>947145</v>
      </c>
      <c r="B7493">
        <v>4144410</v>
      </c>
      <c r="C7493" s="32">
        <v>43072.521249999998</v>
      </c>
    </row>
    <row r="7494" spans="1:3">
      <c r="A7494">
        <v>46890</v>
      </c>
      <c r="B7494">
        <v>2465336</v>
      </c>
      <c r="C7494" s="32">
        <v>43071.370219907411</v>
      </c>
    </row>
    <row r="7495" spans="1:3">
      <c r="A7495">
        <v>113233</v>
      </c>
      <c r="B7495">
        <v>2878148</v>
      </c>
      <c r="C7495" s="32">
        <v>43072.651712962965</v>
      </c>
    </row>
    <row r="7496" spans="1:3">
      <c r="A7496">
        <v>202599</v>
      </c>
      <c r="B7496">
        <v>3002561</v>
      </c>
      <c r="C7496" s="32">
        <v>43071.651701388888</v>
      </c>
    </row>
    <row r="7497" spans="1:3">
      <c r="A7497">
        <v>344097</v>
      </c>
      <c r="B7497">
        <v>448398</v>
      </c>
      <c r="C7497" s="32">
        <v>43070.591828703706</v>
      </c>
    </row>
    <row r="7498" spans="1:3">
      <c r="A7498">
        <v>346864</v>
      </c>
      <c r="B7498">
        <v>2640118</v>
      </c>
      <c r="C7498" s="32">
        <v>43071.459513888891</v>
      </c>
    </row>
    <row r="7499" spans="1:3">
      <c r="A7499">
        <v>629841</v>
      </c>
      <c r="B7499">
        <v>2735466</v>
      </c>
      <c r="C7499" s="32">
        <v>43070.61482638889</v>
      </c>
    </row>
    <row r="7500" spans="1:3">
      <c r="A7500">
        <v>645905</v>
      </c>
      <c r="B7500">
        <v>883960</v>
      </c>
      <c r="C7500" s="32">
        <v>43071.202870370369</v>
      </c>
    </row>
    <row r="7501" spans="1:3">
      <c r="A7501">
        <v>20293</v>
      </c>
      <c r="B7501">
        <v>1299190</v>
      </c>
      <c r="C7501" s="32">
        <v>43069.824560185189</v>
      </c>
    </row>
    <row r="7502" spans="1:3">
      <c r="A7502">
        <v>1015109</v>
      </c>
      <c r="B7502">
        <v>1724559</v>
      </c>
      <c r="C7502" s="32">
        <v>43072.611215277779</v>
      </c>
    </row>
    <row r="7503" spans="1:3">
      <c r="A7503">
        <v>473680</v>
      </c>
      <c r="B7503">
        <v>4181361</v>
      </c>
      <c r="C7503" s="32">
        <v>43071.528402777774</v>
      </c>
    </row>
    <row r="7504" spans="1:3">
      <c r="A7504">
        <v>475650</v>
      </c>
      <c r="B7504">
        <v>4145813</v>
      </c>
      <c r="C7504" s="32">
        <v>43071.933391203704</v>
      </c>
    </row>
    <row r="7505" spans="1:3">
      <c r="A7505">
        <v>371815</v>
      </c>
      <c r="B7505">
        <v>3607361</v>
      </c>
      <c r="C7505" s="32">
        <v>43071.604444444441</v>
      </c>
    </row>
    <row r="7506" spans="1:3">
      <c r="A7506">
        <v>254087</v>
      </c>
      <c r="B7506">
        <v>2710853</v>
      </c>
      <c r="C7506" s="32">
        <v>43071.511319444442</v>
      </c>
    </row>
    <row r="7507" spans="1:3">
      <c r="A7507">
        <v>375267</v>
      </c>
      <c r="B7507">
        <v>149192</v>
      </c>
      <c r="C7507" s="32">
        <v>43070.49900462963</v>
      </c>
    </row>
    <row r="7508" spans="1:3">
      <c r="A7508">
        <v>376276</v>
      </c>
      <c r="B7508">
        <v>1884568</v>
      </c>
      <c r="C7508" s="32">
        <v>43070.162164351852</v>
      </c>
    </row>
    <row r="7509" spans="1:3">
      <c r="A7509">
        <v>161200</v>
      </c>
      <c r="B7509">
        <v>4464320</v>
      </c>
      <c r="C7509" s="32">
        <v>43070.327696759261</v>
      </c>
    </row>
    <row r="7510" spans="1:3">
      <c r="A7510">
        <v>647760</v>
      </c>
      <c r="B7510">
        <v>4919077</v>
      </c>
      <c r="C7510" s="32">
        <v>43070.460914351854</v>
      </c>
    </row>
    <row r="7511" spans="1:3">
      <c r="A7511">
        <v>174329</v>
      </c>
      <c r="B7511">
        <v>2303546</v>
      </c>
      <c r="C7511" s="32">
        <v>43070.392094907409</v>
      </c>
    </row>
    <row r="7512" spans="1:3">
      <c r="A7512">
        <v>240720</v>
      </c>
      <c r="B7512">
        <v>4756105</v>
      </c>
      <c r="C7512" s="32">
        <v>43072.199942129628</v>
      </c>
    </row>
    <row r="7513" spans="1:3">
      <c r="A7513">
        <v>596176</v>
      </c>
      <c r="B7513">
        <v>2520771</v>
      </c>
      <c r="C7513" s="32">
        <v>43072.268020833333</v>
      </c>
    </row>
    <row r="7514" spans="1:3">
      <c r="A7514">
        <v>581828</v>
      </c>
      <c r="B7514">
        <v>2355072</v>
      </c>
      <c r="C7514" s="32">
        <v>43070.996828703705</v>
      </c>
    </row>
    <row r="7515" spans="1:3">
      <c r="A7515">
        <v>794060</v>
      </c>
      <c r="B7515">
        <v>2520377</v>
      </c>
      <c r="C7515" s="32">
        <v>43070.767222222225</v>
      </c>
    </row>
    <row r="7516" spans="1:3">
      <c r="A7516">
        <v>631719</v>
      </c>
      <c r="B7516">
        <v>4551297</v>
      </c>
      <c r="C7516" s="32">
        <v>43072.067280092589</v>
      </c>
    </row>
    <row r="7517" spans="1:3">
      <c r="A7517">
        <v>409835</v>
      </c>
      <c r="B7517">
        <v>2920476</v>
      </c>
      <c r="C7517" s="32">
        <v>43072.477453703701</v>
      </c>
    </row>
    <row r="7518" spans="1:3">
      <c r="A7518">
        <v>514111</v>
      </c>
      <c r="B7518">
        <v>4145813</v>
      </c>
      <c r="C7518" s="32">
        <v>43072.591319444444</v>
      </c>
    </row>
    <row r="7519" spans="1:3">
      <c r="A7519">
        <v>446524</v>
      </c>
      <c r="B7519">
        <v>753984</v>
      </c>
      <c r="C7519" s="32">
        <v>43070.451053240744</v>
      </c>
    </row>
    <row r="7520" spans="1:3">
      <c r="A7520">
        <v>148588</v>
      </c>
      <c r="B7520">
        <v>2465336</v>
      </c>
      <c r="C7520" s="32">
        <v>43072.293483796297</v>
      </c>
    </row>
    <row r="7521" spans="1:3">
      <c r="A7521">
        <v>335418</v>
      </c>
      <c r="B7521">
        <v>3774512</v>
      </c>
      <c r="C7521" s="32">
        <v>43072.474895833337</v>
      </c>
    </row>
    <row r="7522" spans="1:3">
      <c r="A7522">
        <v>183232</v>
      </c>
      <c r="B7522">
        <v>1910923</v>
      </c>
      <c r="C7522" s="32">
        <v>43070.548981481479</v>
      </c>
    </row>
    <row r="7523" spans="1:3">
      <c r="A7523">
        <v>618465</v>
      </c>
      <c r="B7523">
        <v>2465336</v>
      </c>
      <c r="C7523" s="32">
        <v>43072.320960648147</v>
      </c>
    </row>
    <row r="7524" spans="1:3">
      <c r="A7524">
        <v>521028</v>
      </c>
      <c r="B7524">
        <v>570735</v>
      </c>
      <c r="C7524" s="32">
        <v>43072.220925925925</v>
      </c>
    </row>
    <row r="7525" spans="1:3">
      <c r="A7525">
        <v>615422</v>
      </c>
      <c r="B7525">
        <v>4731191</v>
      </c>
      <c r="C7525" s="32">
        <v>43071.743854166663</v>
      </c>
    </row>
    <row r="7526" spans="1:3">
      <c r="A7526">
        <v>698672</v>
      </c>
      <c r="B7526">
        <v>1320293</v>
      </c>
      <c r="C7526" s="32">
        <v>43071.331550925926</v>
      </c>
    </row>
    <row r="7527" spans="1:3">
      <c r="A7527">
        <v>600978</v>
      </c>
      <c r="B7527">
        <v>2156156</v>
      </c>
      <c r="C7527" s="32">
        <v>43071.386435185188</v>
      </c>
    </row>
    <row r="7528" spans="1:3">
      <c r="A7528">
        <v>48202</v>
      </c>
      <c r="B7528">
        <v>2520377</v>
      </c>
      <c r="C7528" s="32">
        <v>43072.259780092594</v>
      </c>
    </row>
    <row r="7529" spans="1:3">
      <c r="A7529">
        <v>439914</v>
      </c>
      <c r="B7529">
        <v>4357323</v>
      </c>
      <c r="C7529" s="32">
        <v>43070.591770833336</v>
      </c>
    </row>
    <row r="7530" spans="1:3">
      <c r="A7530">
        <v>456707</v>
      </c>
      <c r="B7530">
        <v>2465336</v>
      </c>
      <c r="C7530" s="32">
        <v>43072.328819444447</v>
      </c>
    </row>
    <row r="7531" spans="1:3">
      <c r="A7531">
        <v>328966</v>
      </c>
      <c r="B7531">
        <v>2465336</v>
      </c>
      <c r="C7531" s="32">
        <v>43071.329687500001</v>
      </c>
    </row>
    <row r="7532" spans="1:3">
      <c r="A7532">
        <v>208445</v>
      </c>
      <c r="B7532">
        <v>3248072</v>
      </c>
      <c r="C7532" s="32">
        <v>43072.594340277778</v>
      </c>
    </row>
    <row r="7533" spans="1:3">
      <c r="A7533">
        <v>19298</v>
      </c>
      <c r="B7533">
        <v>4145813</v>
      </c>
      <c r="C7533" s="32">
        <v>43071.665613425925</v>
      </c>
    </row>
    <row r="7534" spans="1:3">
      <c r="A7534">
        <v>467784</v>
      </c>
      <c r="B7534">
        <v>3756841</v>
      </c>
      <c r="C7534" s="32">
        <v>43070.198159722226</v>
      </c>
    </row>
    <row r="7535" spans="1:3">
      <c r="A7535">
        <v>732450</v>
      </c>
      <c r="B7535">
        <v>3160926</v>
      </c>
      <c r="C7535" s="32">
        <v>43071.030358796299</v>
      </c>
    </row>
    <row r="7536" spans="1:3">
      <c r="A7536">
        <v>602801</v>
      </c>
      <c r="B7536">
        <v>4804883</v>
      </c>
      <c r="C7536" s="32">
        <v>43072.134340277778</v>
      </c>
    </row>
    <row r="7537" spans="1:3">
      <c r="A7537">
        <v>218104</v>
      </c>
      <c r="B7537">
        <v>2720496</v>
      </c>
      <c r="C7537" s="32">
        <v>43071.282465277778</v>
      </c>
    </row>
    <row r="7538" spans="1:3">
      <c r="A7538">
        <v>943012</v>
      </c>
      <c r="B7538">
        <v>4756105</v>
      </c>
      <c r="C7538" s="32">
        <v>43070.084421296298</v>
      </c>
    </row>
    <row r="7539" spans="1:3">
      <c r="A7539">
        <v>36234</v>
      </c>
      <c r="B7539">
        <v>3774512</v>
      </c>
      <c r="C7539" s="32">
        <v>43069.721759259257</v>
      </c>
    </row>
    <row r="7540" spans="1:3">
      <c r="A7540">
        <v>715588</v>
      </c>
      <c r="B7540">
        <v>3738615</v>
      </c>
      <c r="C7540" s="32">
        <v>43071.619016203702</v>
      </c>
    </row>
    <row r="7541" spans="1:3">
      <c r="A7541">
        <v>846580</v>
      </c>
      <c r="B7541">
        <v>4756105</v>
      </c>
      <c r="C7541" s="32">
        <v>43070.019166666665</v>
      </c>
    </row>
    <row r="7542" spans="1:3">
      <c r="A7542">
        <v>825353</v>
      </c>
      <c r="B7542">
        <v>4163659</v>
      </c>
      <c r="C7542" s="32">
        <v>43070.401574074072</v>
      </c>
    </row>
    <row r="7543" spans="1:3">
      <c r="A7543">
        <v>124468</v>
      </c>
      <c r="B7543">
        <v>4756105</v>
      </c>
      <c r="C7543" s="32">
        <v>43071.553298611114</v>
      </c>
    </row>
    <row r="7544" spans="1:3">
      <c r="A7544">
        <v>198926</v>
      </c>
      <c r="B7544">
        <v>4145813</v>
      </c>
      <c r="C7544" s="32">
        <v>43070.23982638889</v>
      </c>
    </row>
    <row r="7545" spans="1:3">
      <c r="A7545">
        <v>874997</v>
      </c>
      <c r="B7545">
        <v>285583</v>
      </c>
      <c r="C7545" s="32">
        <v>43072.352442129632</v>
      </c>
    </row>
    <row r="7546" spans="1:3">
      <c r="A7546">
        <v>276728</v>
      </c>
      <c r="B7546">
        <v>4256011</v>
      </c>
      <c r="C7546" s="32">
        <v>43069.697581018518</v>
      </c>
    </row>
    <row r="7547" spans="1:3">
      <c r="A7547">
        <v>323612</v>
      </c>
      <c r="B7547">
        <v>1320293</v>
      </c>
      <c r="C7547" s="32">
        <v>43072.627395833333</v>
      </c>
    </row>
    <row r="7548" spans="1:3">
      <c r="A7548">
        <v>596843</v>
      </c>
      <c r="B7548">
        <v>2355072</v>
      </c>
      <c r="C7548" s="32">
        <v>43071.302754629629</v>
      </c>
    </row>
    <row r="7549" spans="1:3">
      <c r="A7549">
        <v>802657</v>
      </c>
      <c r="B7549">
        <v>2355072</v>
      </c>
      <c r="C7549" s="32">
        <v>43071.482824074075</v>
      </c>
    </row>
    <row r="7550" spans="1:3">
      <c r="A7550">
        <v>1017426</v>
      </c>
      <c r="B7550">
        <v>4969568</v>
      </c>
      <c r="C7550" s="32">
        <v>43072.125011574077</v>
      </c>
    </row>
    <row r="7551" spans="1:3">
      <c r="A7551">
        <v>766808</v>
      </c>
      <c r="B7551">
        <v>4263418</v>
      </c>
      <c r="C7551" s="32">
        <v>43072.463761574072</v>
      </c>
    </row>
    <row r="7552" spans="1:3">
      <c r="A7552">
        <v>1000478</v>
      </c>
      <c r="B7552">
        <v>4919077</v>
      </c>
      <c r="C7552" s="32">
        <v>43069.98333333333</v>
      </c>
    </row>
    <row r="7553" spans="1:3">
      <c r="A7553">
        <v>112070</v>
      </c>
      <c r="B7553">
        <v>2529187</v>
      </c>
      <c r="C7553" s="32">
        <v>43071.691168981481</v>
      </c>
    </row>
    <row r="7554" spans="1:3">
      <c r="A7554">
        <v>112570</v>
      </c>
      <c r="B7554">
        <v>238434</v>
      </c>
      <c r="C7554" s="32">
        <v>43072.108020833337</v>
      </c>
    </row>
    <row r="7555" spans="1:3">
      <c r="A7555">
        <v>474430</v>
      </c>
      <c r="B7555">
        <v>2892802</v>
      </c>
      <c r="C7555" s="32">
        <v>43071.091851851852</v>
      </c>
    </row>
    <row r="7556" spans="1:3">
      <c r="A7556">
        <v>69503</v>
      </c>
      <c r="B7556">
        <v>4801426</v>
      </c>
      <c r="C7556" s="32">
        <v>43071.219953703701</v>
      </c>
    </row>
    <row r="7557" spans="1:3">
      <c r="A7557">
        <v>126921</v>
      </c>
      <c r="B7557">
        <v>2629787</v>
      </c>
      <c r="C7557" s="32">
        <v>43072.4922337963</v>
      </c>
    </row>
    <row r="7558" spans="1:3">
      <c r="A7558">
        <v>220512</v>
      </c>
      <c r="B7558">
        <v>3673049</v>
      </c>
      <c r="C7558" s="32">
        <v>43072.355497685188</v>
      </c>
    </row>
    <row r="7559" spans="1:3">
      <c r="A7559">
        <v>889767</v>
      </c>
      <c r="B7559">
        <v>3607361</v>
      </c>
      <c r="C7559" s="32">
        <v>43070.588622685187</v>
      </c>
    </row>
    <row r="7560" spans="1:3">
      <c r="A7560">
        <v>206938</v>
      </c>
      <c r="B7560">
        <v>1817004</v>
      </c>
      <c r="C7560" s="32">
        <v>43071.60664351852</v>
      </c>
    </row>
    <row r="7561" spans="1:3">
      <c r="A7561">
        <v>595631</v>
      </c>
      <c r="B7561">
        <v>1575622</v>
      </c>
      <c r="C7561" s="32">
        <v>43070.569652777776</v>
      </c>
    </row>
    <row r="7562" spans="1:3">
      <c r="A7562">
        <v>726000</v>
      </c>
      <c r="B7562">
        <v>2640118</v>
      </c>
      <c r="C7562" s="32">
        <v>43072.248402777775</v>
      </c>
    </row>
    <row r="7563" spans="1:3">
      <c r="A7563">
        <v>585867</v>
      </c>
      <c r="B7563">
        <v>3607361</v>
      </c>
      <c r="C7563" s="32">
        <v>43071.273344907408</v>
      </c>
    </row>
    <row r="7564" spans="1:3">
      <c r="A7564">
        <v>116075</v>
      </c>
      <c r="B7564">
        <v>3208959</v>
      </c>
      <c r="C7564" s="32">
        <v>43072.150381944448</v>
      </c>
    </row>
    <row r="7565" spans="1:3">
      <c r="A7565">
        <v>182722</v>
      </c>
      <c r="B7565">
        <v>3673049</v>
      </c>
      <c r="C7565" s="32">
        <v>43070.978865740741</v>
      </c>
    </row>
    <row r="7566" spans="1:3">
      <c r="A7566">
        <v>187499</v>
      </c>
      <c r="B7566">
        <v>2640118</v>
      </c>
      <c r="C7566" s="32">
        <v>43070.275254629632</v>
      </c>
    </row>
    <row r="7567" spans="1:3">
      <c r="A7567">
        <v>689877</v>
      </c>
      <c r="B7567">
        <v>4145813</v>
      </c>
      <c r="C7567" s="32">
        <v>43070.662557870368</v>
      </c>
    </row>
    <row r="7568" spans="1:3">
      <c r="A7568">
        <v>97817</v>
      </c>
      <c r="B7568">
        <v>1689624</v>
      </c>
      <c r="C7568" s="32">
        <v>43072.597210648149</v>
      </c>
    </row>
    <row r="7569" spans="1:3">
      <c r="A7569">
        <v>471580</v>
      </c>
      <c r="B7569">
        <v>1888306</v>
      </c>
      <c r="C7569" s="32">
        <v>43071.222314814811</v>
      </c>
    </row>
    <row r="7570" spans="1:3">
      <c r="A7570">
        <v>423582</v>
      </c>
      <c r="B7570">
        <v>846990</v>
      </c>
      <c r="C7570" s="32">
        <v>43070.202696759261</v>
      </c>
    </row>
    <row r="7571" spans="1:3">
      <c r="A7571">
        <v>135778</v>
      </c>
      <c r="B7571">
        <v>3855599</v>
      </c>
      <c r="C7571" s="32">
        <v>43071.181932870371</v>
      </c>
    </row>
    <row r="7572" spans="1:3">
      <c r="A7572">
        <v>736868</v>
      </c>
      <c r="B7572">
        <v>384755</v>
      </c>
      <c r="C7572" s="32">
        <v>43070.588692129626</v>
      </c>
    </row>
    <row r="7573" spans="1:3">
      <c r="A7573">
        <v>898373</v>
      </c>
      <c r="B7573">
        <v>2181935</v>
      </c>
      <c r="C7573" s="32">
        <v>43071.38386574074</v>
      </c>
    </row>
    <row r="7574" spans="1:3">
      <c r="A7574">
        <v>1016264</v>
      </c>
      <c r="B7574">
        <v>238434</v>
      </c>
      <c r="C7574" s="32">
        <v>43070.547199074077</v>
      </c>
    </row>
    <row r="7575" spans="1:3">
      <c r="A7575">
        <v>508518</v>
      </c>
      <c r="B7575">
        <v>2520771</v>
      </c>
      <c r="C7575" s="32">
        <v>43070.492731481485</v>
      </c>
    </row>
    <row r="7576" spans="1:3">
      <c r="A7576">
        <v>102495</v>
      </c>
      <c r="B7576">
        <v>4050612</v>
      </c>
      <c r="C7576" s="32">
        <v>43071.365949074076</v>
      </c>
    </row>
    <row r="7577" spans="1:3">
      <c r="A7577">
        <v>930862</v>
      </c>
      <c r="B7577">
        <v>1792277</v>
      </c>
      <c r="C7577" s="32">
        <v>43071.664641203701</v>
      </c>
    </row>
    <row r="7578" spans="1:3">
      <c r="A7578">
        <v>15451</v>
      </c>
      <c r="B7578">
        <v>570735</v>
      </c>
      <c r="C7578" s="32">
        <v>43072.14234953704</v>
      </c>
    </row>
    <row r="7579" spans="1:3">
      <c r="A7579">
        <v>414422</v>
      </c>
      <c r="B7579">
        <v>4697972</v>
      </c>
      <c r="C7579" s="32">
        <v>43071.035729166666</v>
      </c>
    </row>
    <row r="7580" spans="1:3">
      <c r="A7580">
        <v>260686</v>
      </c>
      <c r="B7580">
        <v>1906712</v>
      </c>
      <c r="C7580" s="32">
        <v>43072.164826388886</v>
      </c>
    </row>
    <row r="7581" spans="1:3">
      <c r="A7581">
        <v>557402</v>
      </c>
      <c r="B7581">
        <v>1320293</v>
      </c>
      <c r="C7581" s="32">
        <v>43071.318749999999</v>
      </c>
    </row>
    <row r="7582" spans="1:3">
      <c r="A7582">
        <v>548540</v>
      </c>
      <c r="B7582">
        <v>4159072</v>
      </c>
      <c r="C7582" s="32">
        <v>43071.531423611108</v>
      </c>
    </row>
    <row r="7583" spans="1:3">
      <c r="A7583">
        <v>302630</v>
      </c>
      <c r="B7583">
        <v>3776866</v>
      </c>
      <c r="C7583" s="32">
        <v>43070.980844907404</v>
      </c>
    </row>
    <row r="7584" spans="1:3">
      <c r="A7584">
        <v>580446</v>
      </c>
      <c r="B7584">
        <v>3264833</v>
      </c>
      <c r="C7584" s="32">
        <v>43072.551805555559</v>
      </c>
    </row>
    <row r="7585" spans="1:3">
      <c r="A7585">
        <v>721646</v>
      </c>
      <c r="B7585">
        <v>3607361</v>
      </c>
      <c r="C7585" s="32">
        <v>43070.710324074076</v>
      </c>
    </row>
    <row r="7586" spans="1:3">
      <c r="A7586">
        <v>504270</v>
      </c>
      <c r="B7586">
        <v>2920476</v>
      </c>
      <c r="C7586" s="32">
        <v>43070.400358796294</v>
      </c>
    </row>
    <row r="7587" spans="1:3">
      <c r="A7587">
        <v>639574</v>
      </c>
      <c r="B7587">
        <v>1029459</v>
      </c>
      <c r="C7587" s="32">
        <v>43071.882384259261</v>
      </c>
    </row>
    <row r="7588" spans="1:3">
      <c r="A7588">
        <v>766741</v>
      </c>
      <c r="B7588">
        <v>1020087</v>
      </c>
      <c r="C7588" s="32">
        <v>43071.200416666667</v>
      </c>
    </row>
    <row r="7589" spans="1:3">
      <c r="A7589">
        <v>646348</v>
      </c>
      <c r="B7589">
        <v>1286537</v>
      </c>
      <c r="C7589" s="32">
        <v>43071.362303240741</v>
      </c>
    </row>
    <row r="7590" spans="1:3">
      <c r="A7590">
        <v>649531</v>
      </c>
      <c r="B7590">
        <v>2520771</v>
      </c>
      <c r="C7590" s="32">
        <v>43071.273194444446</v>
      </c>
    </row>
    <row r="7591" spans="1:3">
      <c r="A7591">
        <v>683459</v>
      </c>
      <c r="B7591">
        <v>2064089</v>
      </c>
      <c r="C7591" s="32">
        <v>43071.485069444447</v>
      </c>
    </row>
    <row r="7592" spans="1:3">
      <c r="A7592">
        <v>315462</v>
      </c>
      <c r="B7592">
        <v>2926020</v>
      </c>
      <c r="C7592" s="32">
        <v>43070.282326388886</v>
      </c>
    </row>
    <row r="7593" spans="1:3">
      <c r="A7593">
        <v>238615</v>
      </c>
      <c r="B7593">
        <v>2272488</v>
      </c>
      <c r="C7593" s="32">
        <v>43072.133460648147</v>
      </c>
    </row>
    <row r="7594" spans="1:3">
      <c r="A7594">
        <v>523366</v>
      </c>
      <c r="B7594">
        <v>3299155</v>
      </c>
      <c r="C7594" s="32">
        <v>43070.597430555557</v>
      </c>
    </row>
    <row r="7595" spans="1:3">
      <c r="A7595">
        <v>458355</v>
      </c>
      <c r="B7595">
        <v>286229</v>
      </c>
      <c r="C7595" s="32">
        <v>43071.500405092593</v>
      </c>
    </row>
    <row r="7596" spans="1:3">
      <c r="A7596">
        <v>233686</v>
      </c>
      <c r="B7596">
        <v>149192</v>
      </c>
      <c r="C7596" s="32">
        <v>43070.448136574072</v>
      </c>
    </row>
    <row r="7597" spans="1:3">
      <c r="A7597">
        <v>583080</v>
      </c>
      <c r="B7597">
        <v>3461823</v>
      </c>
      <c r="C7597" s="32">
        <v>43072.651828703703</v>
      </c>
    </row>
    <row r="7598" spans="1:3">
      <c r="A7598">
        <v>541323</v>
      </c>
      <c r="B7598">
        <v>841696</v>
      </c>
      <c r="C7598" s="32">
        <v>43070.203715277778</v>
      </c>
    </row>
    <row r="7599" spans="1:3">
      <c r="A7599">
        <v>943935</v>
      </c>
      <c r="B7599">
        <v>4321796</v>
      </c>
      <c r="C7599" s="32">
        <v>43072.35015046296</v>
      </c>
    </row>
    <row r="7600" spans="1:3">
      <c r="A7600">
        <v>501938</v>
      </c>
      <c r="B7600">
        <v>3081594</v>
      </c>
      <c r="C7600" s="32">
        <v>43070.155462962961</v>
      </c>
    </row>
    <row r="7601" spans="1:3">
      <c r="A7601">
        <v>461972</v>
      </c>
      <c r="B7601">
        <v>2733371</v>
      </c>
      <c r="C7601" s="32">
        <v>43072.413298611114</v>
      </c>
    </row>
    <row r="7602" spans="1:3">
      <c r="A7602">
        <v>462816</v>
      </c>
      <c r="B7602">
        <v>4672807</v>
      </c>
      <c r="C7602" s="32">
        <v>43070.310312499998</v>
      </c>
    </row>
    <row r="7603" spans="1:3">
      <c r="A7603">
        <v>538343</v>
      </c>
      <c r="B7603">
        <v>4882154</v>
      </c>
      <c r="C7603" s="32">
        <v>43070.04241898148</v>
      </c>
    </row>
    <row r="7604" spans="1:3">
      <c r="A7604">
        <v>630195</v>
      </c>
      <c r="B7604">
        <v>1320293</v>
      </c>
      <c r="C7604" s="32">
        <v>43070.495868055557</v>
      </c>
    </row>
    <row r="7605" spans="1:3">
      <c r="A7605">
        <v>463544</v>
      </c>
      <c r="B7605">
        <v>2202384</v>
      </c>
      <c r="C7605" s="32">
        <v>43069.681562500002</v>
      </c>
    </row>
    <row r="7606" spans="1:3">
      <c r="A7606">
        <v>940265</v>
      </c>
      <c r="B7606">
        <v>1464116</v>
      </c>
      <c r="C7606" s="32">
        <v>43070.032731481479</v>
      </c>
    </row>
    <row r="7607" spans="1:3">
      <c r="A7607">
        <v>858991</v>
      </c>
      <c r="B7607">
        <v>4357323</v>
      </c>
      <c r="C7607" s="32">
        <v>43070.044120370374</v>
      </c>
    </row>
    <row r="7608" spans="1:3">
      <c r="A7608">
        <v>738325</v>
      </c>
      <c r="B7608">
        <v>1299190</v>
      </c>
      <c r="C7608" s="32">
        <v>43070.580405092594</v>
      </c>
    </row>
    <row r="7609" spans="1:3">
      <c r="A7609">
        <v>412753</v>
      </c>
      <c r="B7609">
        <v>149192</v>
      </c>
      <c r="C7609" s="32">
        <v>43071.034305555557</v>
      </c>
    </row>
    <row r="7610" spans="1:3">
      <c r="A7610">
        <v>532826</v>
      </c>
      <c r="B7610">
        <v>634390</v>
      </c>
      <c r="C7610" s="32">
        <v>43072.632465277777</v>
      </c>
    </row>
    <row r="7611" spans="1:3">
      <c r="A7611">
        <v>359920</v>
      </c>
      <c r="B7611">
        <v>3274258</v>
      </c>
      <c r="C7611" s="32">
        <v>43070.531435185185</v>
      </c>
    </row>
    <row r="7612" spans="1:3">
      <c r="A7612">
        <v>183232</v>
      </c>
      <c r="B7612">
        <v>4358294</v>
      </c>
      <c r="C7612" s="32">
        <v>43072.570891203701</v>
      </c>
    </row>
    <row r="7613" spans="1:3">
      <c r="A7613">
        <v>317005</v>
      </c>
      <c r="B7613">
        <v>428367</v>
      </c>
      <c r="C7613" s="32">
        <v>43072.618217592593</v>
      </c>
    </row>
    <row r="7614" spans="1:3">
      <c r="A7614">
        <v>523445</v>
      </c>
      <c r="B7614">
        <v>2520377</v>
      </c>
      <c r="C7614" s="32">
        <v>43072.00445601852</v>
      </c>
    </row>
    <row r="7615" spans="1:3">
      <c r="A7615">
        <v>11838</v>
      </c>
      <c r="B7615">
        <v>982926</v>
      </c>
      <c r="C7615" s="32">
        <v>43071.558761574073</v>
      </c>
    </row>
    <row r="7616" spans="1:3">
      <c r="A7616">
        <v>633470</v>
      </c>
      <c r="B7616">
        <v>4558987</v>
      </c>
      <c r="C7616" s="32">
        <v>43072.665162037039</v>
      </c>
    </row>
    <row r="7617" spans="1:3">
      <c r="A7617">
        <v>910932</v>
      </c>
      <c r="B7617">
        <v>570735</v>
      </c>
      <c r="C7617" s="32">
        <v>43070.46334490741</v>
      </c>
    </row>
    <row r="7618" spans="1:3">
      <c r="A7618">
        <v>930845</v>
      </c>
      <c r="B7618">
        <v>4015257</v>
      </c>
      <c r="C7618" s="32">
        <v>43070.574224537035</v>
      </c>
    </row>
    <row r="7619" spans="1:3">
      <c r="A7619">
        <v>837574</v>
      </c>
      <c r="B7619">
        <v>358773</v>
      </c>
      <c r="C7619" s="32">
        <v>43072.152708333335</v>
      </c>
    </row>
    <row r="7620" spans="1:3">
      <c r="A7620">
        <v>264981</v>
      </c>
      <c r="B7620">
        <v>4756105</v>
      </c>
      <c r="C7620" s="32">
        <v>43072.580381944441</v>
      </c>
    </row>
    <row r="7621" spans="1:3">
      <c r="A7621">
        <v>508874</v>
      </c>
      <c r="B7621">
        <v>149192</v>
      </c>
      <c r="C7621" s="32">
        <v>43069.878437500003</v>
      </c>
    </row>
    <row r="7622" spans="1:3">
      <c r="A7622">
        <v>218939</v>
      </c>
      <c r="B7622">
        <v>4756105</v>
      </c>
      <c r="C7622" s="32">
        <v>43070.620439814818</v>
      </c>
    </row>
    <row r="7623" spans="1:3">
      <c r="A7623">
        <v>465374</v>
      </c>
      <c r="B7623">
        <v>2926020</v>
      </c>
      <c r="C7623" s="32">
        <v>43072.011562500003</v>
      </c>
    </row>
    <row r="7624" spans="1:3">
      <c r="A7624">
        <v>274595</v>
      </c>
      <c r="B7624">
        <v>3985474</v>
      </c>
      <c r="C7624" s="32">
        <v>43071.630706018521</v>
      </c>
    </row>
    <row r="7625" spans="1:3">
      <c r="A7625">
        <v>164566</v>
      </c>
      <c r="B7625">
        <v>1834026</v>
      </c>
      <c r="C7625" s="32">
        <v>43070.017523148148</v>
      </c>
    </row>
    <row r="7626" spans="1:3">
      <c r="A7626">
        <v>696855</v>
      </c>
      <c r="B7626">
        <v>4069500</v>
      </c>
      <c r="C7626" s="32">
        <v>43072.077175925922</v>
      </c>
    </row>
    <row r="7627" spans="1:3">
      <c r="A7627">
        <v>831937</v>
      </c>
      <c r="B7627">
        <v>149192</v>
      </c>
      <c r="C7627" s="32">
        <v>43070.448900462965</v>
      </c>
    </row>
    <row r="7628" spans="1:3">
      <c r="A7628">
        <v>460599</v>
      </c>
      <c r="B7628">
        <v>4756105</v>
      </c>
      <c r="C7628" s="32">
        <v>43071.163784722223</v>
      </c>
    </row>
    <row r="7629" spans="1:3">
      <c r="A7629">
        <v>766968</v>
      </c>
      <c r="B7629">
        <v>4015820</v>
      </c>
      <c r="C7629" s="32">
        <v>43072.288495370369</v>
      </c>
    </row>
    <row r="7630" spans="1:3">
      <c r="A7630">
        <v>818381</v>
      </c>
      <c r="B7630">
        <v>85955</v>
      </c>
      <c r="C7630" s="32">
        <v>43072.537349537037</v>
      </c>
    </row>
    <row r="7631" spans="1:3">
      <c r="A7631">
        <v>774636</v>
      </c>
      <c r="B7631">
        <v>1851156</v>
      </c>
      <c r="C7631" s="32">
        <v>43072.153738425928</v>
      </c>
    </row>
    <row r="7632" spans="1:3">
      <c r="A7632">
        <v>618735</v>
      </c>
      <c r="B7632">
        <v>83709</v>
      </c>
      <c r="C7632" s="32">
        <v>43070.015567129631</v>
      </c>
    </row>
    <row r="7633" spans="1:3">
      <c r="A7633">
        <v>590413</v>
      </c>
      <c r="B7633">
        <v>4321796</v>
      </c>
      <c r="C7633" s="32">
        <v>43072.35087962963</v>
      </c>
    </row>
    <row r="7634" spans="1:3">
      <c r="A7634">
        <v>446009</v>
      </c>
      <c r="B7634">
        <v>1080785</v>
      </c>
      <c r="C7634" s="32">
        <v>43071.320034722223</v>
      </c>
    </row>
    <row r="7635" spans="1:3">
      <c r="A7635">
        <v>37291</v>
      </c>
      <c r="B7635">
        <v>2465336</v>
      </c>
      <c r="C7635" s="32">
        <v>43070.594189814816</v>
      </c>
    </row>
    <row r="7636" spans="1:3">
      <c r="A7636">
        <v>602438</v>
      </c>
      <c r="B7636">
        <v>3430419</v>
      </c>
      <c r="C7636" s="32">
        <v>43072.070810185185</v>
      </c>
    </row>
    <row r="7637" spans="1:3">
      <c r="A7637">
        <v>387449</v>
      </c>
      <c r="B7637">
        <v>149192</v>
      </c>
      <c r="C7637" s="32">
        <v>43071.344849537039</v>
      </c>
    </row>
    <row r="7638" spans="1:3">
      <c r="A7638">
        <v>306888</v>
      </c>
      <c r="B7638">
        <v>2926020</v>
      </c>
      <c r="C7638" s="32">
        <v>43071.588171296295</v>
      </c>
    </row>
    <row r="7639" spans="1:3">
      <c r="A7639">
        <v>930689</v>
      </c>
      <c r="B7639">
        <v>267209</v>
      </c>
      <c r="C7639" s="32">
        <v>43070.016030092593</v>
      </c>
    </row>
    <row r="7640" spans="1:3">
      <c r="A7640">
        <v>908570</v>
      </c>
      <c r="B7640">
        <v>1464116</v>
      </c>
      <c r="C7640" s="32">
        <v>43071.263703703706</v>
      </c>
    </row>
    <row r="7641" spans="1:3">
      <c r="A7641">
        <v>978765</v>
      </c>
      <c r="B7641">
        <v>1990869</v>
      </c>
      <c r="C7641" s="32">
        <v>43072.632094907407</v>
      </c>
    </row>
    <row r="7642" spans="1:3">
      <c r="A7642">
        <v>1010323</v>
      </c>
      <c r="B7642">
        <v>2629787</v>
      </c>
      <c r="C7642" s="32">
        <v>43072.368726851855</v>
      </c>
    </row>
    <row r="7643" spans="1:3">
      <c r="A7643">
        <v>879336</v>
      </c>
      <c r="B7643">
        <v>1929875</v>
      </c>
      <c r="C7643" s="32">
        <v>43071.904814814814</v>
      </c>
    </row>
    <row r="7644" spans="1:3">
      <c r="A7644">
        <v>116855</v>
      </c>
      <c r="B7644">
        <v>3158249</v>
      </c>
      <c r="C7644" s="32">
        <v>43070.579814814817</v>
      </c>
    </row>
    <row r="7645" spans="1:3">
      <c r="A7645">
        <v>420463</v>
      </c>
      <c r="B7645">
        <v>4801426</v>
      </c>
      <c r="C7645" s="32">
        <v>43072.636273148149</v>
      </c>
    </row>
    <row r="7646" spans="1:3">
      <c r="A7646">
        <v>971239</v>
      </c>
      <c r="B7646">
        <v>1082035</v>
      </c>
      <c r="C7646" s="32">
        <v>43071.30878472222</v>
      </c>
    </row>
    <row r="7647" spans="1:3">
      <c r="A7647">
        <v>644787</v>
      </c>
      <c r="B7647">
        <v>2465336</v>
      </c>
      <c r="C7647" s="32">
        <v>43072.63784722222</v>
      </c>
    </row>
    <row r="7648" spans="1:3">
      <c r="A7648">
        <v>284136</v>
      </c>
      <c r="B7648">
        <v>1050007</v>
      </c>
      <c r="C7648" s="32">
        <v>43070.577615740738</v>
      </c>
    </row>
    <row r="7649" spans="1:3">
      <c r="A7649">
        <v>928213</v>
      </c>
      <c r="B7649">
        <v>1331853</v>
      </c>
      <c r="C7649" s="32">
        <v>43072.62703703704</v>
      </c>
    </row>
    <row r="7650" spans="1:3">
      <c r="A7650">
        <v>814224</v>
      </c>
      <c r="B7650">
        <v>800581</v>
      </c>
      <c r="C7650" s="32">
        <v>43071.577534722222</v>
      </c>
    </row>
    <row r="7651" spans="1:3">
      <c r="A7651">
        <v>477567</v>
      </c>
      <c r="B7651">
        <v>2520377</v>
      </c>
      <c r="C7651" s="32">
        <v>43071.108946759261</v>
      </c>
    </row>
    <row r="7652" spans="1:3">
      <c r="A7652">
        <v>196467</v>
      </c>
      <c r="B7652">
        <v>2748804</v>
      </c>
      <c r="C7652" s="32">
        <v>43072.255509259259</v>
      </c>
    </row>
    <row r="7653" spans="1:3">
      <c r="A7653">
        <v>844220</v>
      </c>
      <c r="B7653">
        <v>801221</v>
      </c>
      <c r="C7653" s="32">
        <v>43072.085844907408</v>
      </c>
    </row>
    <row r="7654" spans="1:3">
      <c r="A7654">
        <v>110499</v>
      </c>
      <c r="B7654">
        <v>4970201</v>
      </c>
      <c r="C7654" s="32">
        <v>43071.15115740741</v>
      </c>
    </row>
    <row r="7655" spans="1:3">
      <c r="A7655">
        <v>103647</v>
      </c>
      <c r="B7655">
        <v>1575622</v>
      </c>
      <c r="C7655" s="32">
        <v>43071.656030092592</v>
      </c>
    </row>
    <row r="7656" spans="1:3">
      <c r="A7656">
        <v>636983</v>
      </c>
      <c r="B7656">
        <v>2581941</v>
      </c>
      <c r="C7656" s="32">
        <v>43070.539444444446</v>
      </c>
    </row>
    <row r="7657" spans="1:3">
      <c r="A7657">
        <v>741825</v>
      </c>
      <c r="B7657">
        <v>2578647</v>
      </c>
      <c r="C7657" s="32">
        <v>43072.635740740741</v>
      </c>
    </row>
    <row r="7658" spans="1:3">
      <c r="A7658">
        <v>35553</v>
      </c>
      <c r="B7658">
        <v>4145813</v>
      </c>
      <c r="C7658" s="32">
        <v>43072.191099537034</v>
      </c>
    </row>
    <row r="7659" spans="1:3">
      <c r="A7659">
        <v>51532</v>
      </c>
      <c r="B7659">
        <v>1449177</v>
      </c>
      <c r="C7659" s="32">
        <v>43071.385000000002</v>
      </c>
    </row>
    <row r="7660" spans="1:3">
      <c r="A7660">
        <v>92942</v>
      </c>
      <c r="B7660">
        <v>3002561</v>
      </c>
      <c r="C7660" s="32">
        <v>43072.015682870369</v>
      </c>
    </row>
    <row r="7661" spans="1:3">
      <c r="A7661">
        <v>111944</v>
      </c>
      <c r="B7661">
        <v>1029459</v>
      </c>
      <c r="C7661" s="32">
        <v>43071.444965277777</v>
      </c>
    </row>
    <row r="7662" spans="1:3">
      <c r="A7662">
        <v>200390</v>
      </c>
      <c r="B7662">
        <v>4022701</v>
      </c>
      <c r="C7662" s="32">
        <v>43070.639155092591</v>
      </c>
    </row>
    <row r="7663" spans="1:3">
      <c r="A7663">
        <v>152252</v>
      </c>
      <c r="B7663">
        <v>3002561</v>
      </c>
      <c r="C7663" s="32">
        <v>43071.665983796294</v>
      </c>
    </row>
    <row r="7664" spans="1:3">
      <c r="A7664">
        <v>482777</v>
      </c>
      <c r="B7664">
        <v>4145813</v>
      </c>
      <c r="C7664" s="32">
        <v>43071.505729166667</v>
      </c>
    </row>
    <row r="7665" spans="1:3">
      <c r="A7665">
        <v>650760</v>
      </c>
      <c r="B7665">
        <v>5071267</v>
      </c>
      <c r="C7665" s="32">
        <v>43070.632986111108</v>
      </c>
    </row>
    <row r="7666" spans="1:3">
      <c r="A7666">
        <v>558149</v>
      </c>
      <c r="B7666">
        <v>4145813</v>
      </c>
      <c r="C7666" s="32">
        <v>43072.063032407408</v>
      </c>
    </row>
    <row r="7667" spans="1:3">
      <c r="A7667">
        <v>897540</v>
      </c>
      <c r="B7667">
        <v>883960</v>
      </c>
      <c r="C7667" s="32">
        <v>43071.038356481484</v>
      </c>
    </row>
    <row r="7668" spans="1:3">
      <c r="A7668">
        <v>422729</v>
      </c>
      <c r="B7668">
        <v>2096639</v>
      </c>
      <c r="C7668" s="32">
        <v>43072.27611111111</v>
      </c>
    </row>
    <row r="7669" spans="1:3">
      <c r="A7669">
        <v>174576</v>
      </c>
      <c r="B7669">
        <v>3392099</v>
      </c>
      <c r="C7669" s="32">
        <v>43071.558217592596</v>
      </c>
    </row>
    <row r="7670" spans="1:3">
      <c r="A7670">
        <v>451342</v>
      </c>
      <c r="B7670">
        <v>4690421</v>
      </c>
      <c r="C7670" s="32">
        <v>43072.331284722219</v>
      </c>
    </row>
    <row r="7671" spans="1:3">
      <c r="A7671">
        <v>890641</v>
      </c>
      <c r="B7671">
        <v>2520771</v>
      </c>
      <c r="C7671" s="32">
        <v>43071.472337962965</v>
      </c>
    </row>
    <row r="7672" spans="1:3">
      <c r="A7672">
        <v>1691</v>
      </c>
      <c r="B7672">
        <v>633295</v>
      </c>
      <c r="C7672" s="32">
        <v>43069.752129629633</v>
      </c>
    </row>
    <row r="7673" spans="1:3">
      <c r="A7673">
        <v>803753</v>
      </c>
      <c r="B7673">
        <v>3738615</v>
      </c>
      <c r="C7673" s="32">
        <v>43072.515092592592</v>
      </c>
    </row>
    <row r="7674" spans="1:3">
      <c r="A7674">
        <v>516496</v>
      </c>
      <c r="B7674">
        <v>2030976</v>
      </c>
      <c r="C7674" s="32">
        <v>43072.529282407406</v>
      </c>
    </row>
    <row r="7675" spans="1:3">
      <c r="A7675">
        <v>510524</v>
      </c>
      <c r="B7675">
        <v>3747017</v>
      </c>
      <c r="C7675" s="32">
        <v>43071.958240740743</v>
      </c>
    </row>
    <row r="7676" spans="1:3">
      <c r="A7676">
        <v>511321</v>
      </c>
      <c r="B7676">
        <v>4756105</v>
      </c>
      <c r="C7676" s="32">
        <v>43070.104953703703</v>
      </c>
    </row>
    <row r="7677" spans="1:3">
      <c r="A7677">
        <v>539461</v>
      </c>
      <c r="B7677">
        <v>982926</v>
      </c>
      <c r="C7677" s="32">
        <v>43071.666261574072</v>
      </c>
    </row>
    <row r="7678" spans="1:3">
      <c r="A7678">
        <v>240581</v>
      </c>
      <c r="B7678">
        <v>149192</v>
      </c>
      <c r="C7678" s="32">
        <v>43071.489733796298</v>
      </c>
    </row>
    <row r="7679" spans="1:3">
      <c r="A7679">
        <v>543758</v>
      </c>
      <c r="B7679">
        <v>4789432</v>
      </c>
      <c r="C7679" s="32">
        <v>43072.395312499997</v>
      </c>
    </row>
    <row r="7680" spans="1:3">
      <c r="A7680">
        <v>344644</v>
      </c>
      <c r="B7680">
        <v>2982027</v>
      </c>
      <c r="C7680" s="32">
        <v>43070.123472222222</v>
      </c>
    </row>
    <row r="7681" spans="1:3">
      <c r="A7681">
        <v>570994</v>
      </c>
      <c r="B7681">
        <v>883960</v>
      </c>
      <c r="C7681" s="32">
        <v>43070.685104166667</v>
      </c>
    </row>
    <row r="7682" spans="1:3">
      <c r="A7682">
        <v>698367</v>
      </c>
      <c r="B7682">
        <v>4181361</v>
      </c>
      <c r="C7682" s="32">
        <v>43070.910474537035</v>
      </c>
    </row>
    <row r="7683" spans="1:3">
      <c r="A7683">
        <v>57757</v>
      </c>
      <c r="B7683">
        <v>1859277</v>
      </c>
      <c r="C7683" s="32">
        <v>43071.412002314813</v>
      </c>
    </row>
    <row r="7684" spans="1:3">
      <c r="A7684">
        <v>40828</v>
      </c>
      <c r="B7684">
        <v>4789432</v>
      </c>
      <c r="C7684" s="32">
        <v>43070.380289351851</v>
      </c>
    </row>
    <row r="7685" spans="1:3">
      <c r="A7685">
        <v>76082</v>
      </c>
      <c r="B7685">
        <v>982926</v>
      </c>
      <c r="C7685" s="32">
        <v>43070.244641203702</v>
      </c>
    </row>
    <row r="7686" spans="1:3">
      <c r="A7686">
        <v>678542</v>
      </c>
      <c r="B7686">
        <v>2355072</v>
      </c>
      <c r="C7686" s="32">
        <v>43070.147430555553</v>
      </c>
    </row>
    <row r="7687" spans="1:3">
      <c r="A7687">
        <v>208198</v>
      </c>
      <c r="B7687">
        <v>2640118</v>
      </c>
      <c r="C7687" s="32">
        <v>43071.514594907407</v>
      </c>
    </row>
    <row r="7688" spans="1:3">
      <c r="A7688">
        <v>652867</v>
      </c>
      <c r="B7688">
        <v>1269883</v>
      </c>
      <c r="C7688" s="32">
        <v>43071.497118055559</v>
      </c>
    </row>
    <row r="7689" spans="1:3">
      <c r="A7689">
        <v>723643</v>
      </c>
      <c r="B7689">
        <v>384755</v>
      </c>
      <c r="C7689" s="32">
        <v>43070.452939814815</v>
      </c>
    </row>
    <row r="7690" spans="1:3">
      <c r="A7690">
        <v>25045</v>
      </c>
      <c r="B7690">
        <v>2885642</v>
      </c>
      <c r="C7690" s="32">
        <v>43070.223101851851</v>
      </c>
    </row>
    <row r="7691" spans="1:3">
      <c r="A7691">
        <v>758540</v>
      </c>
      <c r="B7691">
        <v>4339722</v>
      </c>
      <c r="C7691" s="32">
        <v>43071.988923611112</v>
      </c>
    </row>
    <row r="7692" spans="1:3">
      <c r="A7692">
        <v>129923</v>
      </c>
      <c r="B7692">
        <v>982926</v>
      </c>
      <c r="C7692" s="32">
        <v>43072.422152777777</v>
      </c>
    </row>
    <row r="7693" spans="1:3">
      <c r="A7693">
        <v>146922</v>
      </c>
      <c r="B7693">
        <v>3015852</v>
      </c>
      <c r="C7693" s="32">
        <v>43071.549467592595</v>
      </c>
    </row>
    <row r="7694" spans="1:3">
      <c r="A7694">
        <v>246830</v>
      </c>
      <c r="B7694">
        <v>1275696</v>
      </c>
      <c r="C7694" s="32">
        <v>43071.243067129632</v>
      </c>
    </row>
    <row r="7695" spans="1:3">
      <c r="A7695">
        <v>485652</v>
      </c>
      <c r="B7695">
        <v>119365</v>
      </c>
      <c r="C7695" s="32">
        <v>43071.568877314814</v>
      </c>
    </row>
    <row r="7696" spans="1:3">
      <c r="A7696">
        <v>727375</v>
      </c>
      <c r="B7696">
        <v>2520771</v>
      </c>
      <c r="C7696" s="32">
        <v>43071.630150462966</v>
      </c>
    </row>
    <row r="7697" spans="1:3">
      <c r="A7697">
        <v>915634</v>
      </c>
      <c r="B7697">
        <v>4056794</v>
      </c>
      <c r="C7697" s="32">
        <v>43070.547106481485</v>
      </c>
    </row>
    <row r="7698" spans="1:3">
      <c r="A7698">
        <v>470777</v>
      </c>
      <c r="B7698">
        <v>4874384</v>
      </c>
      <c r="C7698" s="32">
        <v>43072.495532407411</v>
      </c>
    </row>
    <row r="7699" spans="1:3">
      <c r="A7699">
        <v>558430</v>
      </c>
      <c r="B7699">
        <v>2926020</v>
      </c>
      <c r="C7699" s="32">
        <v>43071.600729166668</v>
      </c>
    </row>
    <row r="7700" spans="1:3">
      <c r="A7700">
        <v>688163</v>
      </c>
      <c r="B7700">
        <v>4170419</v>
      </c>
      <c r="C7700" s="32">
        <v>43071.512118055558</v>
      </c>
    </row>
    <row r="7701" spans="1:3">
      <c r="A7701">
        <v>369972</v>
      </c>
      <c r="B7701">
        <v>2533863</v>
      </c>
      <c r="C7701" s="32">
        <v>43070.548993055556</v>
      </c>
    </row>
    <row r="7702" spans="1:3">
      <c r="A7702">
        <v>202540</v>
      </c>
      <c r="B7702">
        <v>3607361</v>
      </c>
      <c r="C7702" s="32">
        <v>43071.207465277781</v>
      </c>
    </row>
    <row r="7703" spans="1:3">
      <c r="A7703">
        <v>636944</v>
      </c>
      <c r="B7703">
        <v>5007081</v>
      </c>
      <c r="C7703" s="32">
        <v>43070.568460648145</v>
      </c>
    </row>
    <row r="7704" spans="1:3">
      <c r="A7704">
        <v>108562</v>
      </c>
      <c r="B7704">
        <v>4181361</v>
      </c>
      <c r="C7704" s="32">
        <v>43071.077951388892</v>
      </c>
    </row>
    <row r="7705" spans="1:3">
      <c r="A7705">
        <v>29812</v>
      </c>
      <c r="B7705">
        <v>1231891</v>
      </c>
      <c r="C7705" s="32">
        <v>43069.718333333331</v>
      </c>
    </row>
    <row r="7706" spans="1:3">
      <c r="A7706">
        <v>689053</v>
      </c>
      <c r="B7706">
        <v>4294583</v>
      </c>
      <c r="C7706" s="32">
        <v>43072.560150462959</v>
      </c>
    </row>
    <row r="7707" spans="1:3">
      <c r="A7707">
        <v>345166</v>
      </c>
      <c r="B7707">
        <v>1023823</v>
      </c>
      <c r="C7707" s="32">
        <v>43071.537210648145</v>
      </c>
    </row>
    <row r="7708" spans="1:3">
      <c r="A7708">
        <v>982526</v>
      </c>
      <c r="B7708">
        <v>1467750</v>
      </c>
      <c r="C7708" s="32">
        <v>43071.376712962963</v>
      </c>
    </row>
    <row r="7709" spans="1:3">
      <c r="A7709">
        <v>518730</v>
      </c>
      <c r="B7709">
        <v>982926</v>
      </c>
      <c r="C7709" s="32">
        <v>43072.644259259258</v>
      </c>
    </row>
    <row r="7710" spans="1:3">
      <c r="A7710">
        <v>595962</v>
      </c>
      <c r="B7710">
        <v>2465336</v>
      </c>
      <c r="C7710" s="32">
        <v>43071.141192129631</v>
      </c>
    </row>
    <row r="7711" spans="1:3">
      <c r="A7711">
        <v>615455</v>
      </c>
      <c r="B7711">
        <v>1320293</v>
      </c>
      <c r="C7711" s="32">
        <v>43070.149004629631</v>
      </c>
    </row>
    <row r="7712" spans="1:3">
      <c r="A7712">
        <v>861302</v>
      </c>
      <c r="B7712">
        <v>1312642</v>
      </c>
      <c r="C7712" s="32">
        <v>43071.586678240739</v>
      </c>
    </row>
    <row r="7713" spans="1:3">
      <c r="A7713">
        <v>262618</v>
      </c>
      <c r="B7713">
        <v>3504022</v>
      </c>
      <c r="C7713" s="32">
        <v>43070.558321759258</v>
      </c>
    </row>
    <row r="7714" spans="1:3">
      <c r="A7714">
        <v>598253</v>
      </c>
      <c r="B7714">
        <v>2945933</v>
      </c>
      <c r="C7714" s="32">
        <v>43070.611875000002</v>
      </c>
    </row>
    <row r="7715" spans="1:3">
      <c r="A7715">
        <v>719114</v>
      </c>
      <c r="B7715">
        <v>1320293</v>
      </c>
      <c r="C7715" s="32">
        <v>43069.753541666665</v>
      </c>
    </row>
    <row r="7716" spans="1:3">
      <c r="A7716">
        <v>113118</v>
      </c>
      <c r="B7716">
        <v>941706</v>
      </c>
      <c r="C7716" s="32">
        <v>43070.950138888889</v>
      </c>
    </row>
    <row r="7717" spans="1:3">
      <c r="A7717">
        <v>834531</v>
      </c>
      <c r="B7717">
        <v>5064</v>
      </c>
      <c r="C7717" s="32">
        <v>43070.291643518518</v>
      </c>
    </row>
    <row r="7718" spans="1:3">
      <c r="A7718">
        <v>342443</v>
      </c>
      <c r="B7718">
        <v>4358294</v>
      </c>
      <c r="C7718" s="32">
        <v>43071.04515046296</v>
      </c>
    </row>
    <row r="7719" spans="1:3">
      <c r="A7719">
        <v>402515</v>
      </c>
      <c r="B7719">
        <v>4713427</v>
      </c>
      <c r="C7719" s="32">
        <v>43071.220497685186</v>
      </c>
    </row>
    <row r="7720" spans="1:3">
      <c r="A7720">
        <v>389083</v>
      </c>
      <c r="B7720">
        <v>3194735</v>
      </c>
      <c r="C7720" s="32">
        <v>43070.37128472222</v>
      </c>
    </row>
    <row r="7721" spans="1:3">
      <c r="A7721">
        <v>560409</v>
      </c>
      <c r="B7721">
        <v>1045172</v>
      </c>
      <c r="C7721" s="32">
        <v>43070.715891203705</v>
      </c>
    </row>
    <row r="7722" spans="1:3">
      <c r="A7722">
        <v>678158</v>
      </c>
      <c r="B7722">
        <v>2355072</v>
      </c>
      <c r="C7722" s="32">
        <v>43071.130497685182</v>
      </c>
    </row>
    <row r="7723" spans="1:3">
      <c r="A7723">
        <v>847851</v>
      </c>
      <c r="B7723">
        <v>1029459</v>
      </c>
      <c r="C7723" s="32">
        <v>43071.5153125</v>
      </c>
    </row>
    <row r="7724" spans="1:3">
      <c r="A7724">
        <v>905274</v>
      </c>
      <c r="B7724">
        <v>35290</v>
      </c>
      <c r="C7724" s="32">
        <v>43071.113749999997</v>
      </c>
    </row>
    <row r="7725" spans="1:3">
      <c r="A7725">
        <v>694616</v>
      </c>
      <c r="B7725">
        <v>712478</v>
      </c>
      <c r="C7725" s="32">
        <v>43071.118981481479</v>
      </c>
    </row>
    <row r="7726" spans="1:3">
      <c r="A7726">
        <v>974726</v>
      </c>
      <c r="B7726">
        <v>466400</v>
      </c>
      <c r="C7726" s="32">
        <v>43072.27511574074</v>
      </c>
    </row>
    <row r="7727" spans="1:3">
      <c r="A7727">
        <v>537937</v>
      </c>
      <c r="B7727">
        <v>982926</v>
      </c>
      <c r="C7727" s="32">
        <v>43072.474178240744</v>
      </c>
    </row>
    <row r="7728" spans="1:3">
      <c r="A7728">
        <v>776680</v>
      </c>
      <c r="B7728">
        <v>4818107</v>
      </c>
      <c r="C7728" s="32">
        <v>43070.68372685185</v>
      </c>
    </row>
    <row r="7729" spans="1:3">
      <c r="A7729">
        <v>685060</v>
      </c>
      <c r="B7729">
        <v>2355072</v>
      </c>
      <c r="C7729" s="32">
        <v>43071.727256944447</v>
      </c>
    </row>
    <row r="7730" spans="1:3">
      <c r="A7730">
        <v>546930</v>
      </c>
      <c r="B7730">
        <v>1464116</v>
      </c>
      <c r="C7730" s="32">
        <v>43072.213460648149</v>
      </c>
    </row>
    <row r="7731" spans="1:3">
      <c r="A7731">
        <v>50113</v>
      </c>
      <c r="B7731">
        <v>4170419</v>
      </c>
      <c r="C7731" s="32">
        <v>43072.150983796295</v>
      </c>
    </row>
    <row r="7732" spans="1:3">
      <c r="A7732">
        <v>577385</v>
      </c>
      <c r="B7732">
        <v>4756105</v>
      </c>
      <c r="C7732" s="32">
        <v>43070.485590277778</v>
      </c>
    </row>
    <row r="7733" spans="1:3">
      <c r="A7733">
        <v>29553</v>
      </c>
      <c r="B7733">
        <v>3975787</v>
      </c>
      <c r="C7733" s="32">
        <v>43070.160810185182</v>
      </c>
    </row>
    <row r="7734" spans="1:3">
      <c r="A7734">
        <v>297607</v>
      </c>
      <c r="B7734">
        <v>2355072</v>
      </c>
      <c r="C7734" s="32">
        <v>43070.664826388886</v>
      </c>
    </row>
    <row r="7735" spans="1:3">
      <c r="A7735">
        <v>150655</v>
      </c>
      <c r="B7735">
        <v>2885642</v>
      </c>
      <c r="C7735" s="32">
        <v>43072.627071759256</v>
      </c>
    </row>
    <row r="7736" spans="1:3">
      <c r="A7736">
        <v>990881</v>
      </c>
      <c r="B7736">
        <v>431452</v>
      </c>
      <c r="C7736" s="32">
        <v>43071.354490740741</v>
      </c>
    </row>
    <row r="7737" spans="1:3">
      <c r="A7737">
        <v>309740</v>
      </c>
      <c r="B7737">
        <v>3862122</v>
      </c>
      <c r="C7737" s="32">
        <v>43072.603402777779</v>
      </c>
    </row>
    <row r="7738" spans="1:3">
      <c r="A7738">
        <v>403946</v>
      </c>
      <c r="B7738">
        <v>1051370</v>
      </c>
      <c r="C7738" s="32">
        <v>43071.315150462964</v>
      </c>
    </row>
    <row r="7739" spans="1:3">
      <c r="A7739">
        <v>426887</v>
      </c>
      <c r="B7739">
        <v>3898483</v>
      </c>
      <c r="C7739" s="32">
        <v>43072.62809027778</v>
      </c>
    </row>
    <row r="7740" spans="1:3">
      <c r="A7740">
        <v>441478</v>
      </c>
      <c r="B7740">
        <v>750949</v>
      </c>
      <c r="C7740" s="32">
        <v>43072.004560185182</v>
      </c>
    </row>
    <row r="7741" spans="1:3">
      <c r="A7741">
        <v>445833</v>
      </c>
      <c r="B7741">
        <v>2355072</v>
      </c>
      <c r="C7741" s="32">
        <v>43071.456863425927</v>
      </c>
    </row>
    <row r="7742" spans="1:3">
      <c r="A7742">
        <v>164747</v>
      </c>
      <c r="B7742">
        <v>2800021</v>
      </c>
      <c r="C7742" s="32">
        <v>43072.502175925925</v>
      </c>
    </row>
    <row r="7743" spans="1:3">
      <c r="A7743">
        <v>318872</v>
      </c>
      <c r="B7743">
        <v>2465336</v>
      </c>
      <c r="C7743" s="32">
        <v>43070.016770833332</v>
      </c>
    </row>
    <row r="7744" spans="1:3">
      <c r="A7744">
        <v>957991</v>
      </c>
      <c r="B7744">
        <v>2939262</v>
      </c>
      <c r="C7744" s="32">
        <v>43071.565150462964</v>
      </c>
    </row>
    <row r="7745" spans="1:3">
      <c r="A7745">
        <v>73205</v>
      </c>
      <c r="B7745">
        <v>4145813</v>
      </c>
      <c r="C7745" s="32">
        <v>43070.230937499997</v>
      </c>
    </row>
    <row r="7746" spans="1:3">
      <c r="A7746">
        <v>807226</v>
      </c>
      <c r="B7746">
        <v>4181361</v>
      </c>
      <c r="C7746" s="32">
        <v>43071.674618055556</v>
      </c>
    </row>
    <row r="7747" spans="1:3">
      <c r="A7747">
        <v>299420</v>
      </c>
      <c r="B7747">
        <v>4789432</v>
      </c>
      <c r="C7747" s="32">
        <v>43070.316446759258</v>
      </c>
    </row>
    <row r="7748" spans="1:3">
      <c r="A7748">
        <v>370943</v>
      </c>
      <c r="B7748">
        <v>570735</v>
      </c>
      <c r="C7748" s="32">
        <v>43070.988842592589</v>
      </c>
    </row>
    <row r="7749" spans="1:3">
      <c r="A7749">
        <v>278054</v>
      </c>
      <c r="B7749">
        <v>2131531</v>
      </c>
      <c r="C7749" s="32">
        <v>43072.562256944446</v>
      </c>
    </row>
    <row r="7750" spans="1:3">
      <c r="A7750">
        <v>637310</v>
      </c>
      <c r="B7750">
        <v>841696</v>
      </c>
      <c r="C7750" s="32">
        <v>43071.552256944444</v>
      </c>
    </row>
    <row r="7751" spans="1:3">
      <c r="A7751">
        <v>785840</v>
      </c>
      <c r="B7751">
        <v>570735</v>
      </c>
      <c r="C7751" s="32">
        <v>43072.184432870374</v>
      </c>
    </row>
    <row r="7752" spans="1:3">
      <c r="A7752">
        <v>519621</v>
      </c>
      <c r="B7752">
        <v>982926</v>
      </c>
      <c r="C7752" s="32">
        <v>43071.621388888889</v>
      </c>
    </row>
    <row r="7753" spans="1:3">
      <c r="A7753">
        <v>884718</v>
      </c>
      <c r="B7753">
        <v>4022701</v>
      </c>
      <c r="C7753" s="32">
        <v>43070.239814814813</v>
      </c>
    </row>
    <row r="7754" spans="1:3">
      <c r="A7754">
        <v>977440</v>
      </c>
      <c r="B7754">
        <v>2640118</v>
      </c>
      <c r="C7754" s="32">
        <v>43070.324143518519</v>
      </c>
    </row>
    <row r="7755" spans="1:3">
      <c r="A7755">
        <v>634944</v>
      </c>
      <c r="B7755">
        <v>4169506</v>
      </c>
      <c r="C7755" s="32">
        <v>43071.041643518518</v>
      </c>
    </row>
    <row r="7756" spans="1:3">
      <c r="A7756">
        <v>965236</v>
      </c>
      <c r="B7756">
        <v>2520771</v>
      </c>
      <c r="C7756" s="32">
        <v>43071.055983796294</v>
      </c>
    </row>
    <row r="7757" spans="1:3">
      <c r="A7757">
        <v>262946</v>
      </c>
      <c r="B7757">
        <v>1952564</v>
      </c>
      <c r="C7757" s="32">
        <v>43070.666689814818</v>
      </c>
    </row>
    <row r="7758" spans="1:3">
      <c r="A7758">
        <v>299032</v>
      </c>
      <c r="B7758">
        <v>355704</v>
      </c>
      <c r="C7758" s="32">
        <v>43071.203865740739</v>
      </c>
    </row>
    <row r="7759" spans="1:3">
      <c r="A7759">
        <v>419673</v>
      </c>
      <c r="B7759">
        <v>2465336</v>
      </c>
      <c r="C7759" s="32">
        <v>43070.240671296298</v>
      </c>
    </row>
    <row r="7760" spans="1:3">
      <c r="A7760">
        <v>179137</v>
      </c>
      <c r="B7760">
        <v>959452</v>
      </c>
      <c r="C7760" s="32">
        <v>43071.890856481485</v>
      </c>
    </row>
    <row r="7761" spans="1:3">
      <c r="A7761">
        <v>568041</v>
      </c>
      <c r="B7761">
        <v>1216617</v>
      </c>
      <c r="C7761" s="32">
        <v>43070.951782407406</v>
      </c>
    </row>
    <row r="7762" spans="1:3">
      <c r="A7762">
        <v>581756</v>
      </c>
      <c r="B7762">
        <v>3934761</v>
      </c>
      <c r="C7762" s="32">
        <v>43072.619467592594</v>
      </c>
    </row>
    <row r="7763" spans="1:3">
      <c r="A7763">
        <v>139625</v>
      </c>
      <c r="B7763">
        <v>4909025</v>
      </c>
      <c r="C7763" s="32">
        <v>43072.633425925924</v>
      </c>
    </row>
    <row r="7764" spans="1:3">
      <c r="A7764">
        <v>532078</v>
      </c>
      <c r="B7764">
        <v>4690421</v>
      </c>
      <c r="C7764" s="32">
        <v>43072.018101851849</v>
      </c>
    </row>
    <row r="7765" spans="1:3">
      <c r="A7765">
        <v>493961</v>
      </c>
      <c r="B7765">
        <v>149192</v>
      </c>
      <c r="C7765" s="32">
        <v>43070.512592592589</v>
      </c>
    </row>
    <row r="7766" spans="1:3">
      <c r="A7766">
        <v>1011995</v>
      </c>
      <c r="B7766">
        <v>4756105</v>
      </c>
      <c r="C7766" s="32">
        <v>43072.404826388891</v>
      </c>
    </row>
    <row r="7767" spans="1:3">
      <c r="A7767">
        <v>846115</v>
      </c>
      <c r="B7767">
        <v>3002561</v>
      </c>
      <c r="C7767" s="32">
        <v>43070.663587962961</v>
      </c>
    </row>
    <row r="7768" spans="1:3">
      <c r="A7768">
        <v>263556</v>
      </c>
      <c r="B7768">
        <v>2520377</v>
      </c>
      <c r="C7768" s="32">
        <v>43071.687314814815</v>
      </c>
    </row>
    <row r="7769" spans="1:3">
      <c r="A7769">
        <v>571682</v>
      </c>
      <c r="B7769">
        <v>2440115</v>
      </c>
      <c r="C7769" s="32">
        <v>43071.639027777775</v>
      </c>
    </row>
    <row r="7770" spans="1:3">
      <c r="A7770">
        <v>481029</v>
      </c>
      <c r="B7770">
        <v>4069500</v>
      </c>
      <c r="C7770" s="32">
        <v>43070.302824074075</v>
      </c>
    </row>
    <row r="7771" spans="1:3">
      <c r="A7771">
        <v>315426</v>
      </c>
      <c r="B7771">
        <v>4958794</v>
      </c>
      <c r="C7771" s="32">
        <v>43071.629594907405</v>
      </c>
    </row>
    <row r="7772" spans="1:3">
      <c r="A7772">
        <v>218553</v>
      </c>
      <c r="B7772">
        <v>3378887</v>
      </c>
      <c r="C7772" s="32">
        <v>43070.562199074076</v>
      </c>
    </row>
    <row r="7773" spans="1:3">
      <c r="A7773">
        <v>856527</v>
      </c>
      <c r="B7773">
        <v>3672452</v>
      </c>
      <c r="C7773" s="32">
        <v>43071.444293981483</v>
      </c>
    </row>
    <row r="7774" spans="1:3">
      <c r="A7774">
        <v>799572</v>
      </c>
      <c r="B7774">
        <v>149192</v>
      </c>
      <c r="C7774" s="32">
        <v>43071.825486111113</v>
      </c>
    </row>
    <row r="7775" spans="1:3">
      <c r="A7775">
        <v>610727</v>
      </c>
      <c r="B7775">
        <v>4756105</v>
      </c>
      <c r="C7775" s="32">
        <v>43070.221921296295</v>
      </c>
    </row>
    <row r="7776" spans="1:3">
      <c r="A7776">
        <v>379511</v>
      </c>
      <c r="B7776">
        <v>4173315</v>
      </c>
      <c r="C7776" s="32">
        <v>43070.120659722219</v>
      </c>
    </row>
    <row r="7777" spans="1:3">
      <c r="A7777">
        <v>145814</v>
      </c>
      <c r="B7777">
        <v>85955</v>
      </c>
      <c r="C7777" s="32">
        <v>43070.618888888886</v>
      </c>
    </row>
    <row r="7778" spans="1:3">
      <c r="A7778">
        <v>929820</v>
      </c>
      <c r="B7778">
        <v>982926</v>
      </c>
      <c r="C7778" s="32">
        <v>43072.543206018519</v>
      </c>
    </row>
    <row r="7779" spans="1:3">
      <c r="A7779">
        <v>8211</v>
      </c>
      <c r="B7779">
        <v>4756105</v>
      </c>
      <c r="C7779" s="32">
        <v>43071.019456018519</v>
      </c>
    </row>
    <row r="7780" spans="1:3">
      <c r="A7780">
        <v>124438</v>
      </c>
      <c r="B7780">
        <v>833866</v>
      </c>
      <c r="C7780" s="32">
        <v>43069.993136574078</v>
      </c>
    </row>
    <row r="7781" spans="1:3">
      <c r="A7781">
        <v>860594</v>
      </c>
      <c r="B7781">
        <v>4801426</v>
      </c>
      <c r="C7781" s="32">
        <v>43072.542060185187</v>
      </c>
    </row>
    <row r="7782" spans="1:3">
      <c r="A7782">
        <v>335418</v>
      </c>
      <c r="B7782">
        <v>149192</v>
      </c>
      <c r="C7782" s="32">
        <v>43072.471331018518</v>
      </c>
    </row>
    <row r="7783" spans="1:3">
      <c r="A7783">
        <v>448036</v>
      </c>
      <c r="B7783">
        <v>3738615</v>
      </c>
      <c r="C7783" s="32">
        <v>43071.556215277778</v>
      </c>
    </row>
    <row r="7784" spans="1:3">
      <c r="A7784">
        <v>262075</v>
      </c>
      <c r="B7784">
        <v>2878148</v>
      </c>
      <c r="C7784" s="32">
        <v>43070.258993055555</v>
      </c>
    </row>
    <row r="7785" spans="1:3">
      <c r="A7785">
        <v>410139</v>
      </c>
      <c r="B7785">
        <v>4690421</v>
      </c>
      <c r="C7785" s="32">
        <v>43072.553101851852</v>
      </c>
    </row>
    <row r="7786" spans="1:3">
      <c r="A7786">
        <v>147302</v>
      </c>
      <c r="B7786">
        <v>1464116</v>
      </c>
      <c r="C7786" s="32">
        <v>43071.636944444443</v>
      </c>
    </row>
    <row r="7787" spans="1:3">
      <c r="A7787">
        <v>567750</v>
      </c>
      <c r="B7787">
        <v>4135836</v>
      </c>
      <c r="C7787" s="32">
        <v>43071.424108796295</v>
      </c>
    </row>
    <row r="7788" spans="1:3">
      <c r="A7788">
        <v>247497</v>
      </c>
      <c r="B7788">
        <v>1216617</v>
      </c>
      <c r="C7788" s="32">
        <v>43070.856608796297</v>
      </c>
    </row>
    <row r="7789" spans="1:3">
      <c r="A7789">
        <v>594676</v>
      </c>
      <c r="B7789">
        <v>2191219</v>
      </c>
      <c r="C7789" s="32">
        <v>43070.129131944443</v>
      </c>
    </row>
    <row r="7790" spans="1:3">
      <c r="A7790">
        <v>975673</v>
      </c>
      <c r="B7790">
        <v>1789614</v>
      </c>
      <c r="C7790" s="32">
        <v>43070.624745370369</v>
      </c>
    </row>
    <row r="7791" spans="1:3">
      <c r="A7791">
        <v>995461</v>
      </c>
      <c r="B7791">
        <v>50601</v>
      </c>
      <c r="C7791" s="32">
        <v>43072.53329861111</v>
      </c>
    </row>
    <row r="7792" spans="1:3">
      <c r="A7792">
        <v>602753</v>
      </c>
      <c r="B7792">
        <v>2736436</v>
      </c>
      <c r="C7792" s="32">
        <v>43071.081817129627</v>
      </c>
    </row>
    <row r="7793" spans="1:3">
      <c r="A7793">
        <v>137802</v>
      </c>
      <c r="B7793">
        <v>982926</v>
      </c>
      <c r="C7793" s="32">
        <v>43071.553576388891</v>
      </c>
    </row>
    <row r="7794" spans="1:3">
      <c r="A7794">
        <v>216645</v>
      </c>
      <c r="B7794">
        <v>2693696</v>
      </c>
      <c r="C7794" s="32">
        <v>43072.619097222225</v>
      </c>
    </row>
    <row r="7795" spans="1:3">
      <c r="A7795">
        <v>171303</v>
      </c>
      <c r="B7795">
        <v>3102560</v>
      </c>
      <c r="C7795" s="32">
        <v>43072.113530092596</v>
      </c>
    </row>
    <row r="7796" spans="1:3">
      <c r="A7796">
        <v>330177</v>
      </c>
      <c r="B7796">
        <v>4756105</v>
      </c>
      <c r="C7796" s="32">
        <v>43071.818124999998</v>
      </c>
    </row>
    <row r="7797" spans="1:3">
      <c r="A7797">
        <v>222433</v>
      </c>
      <c r="B7797">
        <v>3398567</v>
      </c>
      <c r="C7797" s="32">
        <v>43071.622986111113</v>
      </c>
    </row>
    <row r="7798" spans="1:3">
      <c r="A7798">
        <v>999577</v>
      </c>
      <c r="B7798">
        <v>4756105</v>
      </c>
      <c r="C7798" s="32">
        <v>43070.519953703704</v>
      </c>
    </row>
    <row r="7799" spans="1:3">
      <c r="A7799">
        <v>914699</v>
      </c>
      <c r="B7799">
        <v>2355072</v>
      </c>
      <c r="C7799" s="32">
        <v>43070.436967592592</v>
      </c>
    </row>
    <row r="7800" spans="1:3">
      <c r="A7800">
        <v>668456</v>
      </c>
      <c r="B7800">
        <v>4896062</v>
      </c>
      <c r="C7800" s="32">
        <v>43070.122974537036</v>
      </c>
    </row>
    <row r="7801" spans="1:3">
      <c r="A7801">
        <v>651658</v>
      </c>
      <c r="B7801">
        <v>3002561</v>
      </c>
      <c r="C7801" s="32">
        <v>43071.288541666669</v>
      </c>
    </row>
    <row r="7802" spans="1:3">
      <c r="A7802">
        <v>1000982</v>
      </c>
      <c r="B7802">
        <v>2604507</v>
      </c>
      <c r="C7802" s="32">
        <v>43072.588217592594</v>
      </c>
    </row>
    <row r="7803" spans="1:3">
      <c r="A7803">
        <v>860654</v>
      </c>
      <c r="B7803">
        <v>3975787</v>
      </c>
      <c r="C7803" s="32">
        <v>43070.374293981484</v>
      </c>
    </row>
    <row r="7804" spans="1:3">
      <c r="A7804">
        <v>306470</v>
      </c>
      <c r="B7804">
        <v>4145813</v>
      </c>
      <c r="C7804" s="32">
        <v>43071.662314814814</v>
      </c>
    </row>
    <row r="7805" spans="1:3">
      <c r="A7805">
        <v>330766</v>
      </c>
      <c r="B7805">
        <v>2072473</v>
      </c>
      <c r="C7805" s="32">
        <v>43071.638935185183</v>
      </c>
    </row>
    <row r="7806" spans="1:3">
      <c r="A7806">
        <v>577755</v>
      </c>
      <c r="B7806">
        <v>583485</v>
      </c>
      <c r="C7806" s="32">
        <v>43071.532708333332</v>
      </c>
    </row>
    <row r="7807" spans="1:3">
      <c r="A7807">
        <v>317343</v>
      </c>
      <c r="B7807">
        <v>2465336</v>
      </c>
      <c r="C7807" s="32">
        <v>43070.537766203706</v>
      </c>
    </row>
    <row r="7808" spans="1:3">
      <c r="A7808">
        <v>715064</v>
      </c>
      <c r="B7808">
        <v>4690421</v>
      </c>
      <c r="C7808" s="32">
        <v>43072.072025462963</v>
      </c>
    </row>
    <row r="7809" spans="1:3">
      <c r="A7809">
        <v>945201</v>
      </c>
      <c r="B7809">
        <v>4801426</v>
      </c>
      <c r="C7809" s="32">
        <v>43072.277280092596</v>
      </c>
    </row>
    <row r="7810" spans="1:3">
      <c r="A7810">
        <v>613954</v>
      </c>
      <c r="B7810">
        <v>4801426</v>
      </c>
      <c r="C7810" s="32">
        <v>43071.589571759258</v>
      </c>
    </row>
    <row r="7811" spans="1:3">
      <c r="A7811">
        <v>941121</v>
      </c>
      <c r="B7811">
        <v>381850</v>
      </c>
      <c r="C7811" s="32">
        <v>43071.278055555558</v>
      </c>
    </row>
    <row r="7812" spans="1:3">
      <c r="A7812">
        <v>561105</v>
      </c>
      <c r="B7812">
        <v>4022701</v>
      </c>
      <c r="C7812" s="32">
        <v>43070.305671296293</v>
      </c>
    </row>
    <row r="7813" spans="1:3">
      <c r="A7813">
        <v>628543</v>
      </c>
      <c r="B7813">
        <v>2476560</v>
      </c>
      <c r="C7813" s="32">
        <v>43070.41138888889</v>
      </c>
    </row>
    <row r="7814" spans="1:3">
      <c r="A7814">
        <v>629396</v>
      </c>
      <c r="B7814">
        <v>3607361</v>
      </c>
      <c r="C7814" s="32">
        <v>43072.074386574073</v>
      </c>
    </row>
    <row r="7815" spans="1:3">
      <c r="A7815">
        <v>172158</v>
      </c>
      <c r="B7815">
        <v>154040</v>
      </c>
      <c r="C7815" s="32">
        <v>43070.078043981484</v>
      </c>
    </row>
    <row r="7816" spans="1:3">
      <c r="A7816">
        <v>739921</v>
      </c>
      <c r="B7816">
        <v>886203</v>
      </c>
      <c r="C7816" s="32">
        <v>43070.645972222221</v>
      </c>
    </row>
    <row r="7817" spans="1:3">
      <c r="A7817">
        <v>700619</v>
      </c>
      <c r="B7817">
        <v>2939262</v>
      </c>
      <c r="C7817" s="32">
        <v>43070.555972222224</v>
      </c>
    </row>
    <row r="7818" spans="1:3">
      <c r="A7818">
        <v>88303</v>
      </c>
      <c r="B7818">
        <v>4921805</v>
      </c>
      <c r="C7818" s="32">
        <v>43072.009872685187</v>
      </c>
    </row>
    <row r="7819" spans="1:3">
      <c r="A7819">
        <v>508348</v>
      </c>
      <c r="B7819">
        <v>4159072</v>
      </c>
      <c r="C7819" s="32">
        <v>43071.711446759262</v>
      </c>
    </row>
    <row r="7820" spans="1:3">
      <c r="A7820">
        <v>42463</v>
      </c>
      <c r="B7820">
        <v>4690421</v>
      </c>
      <c r="C7820" s="32">
        <v>43072.250671296293</v>
      </c>
    </row>
    <row r="7821" spans="1:3">
      <c r="A7821">
        <v>69722</v>
      </c>
      <c r="B7821">
        <v>4145813</v>
      </c>
      <c r="C7821" s="32">
        <v>43071.590127314812</v>
      </c>
    </row>
    <row r="7822" spans="1:3">
      <c r="A7822">
        <v>479788</v>
      </c>
      <c r="B7822">
        <v>4690421</v>
      </c>
      <c r="C7822" s="32">
        <v>43070.019224537034</v>
      </c>
    </row>
    <row r="7823" spans="1:3">
      <c r="A7823">
        <v>658080</v>
      </c>
      <c r="B7823">
        <v>3496816</v>
      </c>
      <c r="C7823" s="32">
        <v>43069.908958333333</v>
      </c>
    </row>
    <row r="7824" spans="1:3">
      <c r="A7824">
        <v>446624</v>
      </c>
      <c r="B7824">
        <v>3524510</v>
      </c>
      <c r="C7824" s="32">
        <v>43071.583368055559</v>
      </c>
    </row>
    <row r="7825" spans="1:3">
      <c r="A7825">
        <v>311154</v>
      </c>
      <c r="B7825">
        <v>3354571</v>
      </c>
      <c r="C7825" s="32">
        <v>43071.296354166669</v>
      </c>
    </row>
    <row r="7826" spans="1:3">
      <c r="A7826">
        <v>95292</v>
      </c>
      <c r="B7826">
        <v>238434</v>
      </c>
      <c r="C7826" s="32">
        <v>43072.49894675926</v>
      </c>
    </row>
    <row r="7827" spans="1:3">
      <c r="A7827">
        <v>433634</v>
      </c>
      <c r="B7827">
        <v>4181361</v>
      </c>
      <c r="C7827" s="32">
        <v>43070.632592592592</v>
      </c>
    </row>
    <row r="7828" spans="1:3">
      <c r="A7828">
        <v>754121</v>
      </c>
      <c r="B7828">
        <v>4181361</v>
      </c>
      <c r="C7828" s="32">
        <v>43070.953136574077</v>
      </c>
    </row>
    <row r="7829" spans="1:3">
      <c r="A7829">
        <v>364807</v>
      </c>
      <c r="B7829">
        <v>3299155</v>
      </c>
      <c r="C7829" s="32">
        <v>43070.303668981483</v>
      </c>
    </row>
    <row r="7830" spans="1:3">
      <c r="A7830">
        <v>229804</v>
      </c>
      <c r="B7830">
        <v>3738615</v>
      </c>
      <c r="C7830" s="32">
        <v>43072.006342592591</v>
      </c>
    </row>
    <row r="7831" spans="1:3">
      <c r="A7831">
        <v>402012</v>
      </c>
      <c r="B7831">
        <v>2479420</v>
      </c>
      <c r="C7831" s="32">
        <v>43071.46329861111</v>
      </c>
    </row>
    <row r="7832" spans="1:3">
      <c r="A7832">
        <v>669071</v>
      </c>
      <c r="B7832">
        <v>2629787</v>
      </c>
      <c r="C7832" s="32">
        <v>43071.632094907407</v>
      </c>
    </row>
    <row r="7833" spans="1:3">
      <c r="A7833">
        <v>122420</v>
      </c>
      <c r="B7833">
        <v>1154246</v>
      </c>
      <c r="C7833" s="32">
        <v>43071.661550925928</v>
      </c>
    </row>
    <row r="7834" spans="1:3">
      <c r="A7834">
        <v>332358</v>
      </c>
      <c r="B7834">
        <v>3461823</v>
      </c>
      <c r="C7834" s="32">
        <v>43071.051759259259</v>
      </c>
    </row>
    <row r="7835" spans="1:3">
      <c r="A7835">
        <v>148625</v>
      </c>
      <c r="B7835">
        <v>903809</v>
      </c>
      <c r="C7835" s="32">
        <v>43072.665706018517</v>
      </c>
    </row>
    <row r="7836" spans="1:3">
      <c r="A7836">
        <v>849597</v>
      </c>
      <c r="B7836">
        <v>3459562</v>
      </c>
      <c r="C7836" s="32">
        <v>43072.572152777779</v>
      </c>
    </row>
    <row r="7837" spans="1:3">
      <c r="A7837">
        <v>499216</v>
      </c>
      <c r="B7837">
        <v>4358294</v>
      </c>
      <c r="C7837" s="32">
        <v>43070.180081018516</v>
      </c>
    </row>
    <row r="7838" spans="1:3">
      <c r="A7838">
        <v>940699</v>
      </c>
      <c r="B7838">
        <v>3158249</v>
      </c>
      <c r="C7838" s="32">
        <v>43072.422962962963</v>
      </c>
    </row>
    <row r="7839" spans="1:3">
      <c r="A7839">
        <v>287286</v>
      </c>
      <c r="B7839">
        <v>4217906</v>
      </c>
      <c r="C7839" s="32">
        <v>43070.959675925929</v>
      </c>
    </row>
    <row r="7840" spans="1:3">
      <c r="A7840">
        <v>591959</v>
      </c>
      <c r="B7840">
        <v>866301</v>
      </c>
      <c r="C7840" s="32">
        <v>43071.416331018518</v>
      </c>
    </row>
    <row r="7841" spans="1:3">
      <c r="A7841">
        <v>631808</v>
      </c>
      <c r="B7841">
        <v>4339722</v>
      </c>
      <c r="C7841" s="32">
        <v>43071.493738425925</v>
      </c>
    </row>
    <row r="7842" spans="1:3">
      <c r="A7842">
        <v>120325</v>
      </c>
      <c r="B7842">
        <v>3607361</v>
      </c>
      <c r="C7842" s="32">
        <v>43070.635254629633</v>
      </c>
    </row>
    <row r="7843" spans="1:3">
      <c r="A7843">
        <v>123410</v>
      </c>
      <c r="B7843">
        <v>2576484</v>
      </c>
      <c r="C7843" s="32">
        <v>43070.603877314818</v>
      </c>
    </row>
    <row r="7844" spans="1:3">
      <c r="A7844">
        <v>980813</v>
      </c>
      <c r="B7844">
        <v>4789432</v>
      </c>
      <c r="C7844" s="32">
        <v>43071.664942129632</v>
      </c>
    </row>
    <row r="7845" spans="1:3">
      <c r="A7845">
        <v>407733</v>
      </c>
      <c r="B7845">
        <v>1859277</v>
      </c>
      <c r="C7845" s="32">
        <v>43070.320891203701</v>
      </c>
    </row>
    <row r="7846" spans="1:3">
      <c r="A7846">
        <v>996405</v>
      </c>
      <c r="B7846">
        <v>1231891</v>
      </c>
      <c r="C7846" s="32">
        <v>43072.598321759258</v>
      </c>
    </row>
    <row r="7847" spans="1:3">
      <c r="A7847">
        <v>731087</v>
      </c>
      <c r="B7847">
        <v>35290</v>
      </c>
      <c r="C7847" s="32">
        <v>43070.072326388887</v>
      </c>
    </row>
    <row r="7848" spans="1:3">
      <c r="A7848">
        <v>869729</v>
      </c>
      <c r="B7848">
        <v>4801426</v>
      </c>
      <c r="C7848" s="32">
        <v>43069.950277777774</v>
      </c>
    </row>
    <row r="7849" spans="1:3">
      <c r="A7849">
        <v>108564</v>
      </c>
      <c r="B7849">
        <v>3524510</v>
      </c>
      <c r="C7849" s="32">
        <v>43070.52721064815</v>
      </c>
    </row>
    <row r="7850" spans="1:3">
      <c r="A7850">
        <v>303996</v>
      </c>
      <c r="B7850">
        <v>883960</v>
      </c>
      <c r="C7850" s="32">
        <v>43072.569108796299</v>
      </c>
    </row>
    <row r="7851" spans="1:3">
      <c r="A7851">
        <v>119635</v>
      </c>
      <c r="B7851">
        <v>3208959</v>
      </c>
      <c r="C7851" s="32">
        <v>43070.326655092591</v>
      </c>
    </row>
    <row r="7852" spans="1:3">
      <c r="A7852">
        <v>791626</v>
      </c>
      <c r="B7852">
        <v>2735466</v>
      </c>
      <c r="C7852" s="32">
        <v>43072.580763888887</v>
      </c>
    </row>
    <row r="7853" spans="1:3">
      <c r="A7853">
        <v>384429</v>
      </c>
      <c r="B7853">
        <v>2355072</v>
      </c>
      <c r="C7853" s="32">
        <v>43072.123564814814</v>
      </c>
    </row>
    <row r="7854" spans="1:3">
      <c r="A7854">
        <v>252862</v>
      </c>
      <c r="B7854">
        <v>3002561</v>
      </c>
      <c r="C7854" s="32">
        <v>43070.167384259257</v>
      </c>
    </row>
    <row r="7855" spans="1:3">
      <c r="A7855">
        <v>146279</v>
      </c>
      <c r="B7855">
        <v>2994558</v>
      </c>
      <c r="C7855" s="32">
        <v>43072.033761574072</v>
      </c>
    </row>
    <row r="7856" spans="1:3">
      <c r="A7856">
        <v>822434</v>
      </c>
      <c r="B7856">
        <v>4181361</v>
      </c>
      <c r="C7856" s="32">
        <v>43071.662280092591</v>
      </c>
    </row>
    <row r="7857" spans="1:3">
      <c r="A7857">
        <v>634737</v>
      </c>
      <c r="B7857">
        <v>1789614</v>
      </c>
      <c r="C7857" s="32">
        <v>43071.34778935185</v>
      </c>
    </row>
    <row r="7858" spans="1:3">
      <c r="A7858">
        <v>969018</v>
      </c>
      <c r="B7858">
        <v>4145813</v>
      </c>
      <c r="C7858" s="32">
        <v>43072.619733796295</v>
      </c>
    </row>
    <row r="7859" spans="1:3">
      <c r="A7859">
        <v>804050</v>
      </c>
      <c r="B7859">
        <v>3619575</v>
      </c>
      <c r="C7859" s="32">
        <v>43071.464375000003</v>
      </c>
    </row>
    <row r="7860" spans="1:3">
      <c r="A7860">
        <v>391269</v>
      </c>
      <c r="B7860">
        <v>982926</v>
      </c>
      <c r="C7860" s="32">
        <v>43071.552175925928</v>
      </c>
    </row>
    <row r="7861" spans="1:3">
      <c r="A7861">
        <v>584443</v>
      </c>
      <c r="B7861">
        <v>2558244</v>
      </c>
      <c r="C7861" s="32">
        <v>43071.198518518519</v>
      </c>
    </row>
    <row r="7862" spans="1:3">
      <c r="A7862">
        <v>725645</v>
      </c>
      <c r="B7862">
        <v>2926020</v>
      </c>
      <c r="C7862" s="32">
        <v>43071.169270833336</v>
      </c>
    </row>
    <row r="7863" spans="1:3">
      <c r="A7863">
        <v>370111</v>
      </c>
      <c r="B7863">
        <v>2626421</v>
      </c>
      <c r="C7863" s="32">
        <v>43072.490543981483</v>
      </c>
    </row>
    <row r="7864" spans="1:3">
      <c r="A7864">
        <v>374469</v>
      </c>
      <c r="B7864">
        <v>4217906</v>
      </c>
      <c r="C7864" s="32">
        <v>43071.237696759257</v>
      </c>
    </row>
    <row r="7865" spans="1:3">
      <c r="A7865">
        <v>93741</v>
      </c>
      <c r="B7865">
        <v>1859277</v>
      </c>
      <c r="C7865" s="32">
        <v>43071.565520833334</v>
      </c>
    </row>
    <row r="7866" spans="1:3">
      <c r="A7866">
        <v>958231</v>
      </c>
      <c r="B7866">
        <v>267209</v>
      </c>
      <c r="C7866" s="32">
        <v>43072.05810185185</v>
      </c>
    </row>
    <row r="7867" spans="1:3">
      <c r="A7867">
        <v>829827</v>
      </c>
      <c r="B7867">
        <v>4756105</v>
      </c>
      <c r="C7867" s="32">
        <v>43071.147499999999</v>
      </c>
    </row>
    <row r="7868" spans="1:3">
      <c r="A7868">
        <v>364747</v>
      </c>
      <c r="B7868">
        <v>2735466</v>
      </c>
      <c r="C7868" s="32">
        <v>43072.150127314817</v>
      </c>
    </row>
    <row r="7869" spans="1:3">
      <c r="A7869">
        <v>413872</v>
      </c>
      <c r="B7869">
        <v>982926</v>
      </c>
      <c r="C7869" s="32">
        <v>43071.649317129632</v>
      </c>
    </row>
    <row r="7870" spans="1:3">
      <c r="A7870">
        <v>228835</v>
      </c>
      <c r="B7870">
        <v>2885642</v>
      </c>
      <c r="C7870" s="32">
        <v>43072.611631944441</v>
      </c>
    </row>
    <row r="7871" spans="1:3">
      <c r="A7871">
        <v>153045</v>
      </c>
      <c r="B7871">
        <v>2885642</v>
      </c>
      <c r="C7871" s="32">
        <v>43072.607442129629</v>
      </c>
    </row>
    <row r="7872" spans="1:3">
      <c r="A7872">
        <v>386748</v>
      </c>
      <c r="B7872">
        <v>4801426</v>
      </c>
      <c r="C7872" s="32">
        <v>43072.254305555558</v>
      </c>
    </row>
    <row r="7873" spans="1:3">
      <c r="A7873">
        <v>133963</v>
      </c>
      <c r="B7873">
        <v>1051370</v>
      </c>
      <c r="C7873" s="32">
        <v>43071.637152777781</v>
      </c>
    </row>
    <row r="7874" spans="1:3">
      <c r="A7874">
        <v>363707</v>
      </c>
      <c r="B7874">
        <v>2837163</v>
      </c>
      <c r="C7874" s="32">
        <v>43071.135243055556</v>
      </c>
    </row>
    <row r="7875" spans="1:3">
      <c r="A7875">
        <v>307327</v>
      </c>
      <c r="B7875">
        <v>2042400</v>
      </c>
      <c r="C7875" s="32">
        <v>43070.12259259259</v>
      </c>
    </row>
    <row r="7876" spans="1:3">
      <c r="A7876">
        <v>590319</v>
      </c>
      <c r="B7876">
        <v>5071267</v>
      </c>
      <c r="C7876" s="32">
        <v>43072.440486111111</v>
      </c>
    </row>
    <row r="7877" spans="1:3">
      <c r="A7877">
        <v>562909</v>
      </c>
      <c r="B7877">
        <v>4969568</v>
      </c>
      <c r="C7877" s="32">
        <v>43070.114328703705</v>
      </c>
    </row>
    <row r="7878" spans="1:3">
      <c r="A7878">
        <v>970808</v>
      </c>
      <c r="B7878">
        <v>4145813</v>
      </c>
      <c r="C7878" s="32">
        <v>43070.379340277781</v>
      </c>
    </row>
    <row r="7879" spans="1:3">
      <c r="A7879">
        <v>880259</v>
      </c>
      <c r="B7879">
        <v>982926</v>
      </c>
      <c r="C7879" s="32">
        <v>43070.563217592593</v>
      </c>
    </row>
    <row r="7880" spans="1:3">
      <c r="A7880">
        <v>338881</v>
      </c>
      <c r="B7880">
        <v>2640118</v>
      </c>
      <c r="C7880" s="32">
        <v>43071.33425925926</v>
      </c>
    </row>
    <row r="7881" spans="1:3">
      <c r="A7881">
        <v>573666</v>
      </c>
      <c r="B7881">
        <v>3975787</v>
      </c>
      <c r="C7881" s="32">
        <v>43071.642581018517</v>
      </c>
    </row>
    <row r="7882" spans="1:3">
      <c r="A7882">
        <v>736913</v>
      </c>
      <c r="B7882">
        <v>2885642</v>
      </c>
      <c r="C7882" s="32">
        <v>43070.08829861111</v>
      </c>
    </row>
    <row r="7883" spans="1:3">
      <c r="A7883">
        <v>990099</v>
      </c>
      <c r="B7883">
        <v>1080785</v>
      </c>
      <c r="C7883" s="32">
        <v>43072.526284722226</v>
      </c>
    </row>
    <row r="7884" spans="1:3">
      <c r="A7884">
        <v>870101</v>
      </c>
      <c r="B7884">
        <v>283109</v>
      </c>
      <c r="C7884" s="32">
        <v>43071.579421296294</v>
      </c>
    </row>
    <row r="7885" spans="1:3">
      <c r="A7885">
        <v>159955</v>
      </c>
      <c r="B7885">
        <v>1320293</v>
      </c>
      <c r="C7885" s="32">
        <v>43071.108888888892</v>
      </c>
    </row>
    <row r="7886" spans="1:3">
      <c r="A7886">
        <v>355140</v>
      </c>
      <c r="B7886">
        <v>2885642</v>
      </c>
      <c r="C7886" s="32">
        <v>43069.694039351853</v>
      </c>
    </row>
    <row r="7887" spans="1:3">
      <c r="A7887">
        <v>847694</v>
      </c>
      <c r="B7887">
        <v>3758209</v>
      </c>
      <c r="C7887" s="32">
        <v>43071.303043981483</v>
      </c>
    </row>
    <row r="7888" spans="1:3">
      <c r="A7888">
        <v>943599</v>
      </c>
      <c r="B7888">
        <v>4690421</v>
      </c>
      <c r="C7888" s="32">
        <v>43071.664594907408</v>
      </c>
    </row>
    <row r="7889" spans="1:3">
      <c r="A7889">
        <v>381013</v>
      </c>
      <c r="B7889">
        <v>4756105</v>
      </c>
      <c r="C7889" s="32">
        <v>43070.590462962966</v>
      </c>
    </row>
    <row r="7890" spans="1:3">
      <c r="A7890">
        <v>325492</v>
      </c>
      <c r="B7890">
        <v>1349561</v>
      </c>
      <c r="C7890" s="32">
        <v>43070.147812499999</v>
      </c>
    </row>
    <row r="7891" spans="1:3">
      <c r="A7891">
        <v>607962</v>
      </c>
      <c r="B7891">
        <v>4756105</v>
      </c>
      <c r="C7891" s="32">
        <v>43072.093773148146</v>
      </c>
    </row>
    <row r="7892" spans="1:3">
      <c r="A7892">
        <v>100284</v>
      </c>
      <c r="B7892">
        <v>4357323</v>
      </c>
      <c r="C7892" s="32">
        <v>43072.499594907407</v>
      </c>
    </row>
    <row r="7893" spans="1:3">
      <c r="A7893">
        <v>566867</v>
      </c>
      <c r="B7893">
        <v>4643350</v>
      </c>
      <c r="C7893" s="32">
        <v>43071.192893518521</v>
      </c>
    </row>
    <row r="7894" spans="1:3">
      <c r="A7894">
        <v>217807</v>
      </c>
      <c r="B7894">
        <v>1759436</v>
      </c>
      <c r="C7894" s="32">
        <v>43072.295138888891</v>
      </c>
    </row>
    <row r="7895" spans="1:3">
      <c r="A7895">
        <v>88270</v>
      </c>
      <c r="B7895">
        <v>4129924</v>
      </c>
      <c r="C7895" s="32">
        <v>43072.604942129627</v>
      </c>
    </row>
    <row r="7896" spans="1:3">
      <c r="A7896">
        <v>567477</v>
      </c>
      <c r="B7896">
        <v>1922400</v>
      </c>
      <c r="C7896" s="32">
        <v>43071.231504629628</v>
      </c>
    </row>
    <row r="7897" spans="1:3">
      <c r="A7897">
        <v>417671</v>
      </c>
      <c r="B7897">
        <v>570735</v>
      </c>
      <c r="C7897" s="32">
        <v>43070.245983796296</v>
      </c>
    </row>
    <row r="7898" spans="1:3">
      <c r="A7898">
        <v>706824</v>
      </c>
      <c r="B7898">
        <v>846990</v>
      </c>
      <c r="C7898" s="32">
        <v>43070.753298611111</v>
      </c>
    </row>
    <row r="7899" spans="1:3">
      <c r="A7899">
        <v>58417</v>
      </c>
      <c r="B7899">
        <v>4558987</v>
      </c>
      <c r="C7899" s="32">
        <v>43072.439699074072</v>
      </c>
    </row>
    <row r="7900" spans="1:3">
      <c r="A7900">
        <v>951373</v>
      </c>
      <c r="B7900">
        <v>50601</v>
      </c>
      <c r="C7900" s="32">
        <v>43071.960960648146</v>
      </c>
    </row>
    <row r="7901" spans="1:3">
      <c r="A7901">
        <v>456709</v>
      </c>
      <c r="B7901">
        <v>2319611</v>
      </c>
      <c r="C7901" s="32">
        <v>43072.600173611114</v>
      </c>
    </row>
    <row r="7902" spans="1:3">
      <c r="A7902">
        <v>469130</v>
      </c>
      <c r="B7902">
        <v>2640118</v>
      </c>
      <c r="C7902" s="32">
        <v>43070.211377314816</v>
      </c>
    </row>
    <row r="7903" spans="1:3">
      <c r="A7903">
        <v>713800</v>
      </c>
      <c r="B7903">
        <v>4145813</v>
      </c>
      <c r="C7903" s="32">
        <v>43071.374583333331</v>
      </c>
    </row>
    <row r="7904" spans="1:3">
      <c r="A7904">
        <v>706483</v>
      </c>
      <c r="B7904">
        <v>4310023</v>
      </c>
      <c r="C7904" s="32">
        <v>43072.261365740742</v>
      </c>
    </row>
    <row r="7905" spans="1:3">
      <c r="A7905">
        <v>532079</v>
      </c>
      <c r="B7905">
        <v>4756105</v>
      </c>
      <c r="C7905" s="32">
        <v>43070.405046296299</v>
      </c>
    </row>
    <row r="7906" spans="1:3">
      <c r="A7906">
        <v>588941</v>
      </c>
      <c r="B7906">
        <v>3312150</v>
      </c>
      <c r="C7906" s="32">
        <v>43072.548668981479</v>
      </c>
    </row>
    <row r="7907" spans="1:3">
      <c r="A7907">
        <v>36520</v>
      </c>
      <c r="B7907">
        <v>4170419</v>
      </c>
      <c r="C7907" s="32">
        <v>43072.534317129626</v>
      </c>
    </row>
    <row r="7908" spans="1:3">
      <c r="A7908">
        <v>144935</v>
      </c>
      <c r="B7908">
        <v>2558244</v>
      </c>
      <c r="C7908" s="32">
        <v>43072.18822916667</v>
      </c>
    </row>
    <row r="7909" spans="1:3">
      <c r="A7909">
        <v>225081</v>
      </c>
      <c r="B7909">
        <v>4048584</v>
      </c>
      <c r="C7909" s="32">
        <v>43072.384166666663</v>
      </c>
    </row>
    <row r="7910" spans="1:3">
      <c r="A7910">
        <v>500917</v>
      </c>
      <c r="B7910">
        <v>2355072</v>
      </c>
      <c r="C7910" s="32">
        <v>43072.498506944445</v>
      </c>
    </row>
    <row r="7911" spans="1:3">
      <c r="A7911">
        <v>732822</v>
      </c>
      <c r="B7911">
        <v>1585420</v>
      </c>
      <c r="C7911" s="32">
        <v>43072.122870370367</v>
      </c>
    </row>
    <row r="7912" spans="1:3">
      <c r="A7912">
        <v>416271</v>
      </c>
      <c r="B7912">
        <v>3002561</v>
      </c>
      <c r="C7912" s="32">
        <v>43071.262766203705</v>
      </c>
    </row>
    <row r="7913" spans="1:3">
      <c r="A7913">
        <v>582376</v>
      </c>
      <c r="B7913">
        <v>4756105</v>
      </c>
      <c r="C7913" s="32">
        <v>43069.700740740744</v>
      </c>
    </row>
    <row r="7914" spans="1:3">
      <c r="A7914">
        <v>702292</v>
      </c>
      <c r="B7914">
        <v>2520377</v>
      </c>
      <c r="C7914" s="32">
        <v>43071.460578703707</v>
      </c>
    </row>
    <row r="7915" spans="1:3">
      <c r="A7915">
        <v>207383</v>
      </c>
      <c r="B7915">
        <v>200278</v>
      </c>
      <c r="C7915" s="32">
        <v>43072.546388888892</v>
      </c>
    </row>
    <row r="7916" spans="1:3">
      <c r="A7916">
        <v>566393</v>
      </c>
      <c r="B7916">
        <v>149192</v>
      </c>
      <c r="C7916" s="32">
        <v>43069.698472222219</v>
      </c>
    </row>
    <row r="7917" spans="1:3">
      <c r="A7917">
        <v>779908</v>
      </c>
      <c r="B7917">
        <v>2451199</v>
      </c>
      <c r="C7917" s="32">
        <v>43072.369074074071</v>
      </c>
    </row>
    <row r="7918" spans="1:3">
      <c r="A7918">
        <v>613993</v>
      </c>
      <c r="B7918">
        <v>2862133</v>
      </c>
      <c r="C7918" s="32">
        <v>43069.987372685187</v>
      </c>
    </row>
    <row r="7919" spans="1:3">
      <c r="A7919">
        <v>191381</v>
      </c>
      <c r="B7919">
        <v>3524510</v>
      </c>
      <c r="C7919" s="32">
        <v>43070.495682870373</v>
      </c>
    </row>
    <row r="7920" spans="1:3">
      <c r="A7920">
        <v>463225</v>
      </c>
      <c r="B7920">
        <v>146830</v>
      </c>
      <c r="C7920" s="32">
        <v>43072.493379629632</v>
      </c>
    </row>
    <row r="7921" spans="1:3">
      <c r="A7921">
        <v>723059</v>
      </c>
      <c r="B7921">
        <v>2832009</v>
      </c>
      <c r="C7921" s="32">
        <v>43070.791412037041</v>
      </c>
    </row>
    <row r="7922" spans="1:3">
      <c r="A7922">
        <v>788373</v>
      </c>
      <c r="B7922">
        <v>1526484</v>
      </c>
      <c r="C7922" s="32">
        <v>43070.11</v>
      </c>
    </row>
    <row r="7923" spans="1:3">
      <c r="A7923">
        <v>286567</v>
      </c>
      <c r="B7923">
        <v>1609467</v>
      </c>
      <c r="C7923" s="32">
        <v>43070.490902777776</v>
      </c>
    </row>
    <row r="7924" spans="1:3">
      <c r="A7924">
        <v>139745</v>
      </c>
      <c r="B7924">
        <v>4021638</v>
      </c>
      <c r="C7924" s="32">
        <v>43071.636921296296</v>
      </c>
    </row>
    <row r="7925" spans="1:3">
      <c r="A7925">
        <v>443331</v>
      </c>
      <c r="B7925">
        <v>4715650</v>
      </c>
      <c r="C7925" s="32">
        <v>43070.13484953704</v>
      </c>
    </row>
    <row r="7926" spans="1:3">
      <c r="A7926">
        <v>249340</v>
      </c>
      <c r="B7926">
        <v>401357</v>
      </c>
      <c r="C7926" s="32">
        <v>43071.211793981478</v>
      </c>
    </row>
    <row r="7927" spans="1:3">
      <c r="A7927">
        <v>405105</v>
      </c>
      <c r="B7927">
        <v>359388</v>
      </c>
      <c r="C7927" s="32">
        <v>43071.354583333334</v>
      </c>
    </row>
    <row r="7928" spans="1:3">
      <c r="A7928">
        <v>218939</v>
      </c>
      <c r="B7928">
        <v>2465336</v>
      </c>
      <c r="C7928" s="32">
        <v>43070.614675925928</v>
      </c>
    </row>
    <row r="7929" spans="1:3">
      <c r="A7929">
        <v>147218</v>
      </c>
      <c r="B7929">
        <v>2465336</v>
      </c>
      <c r="C7929" s="32">
        <v>43072.171944444446</v>
      </c>
    </row>
    <row r="7930" spans="1:3">
      <c r="A7930">
        <v>490420</v>
      </c>
      <c r="B7930">
        <v>4357323</v>
      </c>
      <c r="C7930" s="32">
        <v>43071.638275462959</v>
      </c>
    </row>
    <row r="7931" spans="1:3">
      <c r="A7931">
        <v>676032</v>
      </c>
      <c r="B7931">
        <v>4655941</v>
      </c>
      <c r="C7931" s="32">
        <v>43070.242777777778</v>
      </c>
    </row>
    <row r="7932" spans="1:3">
      <c r="A7932">
        <v>792192</v>
      </c>
      <c r="B7932">
        <v>4801426</v>
      </c>
      <c r="C7932" s="32">
        <v>43072.048437500001</v>
      </c>
    </row>
    <row r="7933" spans="1:3">
      <c r="A7933">
        <v>857766</v>
      </c>
      <c r="B7933">
        <v>4918438</v>
      </c>
      <c r="C7933" s="32">
        <v>43070.425613425927</v>
      </c>
    </row>
    <row r="7934" spans="1:3">
      <c r="A7934">
        <v>11139</v>
      </c>
      <c r="B7934">
        <v>3299155</v>
      </c>
      <c r="C7934" s="32">
        <v>43072.300844907404</v>
      </c>
    </row>
    <row r="7935" spans="1:3">
      <c r="A7935">
        <v>171658</v>
      </c>
      <c r="B7935">
        <v>3607361</v>
      </c>
      <c r="C7935" s="32">
        <v>43071.163263888891</v>
      </c>
    </row>
    <row r="7936" spans="1:3">
      <c r="A7936">
        <v>259561</v>
      </c>
      <c r="B7936">
        <v>2939262</v>
      </c>
      <c r="C7936" s="32">
        <v>43070.396678240744</v>
      </c>
    </row>
    <row r="7937" spans="1:3">
      <c r="A7937">
        <v>38773</v>
      </c>
      <c r="B7937">
        <v>2596428</v>
      </c>
      <c r="C7937" s="32">
        <v>43072.077013888891</v>
      </c>
    </row>
    <row r="7938" spans="1:3">
      <c r="A7938">
        <v>619146</v>
      </c>
      <c r="B7938">
        <v>4672807</v>
      </c>
      <c r="C7938" s="32">
        <v>43071.577627314815</v>
      </c>
    </row>
    <row r="7939" spans="1:3">
      <c r="A7939">
        <v>674555</v>
      </c>
      <c r="B7939">
        <v>135038</v>
      </c>
      <c r="C7939" s="32">
        <v>43070.655578703707</v>
      </c>
    </row>
    <row r="7940" spans="1:3">
      <c r="A7940">
        <v>856360</v>
      </c>
      <c r="B7940">
        <v>4756105</v>
      </c>
      <c r="C7940" s="32">
        <v>43071.112210648149</v>
      </c>
    </row>
    <row r="7941" spans="1:3">
      <c r="A7941">
        <v>770761</v>
      </c>
      <c r="B7941">
        <v>1646753</v>
      </c>
      <c r="C7941" s="32">
        <v>43069.808634259258</v>
      </c>
    </row>
    <row r="7942" spans="1:3">
      <c r="A7942">
        <v>754247</v>
      </c>
      <c r="B7942">
        <v>4731191</v>
      </c>
      <c r="C7942" s="32">
        <v>43071.394050925926</v>
      </c>
    </row>
    <row r="7943" spans="1:3">
      <c r="A7943">
        <v>457089</v>
      </c>
      <c r="B7943">
        <v>4145813</v>
      </c>
      <c r="C7943" s="32">
        <v>43072.536712962959</v>
      </c>
    </row>
    <row r="7944" spans="1:3">
      <c r="A7944">
        <v>162608</v>
      </c>
      <c r="B7944">
        <v>2465336</v>
      </c>
      <c r="C7944" s="32">
        <v>43070.557557870372</v>
      </c>
    </row>
    <row r="7945" spans="1:3">
      <c r="A7945">
        <v>300168</v>
      </c>
      <c r="B7945">
        <v>4145813</v>
      </c>
      <c r="C7945" s="32">
        <v>43071.539340277777</v>
      </c>
    </row>
    <row r="7946" spans="1:3">
      <c r="A7946">
        <v>650926</v>
      </c>
      <c r="B7946">
        <v>1859277</v>
      </c>
      <c r="C7946" s="32">
        <v>43071.244803240741</v>
      </c>
    </row>
    <row r="7947" spans="1:3">
      <c r="A7947">
        <v>867445</v>
      </c>
      <c r="B7947">
        <v>3461823</v>
      </c>
      <c r="C7947" s="32">
        <v>43072.602361111109</v>
      </c>
    </row>
    <row r="7948" spans="1:3">
      <c r="A7948">
        <v>195849</v>
      </c>
      <c r="B7948">
        <v>1320293</v>
      </c>
      <c r="C7948" s="32">
        <v>43070.969456018516</v>
      </c>
    </row>
    <row r="7949" spans="1:3">
      <c r="A7949">
        <v>260113</v>
      </c>
      <c r="B7949">
        <v>2465336</v>
      </c>
      <c r="C7949" s="32">
        <v>43072.21230324074</v>
      </c>
    </row>
    <row r="7950" spans="1:3">
      <c r="A7950">
        <v>330247</v>
      </c>
      <c r="B7950">
        <v>2920476</v>
      </c>
      <c r="C7950" s="32">
        <v>43072.484988425924</v>
      </c>
    </row>
    <row r="7951" spans="1:3">
      <c r="A7951">
        <v>917850</v>
      </c>
      <c r="B7951">
        <v>133377</v>
      </c>
      <c r="C7951" s="32">
        <v>43072.09480324074</v>
      </c>
    </row>
    <row r="7952" spans="1:3">
      <c r="A7952">
        <v>367706</v>
      </c>
      <c r="B7952">
        <v>2520377</v>
      </c>
      <c r="C7952" s="32">
        <v>43070.538865740738</v>
      </c>
    </row>
    <row r="7953" spans="1:3">
      <c r="A7953">
        <v>67822</v>
      </c>
      <c r="B7953">
        <v>235534</v>
      </c>
      <c r="C7953" s="32">
        <v>43071.605428240742</v>
      </c>
    </row>
    <row r="7954" spans="1:3">
      <c r="A7954">
        <v>665127</v>
      </c>
      <c r="B7954">
        <v>982926</v>
      </c>
      <c r="C7954" s="32">
        <v>43072.631053240744</v>
      </c>
    </row>
    <row r="7955" spans="1:3">
      <c r="A7955">
        <v>806498</v>
      </c>
      <c r="B7955">
        <v>3422025</v>
      </c>
      <c r="C7955" s="32">
        <v>43072.549861111111</v>
      </c>
    </row>
    <row r="7956" spans="1:3">
      <c r="A7956">
        <v>172948</v>
      </c>
      <c r="B7956">
        <v>4244487</v>
      </c>
      <c r="C7956" s="32">
        <v>43071.617905092593</v>
      </c>
    </row>
    <row r="7957" spans="1:3">
      <c r="A7957">
        <v>985048</v>
      </c>
      <c r="B7957">
        <v>2520377</v>
      </c>
      <c r="C7957" s="32">
        <v>43071.617326388892</v>
      </c>
    </row>
    <row r="7958" spans="1:3">
      <c r="A7958">
        <v>212401</v>
      </c>
      <c r="B7958">
        <v>2725426</v>
      </c>
      <c r="C7958" s="32">
        <v>43071.101736111108</v>
      </c>
    </row>
    <row r="7959" spans="1:3">
      <c r="A7959">
        <v>810385</v>
      </c>
      <c r="B7959">
        <v>2529187</v>
      </c>
      <c r="C7959" s="32">
        <v>43072.072141203702</v>
      </c>
    </row>
    <row r="7960" spans="1:3">
      <c r="A7960">
        <v>577257</v>
      </c>
      <c r="B7960">
        <v>1575622</v>
      </c>
      <c r="C7960" s="32">
        <v>43072.164895833332</v>
      </c>
    </row>
    <row r="7961" spans="1:3">
      <c r="A7961">
        <v>754966</v>
      </c>
      <c r="B7961">
        <v>883960</v>
      </c>
      <c r="C7961" s="32">
        <v>43071.457754629628</v>
      </c>
    </row>
    <row r="7962" spans="1:3">
      <c r="A7962">
        <v>239063</v>
      </c>
      <c r="B7962">
        <v>4145813</v>
      </c>
      <c r="C7962" s="32">
        <v>43072.332071759258</v>
      </c>
    </row>
    <row r="7963" spans="1:3">
      <c r="A7963">
        <v>797190</v>
      </c>
      <c r="B7963">
        <v>672001</v>
      </c>
      <c r="C7963" s="32">
        <v>43071.328483796293</v>
      </c>
    </row>
    <row r="7964" spans="1:3">
      <c r="A7964">
        <v>230464</v>
      </c>
      <c r="B7964">
        <v>4357323</v>
      </c>
      <c r="C7964" s="32">
        <v>43070.548726851855</v>
      </c>
    </row>
    <row r="7965" spans="1:3">
      <c r="A7965">
        <v>391758</v>
      </c>
      <c r="B7965">
        <v>1249761</v>
      </c>
      <c r="C7965" s="32">
        <v>43069.720868055556</v>
      </c>
    </row>
    <row r="7966" spans="1:3">
      <c r="A7966">
        <v>873949</v>
      </c>
      <c r="B7966">
        <v>2355072</v>
      </c>
      <c r="C7966" s="32">
        <v>43071.483229166668</v>
      </c>
    </row>
    <row r="7967" spans="1:3">
      <c r="A7967">
        <v>786482</v>
      </c>
      <c r="B7967">
        <v>4244487</v>
      </c>
      <c r="C7967" s="32">
        <v>43072.043622685182</v>
      </c>
    </row>
    <row r="7968" spans="1:3">
      <c r="A7968">
        <v>617586</v>
      </c>
      <c r="B7968">
        <v>1859277</v>
      </c>
      <c r="C7968" s="32">
        <v>43072.428194444445</v>
      </c>
    </row>
    <row r="7969" spans="1:3">
      <c r="A7969">
        <v>575524</v>
      </c>
      <c r="B7969">
        <v>1879194</v>
      </c>
      <c r="C7969" s="32">
        <v>43072.660532407404</v>
      </c>
    </row>
    <row r="7970" spans="1:3">
      <c r="A7970">
        <v>659567</v>
      </c>
      <c r="B7970">
        <v>2735466</v>
      </c>
      <c r="C7970" s="32">
        <v>43072.332071759258</v>
      </c>
    </row>
    <row r="7971" spans="1:3">
      <c r="A7971">
        <v>139119</v>
      </c>
      <c r="B7971">
        <v>4217906</v>
      </c>
      <c r="C7971" s="32">
        <v>43070.492465277777</v>
      </c>
    </row>
    <row r="7972" spans="1:3">
      <c r="A7972">
        <v>157887</v>
      </c>
      <c r="B7972">
        <v>4993094</v>
      </c>
      <c r="C7972" s="32">
        <v>43071.263888888891</v>
      </c>
    </row>
    <row r="7973" spans="1:3">
      <c r="A7973">
        <v>236463</v>
      </c>
      <c r="B7973">
        <v>3720767</v>
      </c>
      <c r="C7973" s="32">
        <v>43072.119212962964</v>
      </c>
    </row>
    <row r="7974" spans="1:3">
      <c r="A7974">
        <v>39999</v>
      </c>
      <c r="B7974">
        <v>1913428</v>
      </c>
      <c r="C7974" s="32">
        <v>43072.195717592593</v>
      </c>
    </row>
    <row r="7975" spans="1:3">
      <c r="A7975">
        <v>989033</v>
      </c>
      <c r="B7975">
        <v>3002561</v>
      </c>
      <c r="C7975" s="32">
        <v>43072.111875000002</v>
      </c>
    </row>
    <row r="7976" spans="1:3">
      <c r="A7976">
        <v>693632</v>
      </c>
      <c r="B7976">
        <v>4352893</v>
      </c>
      <c r="C7976" s="32">
        <v>43072.537280092591</v>
      </c>
    </row>
    <row r="7977" spans="1:3">
      <c r="A7977">
        <v>158304</v>
      </c>
      <c r="B7977">
        <v>1464116</v>
      </c>
      <c r="C7977" s="32">
        <v>43072.617627314816</v>
      </c>
    </row>
    <row r="7978" spans="1:3">
      <c r="A7978">
        <v>639959</v>
      </c>
      <c r="B7978">
        <v>244681</v>
      </c>
      <c r="C7978" s="32">
        <v>43071.66128472222</v>
      </c>
    </row>
    <row r="7979" spans="1:3">
      <c r="A7979">
        <v>401234</v>
      </c>
      <c r="B7979">
        <v>982926</v>
      </c>
      <c r="C7979" s="32">
        <v>43071.578298611108</v>
      </c>
    </row>
    <row r="7980" spans="1:3">
      <c r="A7980">
        <v>542895</v>
      </c>
      <c r="B7980">
        <v>4170419</v>
      </c>
      <c r="C7980" s="32">
        <v>43070.516921296294</v>
      </c>
    </row>
    <row r="7981" spans="1:3">
      <c r="A7981">
        <v>774509</v>
      </c>
      <c r="B7981">
        <v>2355072</v>
      </c>
      <c r="C7981" s="32">
        <v>43071.457303240742</v>
      </c>
    </row>
    <row r="7982" spans="1:3">
      <c r="A7982">
        <v>455333</v>
      </c>
      <c r="B7982">
        <v>3530487</v>
      </c>
      <c r="C7982" s="32">
        <v>43070.525613425925</v>
      </c>
    </row>
    <row r="7983" spans="1:3">
      <c r="A7983">
        <v>392152</v>
      </c>
      <c r="B7983">
        <v>3264833</v>
      </c>
      <c r="C7983" s="32">
        <v>43072.266377314816</v>
      </c>
    </row>
    <row r="7984" spans="1:3">
      <c r="A7984">
        <v>972955</v>
      </c>
      <c r="B7984">
        <v>4919077</v>
      </c>
      <c r="C7984" s="32">
        <v>43072.057835648149</v>
      </c>
    </row>
    <row r="7985" spans="1:3">
      <c r="A7985">
        <v>459146</v>
      </c>
      <c r="B7985">
        <v>5064</v>
      </c>
      <c r="C7985" s="32">
        <v>43072.410787037035</v>
      </c>
    </row>
    <row r="7986" spans="1:3">
      <c r="A7986">
        <v>509459</v>
      </c>
      <c r="B7986">
        <v>1050007</v>
      </c>
      <c r="C7986" s="32">
        <v>43070.561828703707</v>
      </c>
    </row>
    <row r="7987" spans="1:3">
      <c r="A7987">
        <v>92135</v>
      </c>
      <c r="B7987">
        <v>4159072</v>
      </c>
      <c r="C7987" s="32">
        <v>43070.10260416667</v>
      </c>
    </row>
    <row r="7988" spans="1:3">
      <c r="A7988">
        <v>175271</v>
      </c>
      <c r="B7988">
        <v>2640118</v>
      </c>
      <c r="C7988" s="32">
        <v>43071.684398148151</v>
      </c>
    </row>
    <row r="7989" spans="1:3">
      <c r="A7989">
        <v>246959</v>
      </c>
      <c r="B7989">
        <v>4181361</v>
      </c>
      <c r="C7989" s="32">
        <v>43072.522129629629</v>
      </c>
    </row>
    <row r="7990" spans="1:3">
      <c r="A7990">
        <v>662533</v>
      </c>
      <c r="B7990">
        <v>3607361</v>
      </c>
      <c r="C7990" s="32">
        <v>43072.615162037036</v>
      </c>
    </row>
    <row r="7991" spans="1:3">
      <c r="A7991">
        <v>665924</v>
      </c>
      <c r="B7991">
        <v>570735</v>
      </c>
      <c r="C7991" s="32">
        <v>43071.345335648148</v>
      </c>
    </row>
    <row r="7992" spans="1:3">
      <c r="A7992">
        <v>288245</v>
      </c>
      <c r="B7992">
        <v>2355072</v>
      </c>
      <c r="C7992" s="32">
        <v>43072.147361111114</v>
      </c>
    </row>
    <row r="7993" spans="1:3">
      <c r="A7993">
        <v>70514</v>
      </c>
      <c r="B7993">
        <v>3277224</v>
      </c>
      <c r="C7993" s="32">
        <v>43070.275405092594</v>
      </c>
    </row>
    <row r="7994" spans="1:3">
      <c r="A7994">
        <v>259493</v>
      </c>
      <c r="B7994">
        <v>1879194</v>
      </c>
      <c r="C7994" s="32">
        <v>43071.337395833332</v>
      </c>
    </row>
    <row r="7995" spans="1:3">
      <c r="A7995">
        <v>133313</v>
      </c>
      <c r="B7995">
        <v>1320293</v>
      </c>
      <c r="C7995" s="32">
        <v>43072.256284722222</v>
      </c>
    </row>
    <row r="7996" spans="1:3">
      <c r="A7996">
        <v>20680</v>
      </c>
      <c r="B7996">
        <v>4756105</v>
      </c>
      <c r="C7996" s="32">
        <v>43071.049247685187</v>
      </c>
    </row>
    <row r="7997" spans="1:3">
      <c r="A7997">
        <v>335360</v>
      </c>
      <c r="B7997">
        <v>2640118</v>
      </c>
      <c r="C7997" s="32">
        <v>43072.084340277775</v>
      </c>
    </row>
    <row r="7998" spans="1:3">
      <c r="A7998">
        <v>321225</v>
      </c>
      <c r="B7998">
        <v>1265358</v>
      </c>
      <c r="C7998" s="32">
        <v>43072.588055555556</v>
      </c>
    </row>
    <row r="7999" spans="1:3">
      <c r="A7999">
        <v>416704</v>
      </c>
      <c r="B7999">
        <v>4882154</v>
      </c>
      <c r="C7999" s="32">
        <v>43070.56013888889</v>
      </c>
    </row>
    <row r="8000" spans="1:3">
      <c r="A8000">
        <v>163049</v>
      </c>
      <c r="B8000">
        <v>3768664</v>
      </c>
      <c r="C8000" s="32">
        <v>43070.572002314817</v>
      </c>
    </row>
    <row r="8001" spans="1:3">
      <c r="A8001">
        <v>146333</v>
      </c>
      <c r="B8001">
        <v>1023823</v>
      </c>
      <c r="C8001" s="32">
        <v>43072.481886574074</v>
      </c>
    </row>
    <row r="8002" spans="1:3">
      <c r="A8002">
        <v>996664</v>
      </c>
      <c r="B8002">
        <v>1368970</v>
      </c>
      <c r="C8002" s="32">
        <v>43072.579247685186</v>
      </c>
    </row>
    <row r="8003" spans="1:3">
      <c r="A8003">
        <v>531772</v>
      </c>
      <c r="B8003">
        <v>2520377</v>
      </c>
      <c r="C8003" s="32">
        <v>43071.545162037037</v>
      </c>
    </row>
    <row r="8004" spans="1:3">
      <c r="A8004">
        <v>371112</v>
      </c>
      <c r="B8004">
        <v>286229</v>
      </c>
      <c r="C8004" s="32">
        <v>43071.27721064815</v>
      </c>
    </row>
    <row r="8005" spans="1:3">
      <c r="A8005">
        <v>14115</v>
      </c>
      <c r="B8005">
        <v>4801426</v>
      </c>
      <c r="C8005" s="32">
        <v>43071.252453703702</v>
      </c>
    </row>
    <row r="8006" spans="1:3">
      <c r="A8006">
        <v>110840</v>
      </c>
      <c r="B8006">
        <v>903809</v>
      </c>
      <c r="C8006" s="32">
        <v>43071.259583333333</v>
      </c>
    </row>
    <row r="8007" spans="1:3">
      <c r="A8007">
        <v>145074</v>
      </c>
      <c r="B8007">
        <v>4756105</v>
      </c>
      <c r="C8007" s="32">
        <v>43071.230266203704</v>
      </c>
    </row>
    <row r="8008" spans="1:3">
      <c r="A8008">
        <v>723523</v>
      </c>
      <c r="B8008">
        <v>4756105</v>
      </c>
      <c r="C8008" s="32">
        <v>43072.64912037037</v>
      </c>
    </row>
    <row r="8009" spans="1:3">
      <c r="A8009">
        <v>19992</v>
      </c>
      <c r="B8009">
        <v>2355072</v>
      </c>
      <c r="C8009" s="32">
        <v>43070.424803240741</v>
      </c>
    </row>
    <row r="8010" spans="1:3">
      <c r="A8010">
        <v>51704</v>
      </c>
      <c r="B8010">
        <v>1609851</v>
      </c>
      <c r="C8010" s="32">
        <v>43071.545312499999</v>
      </c>
    </row>
    <row r="8011" spans="1:3">
      <c r="A8011">
        <v>55027</v>
      </c>
      <c r="B8011">
        <v>1964754</v>
      </c>
      <c r="C8011" s="32">
        <v>43070.936435185184</v>
      </c>
    </row>
    <row r="8012" spans="1:3">
      <c r="A8012">
        <v>394964</v>
      </c>
      <c r="B8012">
        <v>3623484</v>
      </c>
      <c r="C8012" s="32">
        <v>43071.143750000003</v>
      </c>
    </row>
    <row r="8013" spans="1:3">
      <c r="A8013">
        <v>472409</v>
      </c>
      <c r="B8013">
        <v>3607361</v>
      </c>
      <c r="C8013" s="32">
        <v>43069.971921296295</v>
      </c>
    </row>
    <row r="8014" spans="1:3">
      <c r="A8014">
        <v>816030</v>
      </c>
      <c r="B8014">
        <v>3680035</v>
      </c>
      <c r="C8014" s="32">
        <v>43071.10361111111</v>
      </c>
    </row>
    <row r="8015" spans="1:3">
      <c r="A8015">
        <v>825798</v>
      </c>
      <c r="B8015">
        <v>2465336</v>
      </c>
      <c r="C8015" s="32">
        <v>43071.423113425924</v>
      </c>
    </row>
    <row r="8016" spans="1:3">
      <c r="A8016">
        <v>308917</v>
      </c>
      <c r="B8016">
        <v>3620161</v>
      </c>
      <c r="C8016" s="32">
        <v>43071.741527777776</v>
      </c>
    </row>
    <row r="8017" spans="1:3">
      <c r="A8017">
        <v>431920</v>
      </c>
      <c r="B8017">
        <v>2626421</v>
      </c>
      <c r="C8017" s="32">
        <v>43070.307916666665</v>
      </c>
    </row>
    <row r="8018" spans="1:3">
      <c r="A8018">
        <v>391948</v>
      </c>
      <c r="B8018">
        <v>3002561</v>
      </c>
      <c r="C8018" s="32">
        <v>43072.346932870372</v>
      </c>
    </row>
    <row r="8019" spans="1:3">
      <c r="A8019">
        <v>7232</v>
      </c>
      <c r="B8019">
        <v>476283</v>
      </c>
      <c r="C8019" s="32">
        <v>43072.238564814812</v>
      </c>
    </row>
    <row r="8020" spans="1:3">
      <c r="A8020">
        <v>704845</v>
      </c>
      <c r="B8020">
        <v>2736436</v>
      </c>
      <c r="C8020" s="32">
        <v>43071.66233796296</v>
      </c>
    </row>
    <row r="8021" spans="1:3">
      <c r="A8021">
        <v>668664</v>
      </c>
      <c r="B8021">
        <v>2313309</v>
      </c>
      <c r="C8021" s="32">
        <v>43072.32439814815</v>
      </c>
    </row>
    <row r="8022" spans="1:3">
      <c r="A8022">
        <v>131750</v>
      </c>
      <c r="B8022">
        <v>3002561</v>
      </c>
      <c r="C8022" s="32">
        <v>43070.678888888891</v>
      </c>
    </row>
    <row r="8023" spans="1:3">
      <c r="A8023">
        <v>750877</v>
      </c>
      <c r="B8023">
        <v>1464116</v>
      </c>
      <c r="C8023" s="32">
        <v>43072.382916666669</v>
      </c>
    </row>
    <row r="8024" spans="1:3">
      <c r="A8024">
        <v>930183</v>
      </c>
      <c r="B8024">
        <v>3607361</v>
      </c>
      <c r="C8024" s="32">
        <v>43071.61519675926</v>
      </c>
    </row>
    <row r="8025" spans="1:3">
      <c r="A8025">
        <v>117740</v>
      </c>
      <c r="B8025">
        <v>3461823</v>
      </c>
      <c r="C8025" s="32">
        <v>43070.467557870368</v>
      </c>
    </row>
    <row r="8026" spans="1:3">
      <c r="A8026">
        <v>66298</v>
      </c>
      <c r="B8026">
        <v>2131531</v>
      </c>
      <c r="C8026" s="32">
        <v>43072.116851851853</v>
      </c>
    </row>
    <row r="8027" spans="1:3">
      <c r="A8027">
        <v>154968</v>
      </c>
      <c r="B8027">
        <v>1051370</v>
      </c>
      <c r="C8027" s="32">
        <v>43070.445729166669</v>
      </c>
    </row>
    <row r="8028" spans="1:3">
      <c r="A8028">
        <v>174346</v>
      </c>
      <c r="B8028">
        <v>1379146</v>
      </c>
      <c r="C8028" s="32">
        <v>43070.582870370374</v>
      </c>
    </row>
    <row r="8029" spans="1:3">
      <c r="A8029">
        <v>714282</v>
      </c>
      <c r="B8029">
        <v>3002561</v>
      </c>
      <c r="C8029" s="32">
        <v>43070.054120370369</v>
      </c>
    </row>
    <row r="8030" spans="1:3">
      <c r="A8030">
        <v>780000</v>
      </c>
      <c r="B8030">
        <v>269234</v>
      </c>
      <c r="C8030" s="32">
        <v>43071.094895833332</v>
      </c>
    </row>
    <row r="8031" spans="1:3">
      <c r="A8031">
        <v>615312</v>
      </c>
      <c r="B8031">
        <v>4756105</v>
      </c>
      <c r="C8031" s="32">
        <v>43072.41684027778</v>
      </c>
    </row>
    <row r="8032" spans="1:3">
      <c r="A8032">
        <v>864728</v>
      </c>
      <c r="B8032">
        <v>2735466</v>
      </c>
      <c r="C8032" s="32">
        <v>43070.410046296296</v>
      </c>
    </row>
    <row r="8033" spans="1:3">
      <c r="A8033">
        <v>852525</v>
      </c>
      <c r="B8033">
        <v>4217906</v>
      </c>
      <c r="C8033" s="32">
        <v>43071.460833333331</v>
      </c>
    </row>
    <row r="8034" spans="1:3">
      <c r="A8034">
        <v>1002548</v>
      </c>
      <c r="B8034">
        <v>1451814</v>
      </c>
      <c r="C8034" s="32">
        <v>43071.594456018516</v>
      </c>
    </row>
    <row r="8035" spans="1:3">
      <c r="A8035">
        <v>963443</v>
      </c>
      <c r="B8035">
        <v>4217906</v>
      </c>
      <c r="C8035" s="32">
        <v>43071.398645833331</v>
      </c>
    </row>
    <row r="8036" spans="1:3">
      <c r="A8036">
        <v>163971</v>
      </c>
      <c r="B8036">
        <v>2164274</v>
      </c>
      <c r="C8036" s="32">
        <v>43072.505590277775</v>
      </c>
    </row>
    <row r="8037" spans="1:3">
      <c r="A8037">
        <v>942501</v>
      </c>
      <c r="B8037">
        <v>3579754</v>
      </c>
      <c r="C8037" s="32">
        <v>43072.661215277774</v>
      </c>
    </row>
    <row r="8038" spans="1:3">
      <c r="A8038">
        <v>719114</v>
      </c>
      <c r="B8038">
        <v>2735466</v>
      </c>
      <c r="C8038" s="32">
        <v>43069.757245370369</v>
      </c>
    </row>
    <row r="8039" spans="1:3">
      <c r="A8039">
        <v>369430</v>
      </c>
      <c r="B8039">
        <v>3579754</v>
      </c>
      <c r="C8039" s="32">
        <v>43071.910011574073</v>
      </c>
    </row>
    <row r="8040" spans="1:3">
      <c r="A8040">
        <v>874922</v>
      </c>
      <c r="B8040">
        <v>1216617</v>
      </c>
      <c r="C8040" s="32">
        <v>43070.518368055556</v>
      </c>
    </row>
    <row r="8041" spans="1:3">
      <c r="A8041">
        <v>868670</v>
      </c>
      <c r="B8041">
        <v>4148053</v>
      </c>
      <c r="C8041" s="32">
        <v>43072.188900462963</v>
      </c>
    </row>
    <row r="8042" spans="1:3">
      <c r="A8042">
        <v>390673</v>
      </c>
      <c r="B8042">
        <v>2465336</v>
      </c>
      <c r="C8042" s="32">
        <v>43071.185763888891</v>
      </c>
    </row>
    <row r="8043" spans="1:3">
      <c r="A8043">
        <v>193000</v>
      </c>
      <c r="B8043">
        <v>4517019</v>
      </c>
      <c r="C8043" s="32">
        <v>43071.618321759262</v>
      </c>
    </row>
    <row r="8044" spans="1:3">
      <c r="A8044">
        <v>314153</v>
      </c>
      <c r="B8044">
        <v>999755</v>
      </c>
      <c r="C8044" s="32">
        <v>43072.4925</v>
      </c>
    </row>
    <row r="8045" spans="1:3">
      <c r="A8045">
        <v>491502</v>
      </c>
      <c r="B8045">
        <v>3164550</v>
      </c>
      <c r="C8045" s="32">
        <v>43072.011388888888</v>
      </c>
    </row>
    <row r="8046" spans="1:3">
      <c r="A8046">
        <v>438491</v>
      </c>
      <c r="B8046">
        <v>2693696</v>
      </c>
      <c r="C8046" s="32">
        <v>43071.135949074072</v>
      </c>
    </row>
    <row r="8047" spans="1:3">
      <c r="A8047">
        <v>201844</v>
      </c>
      <c r="B8047">
        <v>4756105</v>
      </c>
      <c r="C8047" s="32">
        <v>43072.019270833334</v>
      </c>
    </row>
    <row r="8048" spans="1:3">
      <c r="A8048">
        <v>943315</v>
      </c>
      <c r="B8048">
        <v>886203</v>
      </c>
      <c r="C8048" s="32">
        <v>43070.008472222224</v>
      </c>
    </row>
    <row r="8049" spans="1:3">
      <c r="A8049">
        <v>644845</v>
      </c>
      <c r="B8049">
        <v>1419417</v>
      </c>
      <c r="C8049" s="32">
        <v>43072.656111111108</v>
      </c>
    </row>
    <row r="8050" spans="1:3">
      <c r="A8050">
        <v>860297</v>
      </c>
      <c r="B8050">
        <v>2640118</v>
      </c>
      <c r="C8050" s="32">
        <v>43072.477870370371</v>
      </c>
    </row>
    <row r="8051" spans="1:3">
      <c r="A8051">
        <v>802206</v>
      </c>
      <c r="B8051">
        <v>1451041</v>
      </c>
      <c r="C8051" s="32">
        <v>43072.367094907408</v>
      </c>
    </row>
    <row r="8052" spans="1:3">
      <c r="A8052">
        <v>324761</v>
      </c>
      <c r="B8052">
        <v>2520771</v>
      </c>
      <c r="C8052" s="32">
        <v>43070.661793981482</v>
      </c>
    </row>
    <row r="8053" spans="1:3">
      <c r="A8053">
        <v>18621</v>
      </c>
      <c r="B8053">
        <v>3277224</v>
      </c>
      <c r="C8053" s="32">
        <v>43072.109409722223</v>
      </c>
    </row>
    <row r="8054" spans="1:3">
      <c r="A8054">
        <v>312733</v>
      </c>
      <c r="B8054">
        <v>3299155</v>
      </c>
      <c r="C8054" s="32">
        <v>43070.576261574075</v>
      </c>
    </row>
    <row r="8055" spans="1:3">
      <c r="A8055">
        <v>511381</v>
      </c>
      <c r="B8055">
        <v>4568967</v>
      </c>
      <c r="C8055" s="32">
        <v>43070.246331018519</v>
      </c>
    </row>
    <row r="8056" spans="1:3">
      <c r="A8056">
        <v>960761</v>
      </c>
      <c r="B8056">
        <v>1567637</v>
      </c>
      <c r="C8056" s="32">
        <v>43072.086678240739</v>
      </c>
    </row>
    <row r="8057" spans="1:3">
      <c r="A8057">
        <v>414083</v>
      </c>
      <c r="B8057">
        <v>4911958</v>
      </c>
      <c r="C8057" s="32">
        <v>43071.117581018516</v>
      </c>
    </row>
    <row r="8058" spans="1:3">
      <c r="A8058">
        <v>705065</v>
      </c>
      <c r="B8058">
        <v>1516409</v>
      </c>
      <c r="C8058" s="32">
        <v>43072.666354166664</v>
      </c>
    </row>
    <row r="8059" spans="1:3">
      <c r="A8059">
        <v>209635</v>
      </c>
      <c r="B8059">
        <v>1575622</v>
      </c>
      <c r="C8059" s="32">
        <v>43072.513819444444</v>
      </c>
    </row>
    <row r="8060" spans="1:3">
      <c r="A8060">
        <v>146368</v>
      </c>
      <c r="B8060">
        <v>1464116</v>
      </c>
      <c r="C8060" s="32">
        <v>43071.151898148149</v>
      </c>
    </row>
    <row r="8061" spans="1:3">
      <c r="A8061">
        <v>719890</v>
      </c>
      <c r="B8061">
        <v>1464116</v>
      </c>
      <c r="C8061" s="32">
        <v>43070.580451388887</v>
      </c>
    </row>
    <row r="8062" spans="1:3">
      <c r="A8062">
        <v>134839</v>
      </c>
      <c r="B8062">
        <v>3738615</v>
      </c>
      <c r="C8062" s="32">
        <v>43070.430289351854</v>
      </c>
    </row>
    <row r="8063" spans="1:3">
      <c r="A8063">
        <v>442917</v>
      </c>
      <c r="B8063">
        <v>4672807</v>
      </c>
      <c r="C8063" s="32">
        <v>43072.619490740741</v>
      </c>
    </row>
    <row r="8064" spans="1:3">
      <c r="A8064">
        <v>527407</v>
      </c>
      <c r="B8064">
        <v>2735466</v>
      </c>
      <c r="C8064" s="32">
        <v>43072.512037037035</v>
      </c>
    </row>
    <row r="8065" spans="1:3">
      <c r="A8065">
        <v>942128</v>
      </c>
      <c r="B8065">
        <v>1879194</v>
      </c>
      <c r="C8065" s="32">
        <v>43070.433310185188</v>
      </c>
    </row>
    <row r="8066" spans="1:3">
      <c r="A8066">
        <v>506055</v>
      </c>
      <c r="B8066">
        <v>3826089</v>
      </c>
      <c r="C8066" s="32">
        <v>43072.1953587963</v>
      </c>
    </row>
    <row r="8067" spans="1:3">
      <c r="A8067">
        <v>821240</v>
      </c>
      <c r="B8067">
        <v>3738615</v>
      </c>
      <c r="C8067" s="32">
        <v>43069.795740740738</v>
      </c>
    </row>
    <row r="8068" spans="1:3">
      <c r="A8068">
        <v>721860</v>
      </c>
      <c r="B8068">
        <v>383530</v>
      </c>
      <c r="C8068" s="32">
        <v>43071.397268518522</v>
      </c>
    </row>
    <row r="8069" spans="1:3">
      <c r="A8069">
        <v>938319</v>
      </c>
      <c r="B8069">
        <v>381850</v>
      </c>
      <c r="C8069" s="32">
        <v>43072.274409722224</v>
      </c>
    </row>
    <row r="8070" spans="1:3">
      <c r="A8070">
        <v>217094</v>
      </c>
      <c r="B8070">
        <v>3398567</v>
      </c>
      <c r="C8070" s="32">
        <v>43071.467499999999</v>
      </c>
    </row>
    <row r="8071" spans="1:3">
      <c r="A8071">
        <v>485222</v>
      </c>
      <c r="B8071">
        <v>3002561</v>
      </c>
      <c r="C8071" s="32">
        <v>43070.195636574077</v>
      </c>
    </row>
    <row r="8072" spans="1:3">
      <c r="A8072">
        <v>90061</v>
      </c>
      <c r="B8072">
        <v>411153</v>
      </c>
      <c r="C8072" s="32">
        <v>43070.742754629631</v>
      </c>
    </row>
    <row r="8073" spans="1:3">
      <c r="A8073">
        <v>726010</v>
      </c>
      <c r="B8073">
        <v>903809</v>
      </c>
      <c r="C8073" s="32">
        <v>43070.510706018518</v>
      </c>
    </row>
    <row r="8074" spans="1:3">
      <c r="A8074">
        <v>638654</v>
      </c>
      <c r="B8074">
        <v>982926</v>
      </c>
      <c r="C8074" s="32">
        <v>43070.99490740741</v>
      </c>
    </row>
    <row r="8075" spans="1:3">
      <c r="A8075">
        <v>632893</v>
      </c>
      <c r="B8075">
        <v>2706436</v>
      </c>
      <c r="C8075" s="32">
        <v>43072.141296296293</v>
      </c>
    </row>
    <row r="8076" spans="1:3">
      <c r="A8076">
        <v>522415</v>
      </c>
      <c r="B8076">
        <v>2465336</v>
      </c>
      <c r="C8076" s="32">
        <v>43072.472372685188</v>
      </c>
    </row>
    <row r="8077" spans="1:3">
      <c r="A8077">
        <v>807017</v>
      </c>
      <c r="B8077">
        <v>672001</v>
      </c>
      <c r="C8077" s="32">
        <v>43070.306527777779</v>
      </c>
    </row>
    <row r="8078" spans="1:3">
      <c r="A8078">
        <v>95433</v>
      </c>
      <c r="B8078">
        <v>428367</v>
      </c>
      <c r="C8078" s="32">
        <v>43072.010706018518</v>
      </c>
    </row>
    <row r="8079" spans="1:3">
      <c r="A8079">
        <v>640708</v>
      </c>
      <c r="B8079">
        <v>2465336</v>
      </c>
      <c r="C8079" s="32">
        <v>43072.422048611108</v>
      </c>
    </row>
    <row r="8080" spans="1:3">
      <c r="A8080">
        <v>555105</v>
      </c>
      <c r="B8080">
        <v>149192</v>
      </c>
      <c r="C8080" s="32">
        <v>43070.956689814811</v>
      </c>
    </row>
    <row r="8081" spans="1:3">
      <c r="A8081">
        <v>12458</v>
      </c>
      <c r="B8081">
        <v>4801426</v>
      </c>
      <c r="C8081" s="32">
        <v>43071.730555555558</v>
      </c>
    </row>
    <row r="8082" spans="1:3">
      <c r="A8082">
        <v>383758</v>
      </c>
      <c r="B8082">
        <v>838946</v>
      </c>
      <c r="C8082" s="32">
        <v>43071.24627314815</v>
      </c>
    </row>
    <row r="8083" spans="1:3">
      <c r="A8083">
        <v>523341</v>
      </c>
      <c r="B8083">
        <v>1299190</v>
      </c>
      <c r="C8083" s="32">
        <v>43072.524884259263</v>
      </c>
    </row>
    <row r="8084" spans="1:3">
      <c r="A8084">
        <v>67832</v>
      </c>
      <c r="B8084">
        <v>2782399</v>
      </c>
      <c r="C8084" s="32">
        <v>43071.419722222221</v>
      </c>
    </row>
    <row r="8085" spans="1:3">
      <c r="A8085">
        <v>154241</v>
      </c>
      <c r="B8085">
        <v>3848953</v>
      </c>
      <c r="C8085" s="32">
        <v>43071.12537037037</v>
      </c>
    </row>
    <row r="8086" spans="1:3">
      <c r="A8086">
        <v>97951</v>
      </c>
      <c r="B8086">
        <v>4069500</v>
      </c>
      <c r="C8086" s="32">
        <v>43070.519594907404</v>
      </c>
    </row>
    <row r="8087" spans="1:3">
      <c r="A8087">
        <v>609065</v>
      </c>
      <c r="B8087">
        <v>570735</v>
      </c>
      <c r="C8087" s="32">
        <v>43070.115243055552</v>
      </c>
    </row>
    <row r="8088" spans="1:3">
      <c r="A8088">
        <v>129446</v>
      </c>
      <c r="B8088">
        <v>3002561</v>
      </c>
      <c r="C8088" s="32">
        <v>43070.490787037037</v>
      </c>
    </row>
    <row r="8089" spans="1:3">
      <c r="A8089">
        <v>587646</v>
      </c>
      <c r="B8089">
        <v>982926</v>
      </c>
      <c r="C8089" s="32">
        <v>43071.58016203704</v>
      </c>
    </row>
    <row r="8090" spans="1:3">
      <c r="A8090">
        <v>564142</v>
      </c>
      <c r="B8090">
        <v>4281067</v>
      </c>
      <c r="C8090" s="32">
        <v>43070.25141203704</v>
      </c>
    </row>
    <row r="8091" spans="1:3">
      <c r="A8091">
        <v>291171</v>
      </c>
      <c r="B8091">
        <v>4756105</v>
      </c>
      <c r="C8091" s="32">
        <v>43070.396469907406</v>
      </c>
    </row>
    <row r="8092" spans="1:3">
      <c r="A8092">
        <v>339800</v>
      </c>
      <c r="B8092">
        <v>4697972</v>
      </c>
      <c r="C8092" s="32">
        <v>43070.53564814815</v>
      </c>
    </row>
    <row r="8093" spans="1:3">
      <c r="A8093">
        <v>387871</v>
      </c>
      <c r="B8093">
        <v>4801426</v>
      </c>
      <c r="C8093" s="32">
        <v>43071.358078703706</v>
      </c>
    </row>
    <row r="8094" spans="1:3">
      <c r="A8094">
        <v>73121</v>
      </c>
      <c r="B8094">
        <v>982926</v>
      </c>
      <c r="C8094" s="32">
        <v>43072.394571759258</v>
      </c>
    </row>
    <row r="8095" spans="1:3">
      <c r="A8095">
        <v>264076</v>
      </c>
      <c r="B8095">
        <v>982926</v>
      </c>
      <c r="C8095" s="32">
        <v>43071.688414351855</v>
      </c>
    </row>
    <row r="8096" spans="1:3">
      <c r="A8096">
        <v>501006</v>
      </c>
      <c r="B8096">
        <v>2181935</v>
      </c>
      <c r="C8096" s="32">
        <v>43071.140208333331</v>
      </c>
    </row>
    <row r="8097" spans="1:3">
      <c r="A8097">
        <v>646947</v>
      </c>
      <c r="B8097">
        <v>3002561</v>
      </c>
      <c r="C8097" s="32">
        <v>43071.247442129628</v>
      </c>
    </row>
    <row r="8098" spans="1:3">
      <c r="A8098">
        <v>549324</v>
      </c>
      <c r="B8098">
        <v>2926020</v>
      </c>
      <c r="C8098" s="32">
        <v>43071.30190972222</v>
      </c>
    </row>
    <row r="8099" spans="1:3">
      <c r="A8099">
        <v>790779</v>
      </c>
      <c r="B8099">
        <v>2331312</v>
      </c>
      <c r="C8099" s="32">
        <v>43070.329918981479</v>
      </c>
    </row>
    <row r="8100" spans="1:3">
      <c r="A8100">
        <v>248476</v>
      </c>
      <c r="B8100">
        <v>4804883</v>
      </c>
      <c r="C8100" s="32">
        <v>43072.136550925927</v>
      </c>
    </row>
    <row r="8101" spans="1:3">
      <c r="A8101">
        <v>766688</v>
      </c>
      <c r="B8101">
        <v>4715650</v>
      </c>
      <c r="C8101" s="32">
        <v>43070.527685185189</v>
      </c>
    </row>
    <row r="8102" spans="1:3">
      <c r="A8102">
        <v>431299</v>
      </c>
      <c r="B8102">
        <v>119741</v>
      </c>
      <c r="C8102" s="32">
        <v>43071.37804398148</v>
      </c>
    </row>
    <row r="8103" spans="1:3">
      <c r="A8103">
        <v>52564</v>
      </c>
      <c r="B8103">
        <v>3004853</v>
      </c>
      <c r="C8103" s="32">
        <v>43070.143113425926</v>
      </c>
    </row>
    <row r="8104" spans="1:3">
      <c r="A8104">
        <v>255143</v>
      </c>
      <c r="B8104">
        <v>2920476</v>
      </c>
      <c r="C8104" s="32">
        <v>43072.040590277778</v>
      </c>
    </row>
    <row r="8105" spans="1:3">
      <c r="A8105">
        <v>357830</v>
      </c>
      <c r="B8105">
        <v>2532699</v>
      </c>
      <c r="C8105" s="32">
        <v>43072.33017361111</v>
      </c>
    </row>
    <row r="8106" spans="1:3">
      <c r="A8106">
        <v>556227</v>
      </c>
      <c r="B8106">
        <v>982926</v>
      </c>
      <c r="C8106" s="32">
        <v>43071.583298611113</v>
      </c>
    </row>
    <row r="8107" spans="1:3">
      <c r="A8107">
        <v>193613</v>
      </c>
      <c r="B8107">
        <v>2228184</v>
      </c>
      <c r="C8107" s="32">
        <v>43071.245358796295</v>
      </c>
    </row>
    <row r="8108" spans="1:3">
      <c r="A8108">
        <v>689370</v>
      </c>
      <c r="B8108">
        <v>1320293</v>
      </c>
      <c r="C8108" s="32">
        <v>43071.147303240738</v>
      </c>
    </row>
    <row r="8109" spans="1:3">
      <c r="A8109">
        <v>668186</v>
      </c>
      <c r="B8109">
        <v>2355072</v>
      </c>
      <c r="C8109" s="32">
        <v>43070.847870370373</v>
      </c>
    </row>
    <row r="8110" spans="1:3">
      <c r="A8110">
        <v>145312</v>
      </c>
      <c r="B8110">
        <v>5071267</v>
      </c>
      <c r="C8110" s="32">
        <v>43072.653668981482</v>
      </c>
    </row>
    <row r="8111" spans="1:3">
      <c r="A8111">
        <v>739631</v>
      </c>
      <c r="B8111">
        <v>2321441</v>
      </c>
      <c r="C8111" s="32">
        <v>43069.693206018521</v>
      </c>
    </row>
    <row r="8112" spans="1:3">
      <c r="A8112">
        <v>830294</v>
      </c>
      <c r="B8112">
        <v>4583884</v>
      </c>
      <c r="C8112" s="32">
        <v>43072.210486111115</v>
      </c>
    </row>
    <row r="8113" spans="1:3">
      <c r="A8113">
        <v>46686</v>
      </c>
      <c r="B8113">
        <v>4801426</v>
      </c>
      <c r="C8113" s="32">
        <v>43070.33184027778</v>
      </c>
    </row>
    <row r="8114" spans="1:3">
      <c r="A8114">
        <v>638125</v>
      </c>
      <c r="B8114">
        <v>3604509</v>
      </c>
      <c r="C8114" s="32">
        <v>43071.791030092594</v>
      </c>
    </row>
    <row r="8115" spans="1:3">
      <c r="A8115">
        <v>1006022</v>
      </c>
      <c r="B8115">
        <v>2520377</v>
      </c>
      <c r="C8115" s="32">
        <v>43072.53806712963</v>
      </c>
    </row>
    <row r="8116" spans="1:3">
      <c r="A8116">
        <v>144515</v>
      </c>
      <c r="B8116">
        <v>5150761</v>
      </c>
      <c r="C8116" s="32">
        <v>43070.611886574072</v>
      </c>
    </row>
    <row r="8117" spans="1:3">
      <c r="A8117">
        <v>423361</v>
      </c>
      <c r="B8117">
        <v>846990</v>
      </c>
      <c r="C8117" s="32">
        <v>43072.197766203702</v>
      </c>
    </row>
    <row r="8118" spans="1:3">
      <c r="A8118">
        <v>880977</v>
      </c>
      <c r="B8118">
        <v>4601757</v>
      </c>
      <c r="C8118" s="32">
        <v>43070.517071759263</v>
      </c>
    </row>
    <row r="8119" spans="1:3">
      <c r="A8119">
        <v>251091</v>
      </c>
      <c r="B8119">
        <v>982926</v>
      </c>
      <c r="C8119" s="32">
        <v>43072.274456018517</v>
      </c>
    </row>
    <row r="8120" spans="1:3">
      <c r="A8120">
        <v>476429</v>
      </c>
      <c r="B8120">
        <v>3547172</v>
      </c>
      <c r="C8120" s="32">
        <v>43069.952048611114</v>
      </c>
    </row>
    <row r="8121" spans="1:3">
      <c r="A8121">
        <v>984143</v>
      </c>
      <c r="B8121">
        <v>2578647</v>
      </c>
      <c r="C8121" s="32">
        <v>43072.568877314814</v>
      </c>
    </row>
    <row r="8122" spans="1:3">
      <c r="A8122">
        <v>208778</v>
      </c>
      <c r="B8122">
        <v>4160459</v>
      </c>
      <c r="C8122" s="32">
        <v>43072.320347222223</v>
      </c>
    </row>
    <row r="8123" spans="1:3">
      <c r="A8123">
        <v>737996</v>
      </c>
      <c r="B8123">
        <v>1286537</v>
      </c>
      <c r="C8123" s="32">
        <v>43072.37290509259</v>
      </c>
    </row>
    <row r="8124" spans="1:3">
      <c r="A8124">
        <v>944896</v>
      </c>
      <c r="B8124">
        <v>4197505</v>
      </c>
      <c r="C8124" s="32">
        <v>43071.136562500003</v>
      </c>
    </row>
    <row r="8125" spans="1:3">
      <c r="A8125">
        <v>847694</v>
      </c>
      <c r="B8125">
        <v>4919077</v>
      </c>
      <c r="C8125" s="32">
        <v>43071.304699074077</v>
      </c>
    </row>
    <row r="8126" spans="1:3">
      <c r="A8126">
        <v>796775</v>
      </c>
      <c r="B8126">
        <v>2440115</v>
      </c>
      <c r="C8126" s="32">
        <v>43072.038078703707</v>
      </c>
    </row>
    <row r="8127" spans="1:3">
      <c r="A8127">
        <v>48444</v>
      </c>
      <c r="B8127">
        <v>3141832</v>
      </c>
      <c r="C8127" s="32">
        <v>43072.648657407408</v>
      </c>
    </row>
    <row r="8128" spans="1:3">
      <c r="A8128">
        <v>118088</v>
      </c>
      <c r="B8128">
        <v>4331400</v>
      </c>
      <c r="C8128" s="32">
        <v>43071.63449074074</v>
      </c>
    </row>
    <row r="8129" spans="1:3">
      <c r="A8129">
        <v>192261</v>
      </c>
      <c r="B8129">
        <v>883960</v>
      </c>
      <c r="C8129" s="32">
        <v>43071.62394675926</v>
      </c>
    </row>
    <row r="8130" spans="1:3">
      <c r="A8130">
        <v>491938</v>
      </c>
      <c r="B8130">
        <v>4921805</v>
      </c>
      <c r="C8130" s="32">
        <v>43071.658472222225</v>
      </c>
    </row>
    <row r="8131" spans="1:3">
      <c r="A8131">
        <v>708173</v>
      </c>
      <c r="B8131">
        <v>922588</v>
      </c>
      <c r="C8131" s="32">
        <v>43072.434999999998</v>
      </c>
    </row>
    <row r="8132" spans="1:3">
      <c r="A8132">
        <v>453518</v>
      </c>
      <c r="B8132">
        <v>4145813</v>
      </c>
      <c r="C8132" s="32">
        <v>43072.329305555555</v>
      </c>
    </row>
    <row r="8133" spans="1:3">
      <c r="A8133">
        <v>194382</v>
      </c>
      <c r="B8133">
        <v>570735</v>
      </c>
      <c r="C8133" s="32">
        <v>43070.660104166665</v>
      </c>
    </row>
    <row r="8134" spans="1:3">
      <c r="A8134">
        <v>740071</v>
      </c>
      <c r="B8134">
        <v>321567</v>
      </c>
      <c r="C8134" s="32">
        <v>43071.466064814813</v>
      </c>
    </row>
    <row r="8135" spans="1:3">
      <c r="A8135">
        <v>276271</v>
      </c>
      <c r="B8135">
        <v>1467314</v>
      </c>
      <c r="C8135" s="32">
        <v>43071.447106481479</v>
      </c>
    </row>
    <row r="8136" spans="1:3">
      <c r="A8136">
        <v>24256</v>
      </c>
      <c r="B8136">
        <v>4756105</v>
      </c>
      <c r="C8136" s="32">
        <v>43072.045324074075</v>
      </c>
    </row>
    <row r="8137" spans="1:3">
      <c r="A8137">
        <v>797565</v>
      </c>
      <c r="B8137">
        <v>2520377</v>
      </c>
      <c r="C8137" s="32">
        <v>43070.635462962964</v>
      </c>
    </row>
    <row r="8138" spans="1:3">
      <c r="A8138">
        <v>425323</v>
      </c>
      <c r="B8138">
        <v>1299190</v>
      </c>
      <c r="C8138" s="32">
        <v>43070.563622685186</v>
      </c>
    </row>
    <row r="8139" spans="1:3">
      <c r="A8139">
        <v>682336</v>
      </c>
      <c r="B8139">
        <v>4357323</v>
      </c>
      <c r="C8139" s="32">
        <v>43071.687569444446</v>
      </c>
    </row>
    <row r="8140" spans="1:3">
      <c r="A8140">
        <v>876852</v>
      </c>
      <c r="B8140">
        <v>3138705</v>
      </c>
      <c r="C8140" s="32">
        <v>43071.291539351849</v>
      </c>
    </row>
    <row r="8141" spans="1:3">
      <c r="A8141">
        <v>265102</v>
      </c>
      <c r="B8141">
        <v>4756105</v>
      </c>
      <c r="C8141" s="32">
        <v>43069.724722222221</v>
      </c>
    </row>
    <row r="8142" spans="1:3">
      <c r="A8142">
        <v>464097</v>
      </c>
      <c r="B8142">
        <v>2148681</v>
      </c>
      <c r="C8142" s="32">
        <v>43072.146168981482</v>
      </c>
    </row>
    <row r="8143" spans="1:3">
      <c r="A8143">
        <v>885876</v>
      </c>
      <c r="B8143">
        <v>3123784</v>
      </c>
      <c r="C8143" s="32">
        <v>43071.163449074076</v>
      </c>
    </row>
    <row r="8144" spans="1:3">
      <c r="A8144">
        <v>591904</v>
      </c>
      <c r="B8144">
        <v>4643350</v>
      </c>
      <c r="C8144" s="32">
        <v>43070.658101851855</v>
      </c>
    </row>
    <row r="8145" spans="1:3">
      <c r="A8145">
        <v>237930</v>
      </c>
      <c r="B8145">
        <v>1575622</v>
      </c>
      <c r="C8145" s="32">
        <v>43070.480462962965</v>
      </c>
    </row>
    <row r="8146" spans="1:3">
      <c r="A8146">
        <v>854217</v>
      </c>
      <c r="B8146">
        <v>3299155</v>
      </c>
      <c r="C8146" s="32">
        <v>43070.993738425925</v>
      </c>
    </row>
    <row r="8147" spans="1:3">
      <c r="A8147">
        <v>755249</v>
      </c>
      <c r="B8147">
        <v>2596428</v>
      </c>
      <c r="C8147" s="32">
        <v>43071.640023148146</v>
      </c>
    </row>
    <row r="8148" spans="1:3">
      <c r="A8148">
        <v>866507</v>
      </c>
      <c r="B8148">
        <v>411153</v>
      </c>
      <c r="C8148" s="32">
        <v>43072.614942129629</v>
      </c>
    </row>
    <row r="8149" spans="1:3">
      <c r="A8149">
        <v>250293</v>
      </c>
      <c r="B8149">
        <v>622168</v>
      </c>
      <c r="C8149" s="32">
        <v>43071.7262962963</v>
      </c>
    </row>
    <row r="8150" spans="1:3">
      <c r="A8150">
        <v>391411</v>
      </c>
      <c r="B8150">
        <v>1787510</v>
      </c>
      <c r="C8150" s="32">
        <v>43070.536550925928</v>
      </c>
    </row>
    <row r="8151" spans="1:3">
      <c r="A8151">
        <v>183552</v>
      </c>
      <c r="B8151">
        <v>2465336</v>
      </c>
      <c r="C8151" s="32">
        <v>43071.584710648145</v>
      </c>
    </row>
    <row r="8152" spans="1:3">
      <c r="A8152">
        <v>5000</v>
      </c>
      <c r="B8152">
        <v>4022701</v>
      </c>
      <c r="C8152" s="32">
        <v>43070.547731481478</v>
      </c>
    </row>
    <row r="8153" spans="1:3">
      <c r="A8153">
        <v>761839</v>
      </c>
      <c r="B8153">
        <v>4181361</v>
      </c>
      <c r="C8153" s="32">
        <v>43070.587592592594</v>
      </c>
    </row>
    <row r="8154" spans="1:3">
      <c r="A8154">
        <v>402769</v>
      </c>
      <c r="B8154">
        <v>2578647</v>
      </c>
      <c r="C8154" s="32">
        <v>43071.581041666665</v>
      </c>
    </row>
    <row r="8155" spans="1:3">
      <c r="A8155">
        <v>499288</v>
      </c>
      <c r="B8155">
        <v>2465336</v>
      </c>
      <c r="C8155" s="32">
        <v>43071.561585648145</v>
      </c>
    </row>
    <row r="8156" spans="1:3">
      <c r="A8156">
        <v>108165</v>
      </c>
      <c r="B8156">
        <v>1585420</v>
      </c>
      <c r="C8156" s="32">
        <v>43069.698483796295</v>
      </c>
    </row>
    <row r="8157" spans="1:3">
      <c r="A8157">
        <v>277918</v>
      </c>
      <c r="B8157">
        <v>4801426</v>
      </c>
      <c r="C8157" s="32">
        <v>43070.392951388887</v>
      </c>
    </row>
    <row r="8158" spans="1:3">
      <c r="A8158">
        <v>281461</v>
      </c>
      <c r="B8158">
        <v>4756105</v>
      </c>
      <c r="C8158" s="32">
        <v>43070.637199074074</v>
      </c>
    </row>
    <row r="8159" spans="1:3">
      <c r="A8159">
        <v>672510</v>
      </c>
      <c r="B8159">
        <v>155172</v>
      </c>
      <c r="C8159" s="32">
        <v>43071.507175925923</v>
      </c>
    </row>
    <row r="8160" spans="1:3">
      <c r="A8160">
        <v>385392</v>
      </c>
      <c r="B8160">
        <v>119741</v>
      </c>
      <c r="C8160" s="32">
        <v>43070.510972222219</v>
      </c>
    </row>
    <row r="8161" spans="1:3">
      <c r="A8161">
        <v>90559</v>
      </c>
      <c r="B8161">
        <v>3669044</v>
      </c>
      <c r="C8161" s="32">
        <v>43070.671006944445</v>
      </c>
    </row>
    <row r="8162" spans="1:3">
      <c r="A8162">
        <v>700163</v>
      </c>
      <c r="B8162">
        <v>283109</v>
      </c>
      <c r="C8162" s="32">
        <v>43070.466678240744</v>
      </c>
    </row>
    <row r="8163" spans="1:3">
      <c r="A8163">
        <v>818616</v>
      </c>
      <c r="B8163">
        <v>2355072</v>
      </c>
      <c r="C8163" s="32">
        <v>43071.604178240741</v>
      </c>
    </row>
    <row r="8164" spans="1:3">
      <c r="A8164">
        <v>594312</v>
      </c>
      <c r="B8164">
        <v>2465336</v>
      </c>
      <c r="C8164" s="32">
        <v>43071.309583333335</v>
      </c>
    </row>
    <row r="8165" spans="1:3">
      <c r="A8165">
        <v>11543</v>
      </c>
      <c r="B8165">
        <v>2939262</v>
      </c>
      <c r="C8165" s="32">
        <v>43070.349687499998</v>
      </c>
    </row>
    <row r="8166" spans="1:3">
      <c r="A8166">
        <v>701229</v>
      </c>
      <c r="B8166">
        <v>965809</v>
      </c>
      <c r="C8166" s="32">
        <v>43070.442453703705</v>
      </c>
    </row>
    <row r="8167" spans="1:3">
      <c r="A8167">
        <v>1004540</v>
      </c>
      <c r="B8167">
        <v>4086613</v>
      </c>
      <c r="C8167" s="32">
        <v>43070.448564814818</v>
      </c>
    </row>
    <row r="8168" spans="1:3">
      <c r="A8168">
        <v>986294</v>
      </c>
      <c r="B8168">
        <v>3189162</v>
      </c>
      <c r="C8168" s="32">
        <v>43072.496851851851</v>
      </c>
    </row>
    <row r="8169" spans="1:3">
      <c r="A8169">
        <v>41528</v>
      </c>
      <c r="B8169">
        <v>886203</v>
      </c>
      <c r="C8169" s="32">
        <v>43071.236909722225</v>
      </c>
    </row>
    <row r="8170" spans="1:3">
      <c r="A8170">
        <v>91838</v>
      </c>
      <c r="B8170">
        <v>1464116</v>
      </c>
      <c r="C8170" s="32">
        <v>43070.584351851852</v>
      </c>
    </row>
    <row r="8171" spans="1:3">
      <c r="A8171">
        <v>513678</v>
      </c>
      <c r="B8171">
        <v>4789432</v>
      </c>
      <c r="C8171" s="32">
        <v>43070.403078703705</v>
      </c>
    </row>
    <row r="8172" spans="1:3">
      <c r="A8172">
        <v>672249</v>
      </c>
      <c r="B8172">
        <v>4069129</v>
      </c>
      <c r="C8172" s="32">
        <v>43071.693356481483</v>
      </c>
    </row>
    <row r="8173" spans="1:3">
      <c r="A8173">
        <v>492139</v>
      </c>
      <c r="B8173">
        <v>3465932</v>
      </c>
      <c r="C8173" s="32">
        <v>43070.204074074078</v>
      </c>
    </row>
    <row r="8174" spans="1:3">
      <c r="A8174">
        <v>317534</v>
      </c>
      <c r="B8174">
        <v>3598912</v>
      </c>
      <c r="C8174" s="32">
        <v>43071.2184375</v>
      </c>
    </row>
    <row r="8175" spans="1:3">
      <c r="A8175">
        <v>483985</v>
      </c>
      <c r="B8175">
        <v>425574</v>
      </c>
      <c r="C8175" s="32">
        <v>43072.504247685189</v>
      </c>
    </row>
    <row r="8176" spans="1:3">
      <c r="A8176">
        <v>444413</v>
      </c>
      <c r="B8176">
        <v>3273035</v>
      </c>
      <c r="C8176" s="32">
        <v>43071.230902777781</v>
      </c>
    </row>
    <row r="8177" spans="1:3">
      <c r="A8177">
        <v>281751</v>
      </c>
      <c r="B8177">
        <v>4181361</v>
      </c>
      <c r="C8177" s="32">
        <v>43072.295300925929</v>
      </c>
    </row>
    <row r="8178" spans="1:3">
      <c r="A8178">
        <v>747321</v>
      </c>
      <c r="B8178">
        <v>982926</v>
      </c>
      <c r="C8178" s="32">
        <v>43071.588958333334</v>
      </c>
    </row>
    <row r="8179" spans="1:3">
      <c r="A8179">
        <v>803522</v>
      </c>
      <c r="B8179">
        <v>2640118</v>
      </c>
      <c r="C8179" s="32">
        <v>43071.052141203705</v>
      </c>
    </row>
    <row r="8180" spans="1:3">
      <c r="A8180">
        <v>348035</v>
      </c>
      <c r="B8180">
        <v>2465336</v>
      </c>
      <c r="C8180" s="32">
        <v>43070.737592592595</v>
      </c>
    </row>
    <row r="8181" spans="1:3">
      <c r="A8181">
        <v>785357</v>
      </c>
      <c r="B8181">
        <v>1051370</v>
      </c>
      <c r="C8181" s="32">
        <v>43071.108703703707</v>
      </c>
    </row>
    <row r="8182" spans="1:3">
      <c r="A8182">
        <v>1006588</v>
      </c>
      <c r="B8182">
        <v>3455617</v>
      </c>
      <c r="C8182" s="32">
        <v>43071.428090277775</v>
      </c>
    </row>
    <row r="8183" spans="1:3">
      <c r="A8183">
        <v>607923</v>
      </c>
      <c r="B8183">
        <v>2735466</v>
      </c>
      <c r="C8183" s="32">
        <v>43070.611215277779</v>
      </c>
    </row>
    <row r="8184" spans="1:3">
      <c r="A8184">
        <v>599794</v>
      </c>
      <c r="B8184">
        <v>4242717</v>
      </c>
      <c r="C8184" s="32">
        <v>43072.483067129629</v>
      </c>
    </row>
    <row r="8185" spans="1:3">
      <c r="A8185">
        <v>633908</v>
      </c>
      <c r="B8185">
        <v>411153</v>
      </c>
      <c r="C8185" s="32">
        <v>43070.675092592595</v>
      </c>
    </row>
    <row r="8186" spans="1:3">
      <c r="A8186">
        <v>779460</v>
      </c>
      <c r="B8186">
        <v>2196412</v>
      </c>
      <c r="C8186" s="32">
        <v>43071.751666666663</v>
      </c>
    </row>
    <row r="8187" spans="1:3">
      <c r="A8187">
        <v>939777</v>
      </c>
      <c r="B8187">
        <v>2355072</v>
      </c>
      <c r="C8187" s="32">
        <v>43070.141342592593</v>
      </c>
    </row>
    <row r="8188" spans="1:3">
      <c r="A8188">
        <v>370051</v>
      </c>
      <c r="B8188">
        <v>4170419</v>
      </c>
      <c r="C8188" s="32">
        <v>43070.488749999997</v>
      </c>
    </row>
    <row r="8189" spans="1:3">
      <c r="A8189">
        <v>29947</v>
      </c>
      <c r="B8189">
        <v>3645362</v>
      </c>
      <c r="C8189" s="32">
        <v>43070.253310185188</v>
      </c>
    </row>
    <row r="8190" spans="1:3">
      <c r="A8190">
        <v>740340</v>
      </c>
      <c r="B8190">
        <v>3002561</v>
      </c>
      <c r="C8190" s="32">
        <v>43072.550555555557</v>
      </c>
    </row>
    <row r="8191" spans="1:3">
      <c r="A8191">
        <v>337275</v>
      </c>
      <c r="B8191">
        <v>2033408</v>
      </c>
      <c r="C8191" s="32">
        <v>43072.138321759259</v>
      </c>
    </row>
    <row r="8192" spans="1:3">
      <c r="A8192">
        <v>467309</v>
      </c>
      <c r="B8192">
        <v>4756105</v>
      </c>
      <c r="C8192" s="32">
        <v>43070.157002314816</v>
      </c>
    </row>
    <row r="8193" spans="1:3">
      <c r="A8193">
        <v>301652</v>
      </c>
      <c r="B8193">
        <v>753984</v>
      </c>
      <c r="C8193" s="32">
        <v>43071.558182870373</v>
      </c>
    </row>
    <row r="8194" spans="1:3">
      <c r="A8194">
        <v>659758</v>
      </c>
      <c r="B8194">
        <v>4339722</v>
      </c>
      <c r="C8194" s="32">
        <v>43072.010312500002</v>
      </c>
    </row>
    <row r="8195" spans="1:3">
      <c r="A8195">
        <v>60163</v>
      </c>
      <c r="B8195">
        <v>1834026</v>
      </c>
      <c r="C8195" s="32">
        <v>43071.637777777774</v>
      </c>
    </row>
    <row r="8196" spans="1:3">
      <c r="A8196">
        <v>851325</v>
      </c>
      <c r="B8196">
        <v>2939262</v>
      </c>
      <c r="C8196" s="32">
        <v>43070.612083333333</v>
      </c>
    </row>
    <row r="8197" spans="1:3">
      <c r="A8197">
        <v>1156</v>
      </c>
      <c r="B8197">
        <v>1928278</v>
      </c>
      <c r="C8197" s="32">
        <v>43072.251620370371</v>
      </c>
    </row>
    <row r="8198" spans="1:3">
      <c r="A8198">
        <v>413860</v>
      </c>
      <c r="B8198">
        <v>4217906</v>
      </c>
      <c r="C8198" s="32">
        <v>43071.364062499997</v>
      </c>
    </row>
    <row r="8199" spans="1:3">
      <c r="A8199">
        <v>798937</v>
      </c>
      <c r="B8199">
        <v>3004853</v>
      </c>
      <c r="C8199" s="32">
        <v>43072.395381944443</v>
      </c>
    </row>
    <row r="8200" spans="1:3">
      <c r="A8200">
        <v>639236</v>
      </c>
      <c r="B8200">
        <v>4357323</v>
      </c>
      <c r="C8200" s="32">
        <v>43071.629537037035</v>
      </c>
    </row>
    <row r="8201" spans="1:3">
      <c r="A8201">
        <v>908247</v>
      </c>
      <c r="B8201">
        <v>3673049</v>
      </c>
      <c r="C8201" s="32">
        <v>43071.512592592589</v>
      </c>
    </row>
    <row r="8202" spans="1:3">
      <c r="A8202">
        <v>506106</v>
      </c>
      <c r="B8202">
        <v>267209</v>
      </c>
      <c r="C8202" s="32">
        <v>43072.288310185184</v>
      </c>
    </row>
    <row r="8203" spans="1:3">
      <c r="A8203">
        <v>260452</v>
      </c>
      <c r="B8203">
        <v>1674316</v>
      </c>
      <c r="C8203" s="32">
        <v>43071.467291666668</v>
      </c>
    </row>
    <row r="8204" spans="1:3">
      <c r="A8204">
        <v>810155</v>
      </c>
      <c r="B8204">
        <v>4784593</v>
      </c>
      <c r="C8204" s="32">
        <v>43070.000798611109</v>
      </c>
    </row>
    <row r="8205" spans="1:3">
      <c r="A8205">
        <v>438343</v>
      </c>
      <c r="B8205">
        <v>4357323</v>
      </c>
      <c r="C8205" s="32">
        <v>43070.417766203704</v>
      </c>
    </row>
    <row r="8206" spans="1:3">
      <c r="A8206">
        <v>580223</v>
      </c>
      <c r="B8206">
        <v>2355072</v>
      </c>
      <c r="C8206" s="32">
        <v>43070.253634259258</v>
      </c>
    </row>
    <row r="8207" spans="1:3">
      <c r="A8207">
        <v>305952</v>
      </c>
      <c r="B8207">
        <v>3002561</v>
      </c>
      <c r="C8207" s="32">
        <v>43070.139849537038</v>
      </c>
    </row>
    <row r="8208" spans="1:3">
      <c r="A8208">
        <v>90553</v>
      </c>
      <c r="B8208">
        <v>4801426</v>
      </c>
      <c r="C8208" s="32">
        <v>43072.611250000002</v>
      </c>
    </row>
    <row r="8209" spans="1:3">
      <c r="A8209">
        <v>284035</v>
      </c>
      <c r="B8209">
        <v>2026832</v>
      </c>
      <c r="C8209" s="32">
        <v>43070.617523148147</v>
      </c>
    </row>
    <row r="8210" spans="1:3">
      <c r="A8210">
        <v>288292</v>
      </c>
      <c r="B8210">
        <v>1451814</v>
      </c>
      <c r="C8210" s="32">
        <v>43072.308541666665</v>
      </c>
    </row>
    <row r="8211" spans="1:3">
      <c r="A8211">
        <v>54599</v>
      </c>
      <c r="B8211">
        <v>3231625</v>
      </c>
      <c r="C8211" s="32">
        <v>43071.22828703704</v>
      </c>
    </row>
    <row r="8212" spans="1:3">
      <c r="A8212">
        <v>520823</v>
      </c>
      <c r="B8212">
        <v>4756105</v>
      </c>
      <c r="C8212" s="32">
        <v>43072.149421296293</v>
      </c>
    </row>
    <row r="8213" spans="1:3">
      <c r="A8213">
        <v>803524</v>
      </c>
      <c r="B8213">
        <v>3004853</v>
      </c>
      <c r="C8213" s="32">
        <v>43071.591296296298</v>
      </c>
    </row>
    <row r="8214" spans="1:3">
      <c r="A8214">
        <v>500284</v>
      </c>
      <c r="B8214">
        <v>3607361</v>
      </c>
      <c r="C8214" s="32">
        <v>43071.568287037036</v>
      </c>
    </row>
    <row r="8215" spans="1:3">
      <c r="A8215">
        <v>446434</v>
      </c>
      <c r="B8215">
        <v>2355072</v>
      </c>
      <c r="C8215" s="32">
        <v>43071.367592592593</v>
      </c>
    </row>
    <row r="8216" spans="1:3">
      <c r="A8216">
        <v>373190</v>
      </c>
      <c r="B8216">
        <v>3681810</v>
      </c>
      <c r="C8216" s="32">
        <v>43071.342673611114</v>
      </c>
    </row>
    <row r="8217" spans="1:3">
      <c r="A8217">
        <v>148237</v>
      </c>
      <c r="B8217">
        <v>1464116</v>
      </c>
      <c r="C8217" s="32">
        <v>43071.298680555556</v>
      </c>
    </row>
    <row r="8218" spans="1:3">
      <c r="A8218">
        <v>768749</v>
      </c>
      <c r="B8218">
        <v>4078898</v>
      </c>
      <c r="C8218" s="32">
        <v>43072.191423611112</v>
      </c>
    </row>
    <row r="8219" spans="1:3">
      <c r="A8219">
        <v>776082</v>
      </c>
      <c r="B8219">
        <v>1467750</v>
      </c>
      <c r="C8219" s="32">
        <v>43071.207766203705</v>
      </c>
    </row>
    <row r="8220" spans="1:3">
      <c r="A8220">
        <v>538218</v>
      </c>
      <c r="B8220">
        <v>3607361</v>
      </c>
      <c r="C8220" s="32">
        <v>43071.592094907406</v>
      </c>
    </row>
    <row r="8221" spans="1:3">
      <c r="A8221">
        <v>212194</v>
      </c>
      <c r="B8221">
        <v>4697972</v>
      </c>
      <c r="C8221" s="32">
        <v>43072.556296296294</v>
      </c>
    </row>
    <row r="8222" spans="1:3">
      <c r="A8222">
        <v>91688</v>
      </c>
      <c r="B8222">
        <v>1080785</v>
      </c>
      <c r="C8222" s="32">
        <v>43071.6015625</v>
      </c>
    </row>
    <row r="8223" spans="1:3">
      <c r="A8223">
        <v>144709</v>
      </c>
      <c r="B8223">
        <v>2465336</v>
      </c>
      <c r="C8223" s="32">
        <v>43071.038900462961</v>
      </c>
    </row>
    <row r="8224" spans="1:3">
      <c r="A8224">
        <v>503692</v>
      </c>
      <c r="B8224">
        <v>1051370</v>
      </c>
      <c r="C8224" s="32">
        <v>43070.640833333331</v>
      </c>
    </row>
    <row r="8225" spans="1:3">
      <c r="A8225">
        <v>841328</v>
      </c>
      <c r="B8225">
        <v>4181361</v>
      </c>
      <c r="C8225" s="32">
        <v>43070.42459490741</v>
      </c>
    </row>
    <row r="8226" spans="1:3">
      <c r="A8226">
        <v>571292</v>
      </c>
      <c r="B8226">
        <v>366112</v>
      </c>
      <c r="C8226" s="32">
        <v>43070.113726851851</v>
      </c>
    </row>
    <row r="8227" spans="1:3">
      <c r="A8227">
        <v>333366</v>
      </c>
      <c r="B8227">
        <v>4756105</v>
      </c>
      <c r="C8227" s="32">
        <v>43071.359652777777</v>
      </c>
    </row>
    <row r="8228" spans="1:3">
      <c r="A8228">
        <v>634037</v>
      </c>
      <c r="B8228">
        <v>2355072</v>
      </c>
      <c r="C8228" s="32">
        <v>43072.012800925928</v>
      </c>
    </row>
    <row r="8229" spans="1:3">
      <c r="A8229">
        <v>119371</v>
      </c>
      <c r="B8229">
        <v>903809</v>
      </c>
      <c r="C8229" s="32">
        <v>43071.601481481484</v>
      </c>
    </row>
    <row r="8230" spans="1:3">
      <c r="A8230">
        <v>775002</v>
      </c>
      <c r="B8230">
        <v>570735</v>
      </c>
      <c r="C8230" s="32">
        <v>43070.253553240742</v>
      </c>
    </row>
    <row r="8231" spans="1:3">
      <c r="A8231">
        <v>12705</v>
      </c>
      <c r="B8231">
        <v>1879194</v>
      </c>
      <c r="C8231" s="32">
        <v>43072.569675925923</v>
      </c>
    </row>
    <row r="8232" spans="1:3">
      <c r="A8232">
        <v>212364</v>
      </c>
      <c r="B8232">
        <v>1859277</v>
      </c>
      <c r="C8232" s="32">
        <v>43070.167685185188</v>
      </c>
    </row>
    <row r="8233" spans="1:3">
      <c r="A8233">
        <v>175059</v>
      </c>
      <c r="B8233">
        <v>4181361</v>
      </c>
      <c r="C8233" s="32">
        <v>43070.492604166669</v>
      </c>
    </row>
    <row r="8234" spans="1:3">
      <c r="A8234">
        <v>480739</v>
      </c>
      <c r="B8234">
        <v>3598912</v>
      </c>
      <c r="C8234" s="32">
        <v>43069.670729166668</v>
      </c>
    </row>
    <row r="8235" spans="1:3">
      <c r="A8235">
        <v>57459</v>
      </c>
      <c r="B8235">
        <v>1068933</v>
      </c>
      <c r="C8235" s="32">
        <v>43072.620162037034</v>
      </c>
    </row>
    <row r="8236" spans="1:3">
      <c r="A8236">
        <v>42996</v>
      </c>
      <c r="B8236">
        <v>2026907</v>
      </c>
      <c r="C8236" s="32">
        <v>43070.486643518518</v>
      </c>
    </row>
    <row r="8237" spans="1:3">
      <c r="A8237">
        <v>48282</v>
      </c>
      <c r="B8237">
        <v>3738615</v>
      </c>
      <c r="C8237" s="32">
        <v>43070.372615740744</v>
      </c>
    </row>
    <row r="8238" spans="1:3">
      <c r="A8238">
        <v>335448</v>
      </c>
      <c r="B8238">
        <v>5103246</v>
      </c>
      <c r="C8238" s="32">
        <v>43070.212650462963</v>
      </c>
    </row>
    <row r="8239" spans="1:3">
      <c r="A8239">
        <v>609139</v>
      </c>
      <c r="B8239">
        <v>4801426</v>
      </c>
      <c r="C8239" s="32">
        <v>43070.571250000001</v>
      </c>
    </row>
    <row r="8240" spans="1:3">
      <c r="A8240">
        <v>549804</v>
      </c>
      <c r="B8240">
        <v>2735466</v>
      </c>
      <c r="C8240" s="32">
        <v>43070.59233796296</v>
      </c>
    </row>
    <row r="8241" spans="1:3">
      <c r="A8241">
        <v>640710</v>
      </c>
      <c r="B8241">
        <v>2042400</v>
      </c>
      <c r="C8241" s="32">
        <v>43072.326736111114</v>
      </c>
    </row>
    <row r="8242" spans="1:3">
      <c r="A8242">
        <v>862812</v>
      </c>
      <c r="B8242">
        <v>359388</v>
      </c>
      <c r="C8242" s="32">
        <v>43072.144062500003</v>
      </c>
    </row>
    <row r="8243" spans="1:3">
      <c r="A8243">
        <v>957446</v>
      </c>
      <c r="B8243">
        <v>4145813</v>
      </c>
      <c r="C8243" s="32">
        <v>43071.639097222222</v>
      </c>
    </row>
    <row r="8244" spans="1:3">
      <c r="A8244">
        <v>55283</v>
      </c>
      <c r="B8244">
        <v>1298222</v>
      </c>
      <c r="C8244" s="32">
        <v>43071.033912037034</v>
      </c>
    </row>
    <row r="8245" spans="1:3">
      <c r="A8245">
        <v>251727</v>
      </c>
      <c r="B8245">
        <v>1051370</v>
      </c>
      <c r="C8245" s="32">
        <v>43072.531412037039</v>
      </c>
    </row>
    <row r="8246" spans="1:3">
      <c r="A8246">
        <v>547736</v>
      </c>
      <c r="B8246">
        <v>2939262</v>
      </c>
      <c r="C8246" s="32">
        <v>43070.896493055552</v>
      </c>
    </row>
    <row r="8247" spans="1:3">
      <c r="A8247">
        <v>997192</v>
      </c>
      <c r="B8247">
        <v>1074254</v>
      </c>
      <c r="C8247" s="32">
        <v>43072.586539351854</v>
      </c>
    </row>
    <row r="8248" spans="1:3">
      <c r="A8248">
        <v>806758</v>
      </c>
      <c r="B8248">
        <v>285583</v>
      </c>
      <c r="C8248" s="32">
        <v>43071.341932870368</v>
      </c>
    </row>
    <row r="8249" spans="1:3">
      <c r="A8249">
        <v>215060</v>
      </c>
      <c r="B8249">
        <v>3253210</v>
      </c>
      <c r="C8249" s="32">
        <v>43071.401180555556</v>
      </c>
    </row>
    <row r="8250" spans="1:3">
      <c r="A8250">
        <v>457375</v>
      </c>
      <c r="B8250">
        <v>3015852</v>
      </c>
      <c r="C8250" s="32">
        <v>43071.031736111108</v>
      </c>
    </row>
    <row r="8251" spans="1:3">
      <c r="A8251">
        <v>7810</v>
      </c>
      <c r="B8251">
        <v>4145813</v>
      </c>
      <c r="C8251" s="32">
        <v>43070.567523148151</v>
      </c>
    </row>
    <row r="8252" spans="1:3">
      <c r="A8252">
        <v>336680</v>
      </c>
      <c r="B8252">
        <v>154040</v>
      </c>
      <c r="C8252" s="32">
        <v>43071.464305555557</v>
      </c>
    </row>
    <row r="8253" spans="1:3">
      <c r="A8253">
        <v>446917</v>
      </c>
      <c r="B8253">
        <v>1376358</v>
      </c>
      <c r="C8253" s="32">
        <v>43070.987129629626</v>
      </c>
    </row>
    <row r="8254" spans="1:3">
      <c r="A8254">
        <v>491174</v>
      </c>
      <c r="B8254">
        <v>2520377</v>
      </c>
      <c r="C8254" s="32">
        <v>43072.524444444447</v>
      </c>
    </row>
    <row r="8255" spans="1:3">
      <c r="A8255">
        <v>114899</v>
      </c>
      <c r="B8255">
        <v>4217906</v>
      </c>
      <c r="C8255" s="32">
        <v>43071.517418981479</v>
      </c>
    </row>
    <row r="8256" spans="1:3">
      <c r="A8256">
        <v>1011368</v>
      </c>
      <c r="B8256">
        <v>244923</v>
      </c>
      <c r="C8256" s="32">
        <v>43070.707615740743</v>
      </c>
    </row>
    <row r="8257" spans="1:3">
      <c r="A8257">
        <v>30495</v>
      </c>
      <c r="B8257">
        <v>4449178</v>
      </c>
      <c r="C8257" s="32">
        <v>43070.982465277775</v>
      </c>
    </row>
    <row r="8258" spans="1:3">
      <c r="A8258">
        <v>126851</v>
      </c>
      <c r="B8258">
        <v>1879194</v>
      </c>
      <c r="C8258" s="32">
        <v>43071.18822916667</v>
      </c>
    </row>
    <row r="8259" spans="1:3">
      <c r="A8259">
        <v>359776</v>
      </c>
      <c r="B8259">
        <v>4979919</v>
      </c>
      <c r="C8259" s="32">
        <v>43072.348692129628</v>
      </c>
    </row>
    <row r="8260" spans="1:3">
      <c r="A8260">
        <v>346789</v>
      </c>
      <c r="B8260">
        <v>1051370</v>
      </c>
      <c r="C8260" s="32">
        <v>43072.249710648146</v>
      </c>
    </row>
    <row r="8261" spans="1:3">
      <c r="A8261">
        <v>63909</v>
      </c>
      <c r="B8261">
        <v>79451</v>
      </c>
      <c r="C8261" s="32">
        <v>43071.469155092593</v>
      </c>
    </row>
    <row r="8262" spans="1:3">
      <c r="A8262">
        <v>790401</v>
      </c>
      <c r="B8262">
        <v>2885642</v>
      </c>
      <c r="C8262" s="32">
        <v>43070.355844907404</v>
      </c>
    </row>
    <row r="8263" spans="1:3">
      <c r="A8263">
        <v>91796</v>
      </c>
      <c r="B8263">
        <v>4921805</v>
      </c>
      <c r="C8263" s="32">
        <v>43072.36818287037</v>
      </c>
    </row>
    <row r="8264" spans="1:3">
      <c r="A8264">
        <v>555470</v>
      </c>
      <c r="B8264">
        <v>1397912</v>
      </c>
      <c r="C8264" s="32">
        <v>43072.529039351852</v>
      </c>
    </row>
    <row r="8265" spans="1:3">
      <c r="A8265">
        <v>368465</v>
      </c>
      <c r="B8265">
        <v>2735466</v>
      </c>
      <c r="C8265" s="32">
        <v>43072.330138888887</v>
      </c>
    </row>
    <row r="8266" spans="1:3">
      <c r="A8266">
        <v>474854</v>
      </c>
      <c r="B8266">
        <v>4145813</v>
      </c>
      <c r="C8266" s="32">
        <v>43071.268182870372</v>
      </c>
    </row>
    <row r="8267" spans="1:3">
      <c r="A8267">
        <v>882748</v>
      </c>
      <c r="B8267">
        <v>3776866</v>
      </c>
      <c r="C8267" s="32">
        <v>43069.680949074071</v>
      </c>
    </row>
    <row r="8268" spans="1:3">
      <c r="A8268">
        <v>311306</v>
      </c>
      <c r="B8268">
        <v>4756105</v>
      </c>
      <c r="C8268" s="32">
        <v>43070.563784722224</v>
      </c>
    </row>
    <row r="8269" spans="1:3">
      <c r="A8269">
        <v>220497</v>
      </c>
      <c r="B8269">
        <v>2939262</v>
      </c>
      <c r="C8269" s="32">
        <v>43071.519999999997</v>
      </c>
    </row>
    <row r="8270" spans="1:3">
      <c r="A8270">
        <v>633222</v>
      </c>
      <c r="B8270">
        <v>2042400</v>
      </c>
      <c r="C8270" s="32">
        <v>43071.348981481482</v>
      </c>
    </row>
    <row r="8271" spans="1:3">
      <c r="A8271">
        <v>133808</v>
      </c>
      <c r="B8271">
        <v>4743234</v>
      </c>
      <c r="C8271" s="32">
        <v>43071.495578703703</v>
      </c>
    </row>
    <row r="8272" spans="1:3">
      <c r="A8272">
        <v>864180</v>
      </c>
      <c r="B8272">
        <v>570735</v>
      </c>
      <c r="C8272" s="32">
        <v>43072.155300925922</v>
      </c>
    </row>
    <row r="8273" spans="1:3">
      <c r="A8273">
        <v>229940</v>
      </c>
      <c r="B8273">
        <v>2355072</v>
      </c>
      <c r="C8273" s="32">
        <v>43072.54519675926</v>
      </c>
    </row>
    <row r="8274" spans="1:3">
      <c r="A8274">
        <v>76126</v>
      </c>
      <c r="B8274">
        <v>1611144</v>
      </c>
      <c r="C8274" s="32">
        <v>43071.619212962964</v>
      </c>
    </row>
    <row r="8275" spans="1:3">
      <c r="A8275">
        <v>998310</v>
      </c>
      <c r="B8275">
        <v>2355072</v>
      </c>
      <c r="C8275" s="32">
        <v>43071.566747685189</v>
      </c>
    </row>
    <row r="8276" spans="1:3">
      <c r="A8276">
        <v>929087</v>
      </c>
      <c r="B8276">
        <v>1789614</v>
      </c>
      <c r="C8276" s="32">
        <v>43071.467152777775</v>
      </c>
    </row>
    <row r="8277" spans="1:3">
      <c r="A8277">
        <v>254039</v>
      </c>
      <c r="B8277">
        <v>3648733</v>
      </c>
      <c r="C8277" s="32">
        <v>43070.579942129632</v>
      </c>
    </row>
    <row r="8278" spans="1:3">
      <c r="A8278">
        <v>67481</v>
      </c>
      <c r="B8278">
        <v>4145813</v>
      </c>
      <c r="C8278" s="32">
        <v>43070.488703703704</v>
      </c>
    </row>
    <row r="8279" spans="1:3">
      <c r="A8279">
        <v>107582</v>
      </c>
      <c r="B8279">
        <v>4181361</v>
      </c>
      <c r="C8279" s="32">
        <v>43071.611296296294</v>
      </c>
    </row>
    <row r="8280" spans="1:3">
      <c r="A8280">
        <v>195137</v>
      </c>
      <c r="B8280">
        <v>2355072</v>
      </c>
      <c r="C8280" s="32">
        <v>43072.074143518519</v>
      </c>
    </row>
    <row r="8281" spans="1:3">
      <c r="A8281">
        <v>521467</v>
      </c>
      <c r="B8281">
        <v>4690421</v>
      </c>
      <c r="C8281" s="32">
        <v>43070.022175925929</v>
      </c>
    </row>
    <row r="8282" spans="1:3">
      <c r="A8282">
        <v>47723</v>
      </c>
      <c r="B8282">
        <v>4758477</v>
      </c>
      <c r="C8282" s="32">
        <v>43072.26662037037</v>
      </c>
    </row>
    <row r="8283" spans="1:3">
      <c r="A8283">
        <v>230332</v>
      </c>
      <c r="B8283">
        <v>4323655</v>
      </c>
      <c r="C8283" s="32">
        <v>43072.434247685182</v>
      </c>
    </row>
    <row r="8284" spans="1:3">
      <c r="A8284">
        <v>224570</v>
      </c>
      <c r="B8284">
        <v>2465336</v>
      </c>
      <c r="C8284" s="32">
        <v>43071.156782407408</v>
      </c>
    </row>
    <row r="8285" spans="1:3">
      <c r="A8285">
        <v>627924</v>
      </c>
      <c r="B8285">
        <v>1990869</v>
      </c>
      <c r="C8285" s="32">
        <v>43070.363703703704</v>
      </c>
    </row>
    <row r="8286" spans="1:3">
      <c r="A8286">
        <v>1010979</v>
      </c>
      <c r="B8286">
        <v>3616520</v>
      </c>
      <c r="C8286" s="32">
        <v>43072.213113425925</v>
      </c>
    </row>
    <row r="8287" spans="1:3">
      <c r="A8287">
        <v>120852</v>
      </c>
      <c r="B8287">
        <v>1730376</v>
      </c>
      <c r="C8287" s="32">
        <v>43071.344895833332</v>
      </c>
    </row>
    <row r="8288" spans="1:3">
      <c r="A8288">
        <v>93484</v>
      </c>
      <c r="B8288">
        <v>4444302</v>
      </c>
      <c r="C8288" s="32">
        <v>43071.132326388892</v>
      </c>
    </row>
    <row r="8289" spans="1:3">
      <c r="A8289">
        <v>421224</v>
      </c>
      <c r="B8289">
        <v>1819175</v>
      </c>
      <c r="C8289" s="32">
        <v>43070.675949074073</v>
      </c>
    </row>
    <row r="8290" spans="1:3">
      <c r="A8290">
        <v>880592</v>
      </c>
      <c r="B8290">
        <v>1051370</v>
      </c>
      <c r="C8290" s="32">
        <v>43071.3593287037</v>
      </c>
    </row>
    <row r="8291" spans="1:3">
      <c r="A8291">
        <v>546327</v>
      </c>
      <c r="B8291">
        <v>4756105</v>
      </c>
      <c r="C8291" s="32">
        <v>43069.881886574076</v>
      </c>
    </row>
    <row r="8292" spans="1:3">
      <c r="A8292">
        <v>200494</v>
      </c>
      <c r="B8292">
        <v>2355072</v>
      </c>
      <c r="C8292" s="32">
        <v>43071.806967592594</v>
      </c>
    </row>
    <row r="8293" spans="1:3">
      <c r="A8293">
        <v>225166</v>
      </c>
      <c r="B8293">
        <v>3972128</v>
      </c>
      <c r="C8293" s="32">
        <v>43071.092604166668</v>
      </c>
    </row>
    <row r="8294" spans="1:3">
      <c r="A8294">
        <v>225609</v>
      </c>
      <c r="B8294">
        <v>4893662</v>
      </c>
      <c r="C8294" s="32">
        <v>43070.297835648147</v>
      </c>
    </row>
    <row r="8295" spans="1:3">
      <c r="A8295">
        <v>644186</v>
      </c>
      <c r="B8295">
        <v>4756105</v>
      </c>
      <c r="C8295" s="32">
        <v>43071.336851851855</v>
      </c>
    </row>
    <row r="8296" spans="1:3">
      <c r="A8296">
        <v>757882</v>
      </c>
      <c r="B8296">
        <v>3645362</v>
      </c>
      <c r="C8296" s="32">
        <v>43072.653217592589</v>
      </c>
    </row>
    <row r="8297" spans="1:3">
      <c r="A8297">
        <v>670194</v>
      </c>
      <c r="B8297">
        <v>154040</v>
      </c>
      <c r="C8297" s="32">
        <v>43071.526956018519</v>
      </c>
    </row>
    <row r="8298" spans="1:3">
      <c r="A8298">
        <v>311910</v>
      </c>
      <c r="B8298">
        <v>4580532</v>
      </c>
      <c r="C8298" s="32">
        <v>43071.252488425926</v>
      </c>
    </row>
    <row r="8299" spans="1:3">
      <c r="A8299">
        <v>238985</v>
      </c>
      <c r="B8299">
        <v>4145813</v>
      </c>
      <c r="C8299" s="32">
        <v>43072.487141203703</v>
      </c>
    </row>
    <row r="8300" spans="1:3">
      <c r="A8300">
        <v>550778</v>
      </c>
      <c r="B8300">
        <v>4284875</v>
      </c>
      <c r="C8300" s="32">
        <v>43070.622048611112</v>
      </c>
    </row>
    <row r="8301" spans="1:3">
      <c r="A8301">
        <v>335016</v>
      </c>
      <c r="B8301">
        <v>2735466</v>
      </c>
      <c r="C8301" s="32">
        <v>43070.6253125</v>
      </c>
    </row>
    <row r="8302" spans="1:3">
      <c r="A8302">
        <v>447424</v>
      </c>
      <c r="B8302">
        <v>2735466</v>
      </c>
      <c r="C8302" s="32">
        <v>43072.623819444445</v>
      </c>
    </row>
    <row r="8303" spans="1:3">
      <c r="A8303">
        <v>165676</v>
      </c>
      <c r="B8303">
        <v>2892802</v>
      </c>
      <c r="C8303" s="32">
        <v>43072.233182870368</v>
      </c>
    </row>
    <row r="8304" spans="1:3">
      <c r="A8304">
        <v>997816</v>
      </c>
      <c r="B8304">
        <v>4697972</v>
      </c>
      <c r="C8304" s="32">
        <v>43071.221377314818</v>
      </c>
    </row>
    <row r="8305" spans="1:3">
      <c r="A8305">
        <v>837256</v>
      </c>
      <c r="B8305">
        <v>1879194</v>
      </c>
      <c r="C8305" s="32">
        <v>43072.642534722225</v>
      </c>
    </row>
    <row r="8306" spans="1:3">
      <c r="A8306">
        <v>406343</v>
      </c>
      <c r="B8306">
        <v>1901483</v>
      </c>
      <c r="C8306" s="32">
        <v>43070.548391203702</v>
      </c>
    </row>
    <row r="8307" spans="1:3">
      <c r="A8307">
        <v>787457</v>
      </c>
      <c r="B8307">
        <v>149192</v>
      </c>
      <c r="C8307" s="32">
        <v>43071.614837962959</v>
      </c>
    </row>
    <row r="8308" spans="1:3">
      <c r="A8308">
        <v>611705</v>
      </c>
      <c r="B8308">
        <v>2228184</v>
      </c>
      <c r="C8308" s="32">
        <v>43070.816354166665</v>
      </c>
    </row>
    <row r="8309" spans="1:3">
      <c r="A8309">
        <v>411631</v>
      </c>
      <c r="B8309">
        <v>4801426</v>
      </c>
      <c r="C8309" s="32">
        <v>43072.134027777778</v>
      </c>
    </row>
    <row r="8310" spans="1:3">
      <c r="A8310">
        <v>482624</v>
      </c>
      <c r="B8310">
        <v>4446527</v>
      </c>
      <c r="C8310" s="32">
        <v>43071.524861111109</v>
      </c>
    </row>
    <row r="8311" spans="1:3">
      <c r="A8311">
        <v>89943</v>
      </c>
      <c r="B8311">
        <v>4756105</v>
      </c>
      <c r="C8311" s="32">
        <v>43071.062523148146</v>
      </c>
    </row>
    <row r="8312" spans="1:3">
      <c r="A8312">
        <v>572192</v>
      </c>
      <c r="B8312">
        <v>2328673</v>
      </c>
      <c r="C8312" s="32">
        <v>43072.287199074075</v>
      </c>
    </row>
    <row r="8313" spans="1:3">
      <c r="A8313">
        <v>350673</v>
      </c>
      <c r="B8313">
        <v>1851156</v>
      </c>
      <c r="C8313" s="32">
        <v>43071.480914351851</v>
      </c>
    </row>
    <row r="8314" spans="1:3">
      <c r="A8314">
        <v>597641</v>
      </c>
      <c r="B8314">
        <v>3002561</v>
      </c>
      <c r="C8314" s="32">
        <v>43072.124537037038</v>
      </c>
    </row>
    <row r="8315" spans="1:3">
      <c r="A8315">
        <v>699335</v>
      </c>
      <c r="B8315">
        <v>1275696</v>
      </c>
      <c r="C8315" s="32">
        <v>43069.858391203707</v>
      </c>
    </row>
    <row r="8316" spans="1:3">
      <c r="A8316">
        <v>648549</v>
      </c>
      <c r="B8316">
        <v>4969568</v>
      </c>
      <c r="C8316" s="32">
        <v>43071.738912037035</v>
      </c>
    </row>
    <row r="8317" spans="1:3">
      <c r="A8317">
        <v>1011392</v>
      </c>
      <c r="B8317">
        <v>4145813</v>
      </c>
      <c r="C8317" s="32">
        <v>43069.985335648147</v>
      </c>
    </row>
    <row r="8318" spans="1:3">
      <c r="A8318">
        <v>735774</v>
      </c>
      <c r="B8318">
        <v>1288487</v>
      </c>
      <c r="C8318" s="32">
        <v>43071.140648148146</v>
      </c>
    </row>
    <row r="8319" spans="1:3">
      <c r="A8319">
        <v>203322</v>
      </c>
      <c r="B8319">
        <v>1320293</v>
      </c>
      <c r="C8319" s="32">
        <v>43071.618622685186</v>
      </c>
    </row>
    <row r="8320" spans="1:3">
      <c r="A8320">
        <v>389722</v>
      </c>
      <c r="B8320">
        <v>4357323</v>
      </c>
      <c r="C8320" s="32">
        <v>43072.114374999997</v>
      </c>
    </row>
    <row r="8321" spans="1:3">
      <c r="A8321">
        <v>1008865</v>
      </c>
      <c r="B8321">
        <v>4558987</v>
      </c>
      <c r="C8321" s="32">
        <v>43070.684108796297</v>
      </c>
    </row>
    <row r="8322" spans="1:3">
      <c r="A8322">
        <v>910563</v>
      </c>
      <c r="B8322">
        <v>3720155</v>
      </c>
      <c r="C8322" s="32">
        <v>43071.376446759263</v>
      </c>
    </row>
    <row r="8323" spans="1:3">
      <c r="A8323">
        <v>894287</v>
      </c>
      <c r="B8323">
        <v>3002561</v>
      </c>
      <c r="C8323" s="32">
        <v>43070.177939814814</v>
      </c>
    </row>
    <row r="8324" spans="1:3">
      <c r="A8324">
        <v>18241</v>
      </c>
      <c r="B8324">
        <v>800581</v>
      </c>
      <c r="C8324" s="32">
        <v>43072.624791666669</v>
      </c>
    </row>
    <row r="8325" spans="1:3">
      <c r="A8325">
        <v>468663</v>
      </c>
      <c r="B8325">
        <v>3975787</v>
      </c>
      <c r="C8325" s="32">
        <v>43072.659363425926</v>
      </c>
    </row>
    <row r="8326" spans="1:3">
      <c r="A8326">
        <v>619513</v>
      </c>
      <c r="B8326">
        <v>3435808</v>
      </c>
      <c r="C8326" s="32">
        <v>43072.571319444447</v>
      </c>
    </row>
    <row r="8327" spans="1:3">
      <c r="A8327">
        <v>504290</v>
      </c>
      <c r="B8327">
        <v>570735</v>
      </c>
      <c r="C8327" s="32">
        <v>43070.506203703706</v>
      </c>
    </row>
    <row r="8328" spans="1:3">
      <c r="A8328">
        <v>835128</v>
      </c>
      <c r="B8328">
        <v>1500130</v>
      </c>
      <c r="C8328" s="32">
        <v>43071.219756944447</v>
      </c>
    </row>
    <row r="8329" spans="1:3">
      <c r="A8329">
        <v>304965</v>
      </c>
      <c r="B8329">
        <v>2640118</v>
      </c>
      <c r="C8329" s="32">
        <v>43072.394641203704</v>
      </c>
    </row>
    <row r="8330" spans="1:3">
      <c r="A8330">
        <v>375008</v>
      </c>
      <c r="B8330">
        <v>4801426</v>
      </c>
      <c r="C8330" s="32">
        <v>43072.579074074078</v>
      </c>
    </row>
    <row r="8331" spans="1:3">
      <c r="A8331">
        <v>504311</v>
      </c>
      <c r="B8331">
        <v>411153</v>
      </c>
      <c r="C8331" s="32">
        <v>43071.233946759261</v>
      </c>
    </row>
    <row r="8332" spans="1:3">
      <c r="A8332">
        <v>849955</v>
      </c>
      <c r="B8332">
        <v>1320293</v>
      </c>
      <c r="C8332" s="32">
        <v>43071.307384259257</v>
      </c>
    </row>
    <row r="8333" spans="1:3">
      <c r="A8333">
        <v>946261</v>
      </c>
      <c r="B8333">
        <v>1256778</v>
      </c>
      <c r="C8333" s="32">
        <v>43072.393599537034</v>
      </c>
    </row>
    <row r="8334" spans="1:3">
      <c r="A8334">
        <v>575103</v>
      </c>
      <c r="B8334">
        <v>3880463</v>
      </c>
      <c r="C8334" s="32">
        <v>43070.196793981479</v>
      </c>
    </row>
    <row r="8335" spans="1:3">
      <c r="A8335">
        <v>734997</v>
      </c>
      <c r="B8335">
        <v>941949</v>
      </c>
      <c r="C8335" s="32">
        <v>43072.558518518519</v>
      </c>
    </row>
    <row r="8336" spans="1:3">
      <c r="A8336">
        <v>278842</v>
      </c>
      <c r="B8336">
        <v>4643350</v>
      </c>
      <c r="C8336" s="32">
        <v>43070.639641203707</v>
      </c>
    </row>
    <row r="8337" spans="1:3">
      <c r="A8337">
        <v>1006924</v>
      </c>
      <c r="B8337">
        <v>2735466</v>
      </c>
      <c r="C8337" s="32">
        <v>43070.626458333332</v>
      </c>
    </row>
    <row r="8338" spans="1:3">
      <c r="A8338">
        <v>214618</v>
      </c>
      <c r="B8338">
        <v>2735466</v>
      </c>
      <c r="C8338" s="32">
        <v>43072.650173611109</v>
      </c>
    </row>
    <row r="8339" spans="1:3">
      <c r="A8339">
        <v>95508</v>
      </c>
      <c r="B8339">
        <v>2013864</v>
      </c>
      <c r="C8339" s="32">
        <v>43072.198125000003</v>
      </c>
    </row>
    <row r="8340" spans="1:3">
      <c r="A8340">
        <v>463928</v>
      </c>
      <c r="B8340">
        <v>2465336</v>
      </c>
      <c r="C8340" s="32">
        <v>43072.117847222224</v>
      </c>
    </row>
    <row r="8341" spans="1:3">
      <c r="A8341">
        <v>613043</v>
      </c>
      <c r="B8341">
        <v>4145813</v>
      </c>
      <c r="C8341" s="32">
        <v>43071.738182870373</v>
      </c>
    </row>
    <row r="8342" spans="1:3">
      <c r="A8342">
        <v>362595</v>
      </c>
      <c r="B8342">
        <v>2520377</v>
      </c>
      <c r="C8342" s="32">
        <v>43071.31894675926</v>
      </c>
    </row>
    <row r="8343" spans="1:3">
      <c r="A8343">
        <v>203421</v>
      </c>
      <c r="B8343">
        <v>4145813</v>
      </c>
      <c r="C8343" s="32">
        <v>43072.560393518521</v>
      </c>
    </row>
    <row r="8344" spans="1:3">
      <c r="A8344">
        <v>221062</v>
      </c>
      <c r="B8344">
        <v>2188684</v>
      </c>
      <c r="C8344" s="32">
        <v>43071.96770833333</v>
      </c>
    </row>
    <row r="8345" spans="1:3">
      <c r="A8345">
        <v>459144</v>
      </c>
      <c r="B8345">
        <v>4649218</v>
      </c>
      <c r="C8345" s="32">
        <v>43070.925868055558</v>
      </c>
    </row>
    <row r="8346" spans="1:3">
      <c r="A8346">
        <v>523097</v>
      </c>
      <c r="B8346">
        <v>3897386</v>
      </c>
      <c r="C8346" s="32">
        <v>43071.208935185183</v>
      </c>
    </row>
    <row r="8347" spans="1:3">
      <c r="A8347">
        <v>635325</v>
      </c>
      <c r="B8347">
        <v>4509358</v>
      </c>
      <c r="C8347" s="32">
        <v>43071.336597222224</v>
      </c>
    </row>
    <row r="8348" spans="1:3">
      <c r="A8348">
        <v>729881</v>
      </c>
      <c r="B8348">
        <v>2710853</v>
      </c>
      <c r="C8348" s="32">
        <v>43072.045729166668</v>
      </c>
    </row>
    <row r="8349" spans="1:3">
      <c r="A8349">
        <v>379322</v>
      </c>
      <c r="B8349">
        <v>3738615</v>
      </c>
      <c r="C8349" s="32">
        <v>43071.593449074076</v>
      </c>
    </row>
    <row r="8350" spans="1:3">
      <c r="A8350">
        <v>925645</v>
      </c>
      <c r="B8350">
        <v>5071267</v>
      </c>
      <c r="C8350" s="32">
        <v>43071.167673611111</v>
      </c>
    </row>
    <row r="8351" spans="1:3">
      <c r="A8351">
        <v>343152</v>
      </c>
      <c r="B8351">
        <v>4801426</v>
      </c>
      <c r="C8351" s="32">
        <v>43071.474166666667</v>
      </c>
    </row>
    <row r="8352" spans="1:3">
      <c r="A8352">
        <v>542298</v>
      </c>
      <c r="B8352">
        <v>4801426</v>
      </c>
      <c r="C8352" s="32">
        <v>43072.196435185186</v>
      </c>
    </row>
    <row r="8353" spans="1:3">
      <c r="A8353">
        <v>463727</v>
      </c>
      <c r="B8353">
        <v>1320293</v>
      </c>
      <c r="C8353" s="32">
        <v>43071.617210648146</v>
      </c>
    </row>
    <row r="8354" spans="1:3">
      <c r="A8354">
        <v>919557</v>
      </c>
      <c r="B8354">
        <v>3002561</v>
      </c>
      <c r="C8354" s="32">
        <v>43072.298159722224</v>
      </c>
    </row>
    <row r="8355" spans="1:3">
      <c r="A8355">
        <v>598726</v>
      </c>
      <c r="B8355">
        <v>3738615</v>
      </c>
      <c r="C8355" s="32">
        <v>43070.533483796295</v>
      </c>
    </row>
    <row r="8356" spans="1:3">
      <c r="A8356">
        <v>881347</v>
      </c>
      <c r="B8356">
        <v>4015820</v>
      </c>
      <c r="C8356" s="32">
        <v>43071.562303240738</v>
      </c>
    </row>
    <row r="8357" spans="1:3">
      <c r="A8357">
        <v>306831</v>
      </c>
      <c r="B8357">
        <v>2520771</v>
      </c>
      <c r="C8357" s="32">
        <v>43072.267708333333</v>
      </c>
    </row>
    <row r="8358" spans="1:3">
      <c r="A8358">
        <v>157046</v>
      </c>
      <c r="B8358">
        <v>4882154</v>
      </c>
      <c r="C8358" s="32">
        <v>43072.288923611108</v>
      </c>
    </row>
    <row r="8359" spans="1:3">
      <c r="A8359">
        <v>672178</v>
      </c>
      <c r="B8359">
        <v>2459106</v>
      </c>
      <c r="C8359" s="32">
        <v>43072.195636574077</v>
      </c>
    </row>
    <row r="8360" spans="1:3">
      <c r="A8360">
        <v>825185</v>
      </c>
      <c r="B8360">
        <v>3673049</v>
      </c>
      <c r="C8360" s="32">
        <v>43069.743263888886</v>
      </c>
    </row>
    <row r="8361" spans="1:3">
      <c r="A8361">
        <v>301002</v>
      </c>
      <c r="B8361">
        <v>3002561</v>
      </c>
      <c r="C8361" s="32">
        <v>43071.209976851853</v>
      </c>
    </row>
    <row r="8362" spans="1:3">
      <c r="A8362">
        <v>275263</v>
      </c>
      <c r="B8362">
        <v>285583</v>
      </c>
      <c r="C8362" s="32">
        <v>43071.558807870373</v>
      </c>
    </row>
    <row r="8363" spans="1:3">
      <c r="A8363">
        <v>123884</v>
      </c>
      <c r="B8363">
        <v>2355072</v>
      </c>
      <c r="C8363" s="32">
        <v>43071.681701388887</v>
      </c>
    </row>
    <row r="8364" spans="1:3">
      <c r="A8364">
        <v>894372</v>
      </c>
      <c r="B8364">
        <v>4181361</v>
      </c>
      <c r="C8364" s="32">
        <v>43071.207939814813</v>
      </c>
    </row>
    <row r="8365" spans="1:3">
      <c r="A8365">
        <v>412916</v>
      </c>
      <c r="B8365">
        <v>4357323</v>
      </c>
      <c r="C8365" s="32">
        <v>43070.600081018521</v>
      </c>
    </row>
    <row r="8366" spans="1:3">
      <c r="A8366">
        <v>577385</v>
      </c>
      <c r="B8366">
        <v>4801426</v>
      </c>
      <c r="C8366" s="32">
        <v>43071.618171296293</v>
      </c>
    </row>
    <row r="8367" spans="1:3">
      <c r="A8367">
        <v>872762</v>
      </c>
      <c r="B8367">
        <v>238434</v>
      </c>
      <c r="C8367" s="32">
        <v>43071.438981481479</v>
      </c>
    </row>
    <row r="8368" spans="1:3">
      <c r="A8368">
        <v>231349</v>
      </c>
      <c r="B8368">
        <v>4789432</v>
      </c>
      <c r="C8368" s="32">
        <v>43072.056898148148</v>
      </c>
    </row>
    <row r="8369" spans="1:3">
      <c r="A8369">
        <v>818224</v>
      </c>
      <c r="B8369">
        <v>235534</v>
      </c>
      <c r="C8369" s="32">
        <v>43072.543807870374</v>
      </c>
    </row>
    <row r="8370" spans="1:3">
      <c r="A8370">
        <v>650562</v>
      </c>
      <c r="B8370">
        <v>1795157</v>
      </c>
      <c r="C8370" s="32">
        <v>43070.535057870373</v>
      </c>
    </row>
    <row r="8371" spans="1:3">
      <c r="A8371">
        <v>784979</v>
      </c>
      <c r="B8371">
        <v>4145813</v>
      </c>
      <c r="C8371" s="32">
        <v>43072.661412037036</v>
      </c>
    </row>
    <row r="8372" spans="1:3">
      <c r="A8372">
        <v>876399</v>
      </c>
      <c r="B8372">
        <v>4756105</v>
      </c>
      <c r="C8372" s="32">
        <v>43072.500092592592</v>
      </c>
    </row>
    <row r="8373" spans="1:3">
      <c r="A8373">
        <v>232841</v>
      </c>
      <c r="B8373">
        <v>1029459</v>
      </c>
      <c r="C8373" s="32">
        <v>43071.960902777777</v>
      </c>
    </row>
    <row r="8374" spans="1:3">
      <c r="A8374">
        <v>436133</v>
      </c>
      <c r="B8374">
        <v>4690421</v>
      </c>
      <c r="C8374" s="32">
        <v>43071.530844907407</v>
      </c>
    </row>
    <row r="8375" spans="1:3">
      <c r="A8375">
        <v>220018</v>
      </c>
      <c r="B8375">
        <v>1595193</v>
      </c>
      <c r="C8375" s="32">
        <v>43072.569467592592</v>
      </c>
    </row>
    <row r="8376" spans="1:3">
      <c r="A8376">
        <v>89020</v>
      </c>
      <c r="B8376">
        <v>2982027</v>
      </c>
      <c r="C8376" s="32">
        <v>43072.596898148149</v>
      </c>
    </row>
    <row r="8377" spans="1:3">
      <c r="A8377">
        <v>236141</v>
      </c>
      <c r="B8377">
        <v>3995818</v>
      </c>
      <c r="C8377" s="32">
        <v>43070.298460648148</v>
      </c>
    </row>
    <row r="8378" spans="1:3">
      <c r="A8378">
        <v>853454</v>
      </c>
      <c r="B8378">
        <v>4022701</v>
      </c>
      <c r="C8378" s="32">
        <v>43070.252222222225</v>
      </c>
    </row>
    <row r="8379" spans="1:3">
      <c r="A8379">
        <v>1000679</v>
      </c>
      <c r="B8379">
        <v>4801426</v>
      </c>
      <c r="C8379" s="32">
        <v>43070.574074074073</v>
      </c>
    </row>
    <row r="8380" spans="1:3">
      <c r="A8380">
        <v>915473</v>
      </c>
      <c r="B8380">
        <v>4145813</v>
      </c>
      <c r="C8380" s="32">
        <v>43071.476041666669</v>
      </c>
    </row>
    <row r="8381" spans="1:3">
      <c r="A8381">
        <v>938758</v>
      </c>
      <c r="B8381">
        <v>4357323</v>
      </c>
      <c r="C8381" s="32">
        <v>43071.47552083333</v>
      </c>
    </row>
    <row r="8382" spans="1:3">
      <c r="A8382">
        <v>428962</v>
      </c>
      <c r="B8382">
        <v>4145813</v>
      </c>
      <c r="C8382" s="32">
        <v>43070.160173611112</v>
      </c>
    </row>
    <row r="8383" spans="1:3">
      <c r="A8383">
        <v>86197</v>
      </c>
      <c r="B8383">
        <v>4756105</v>
      </c>
      <c r="C8383" s="32">
        <v>43072.292824074073</v>
      </c>
    </row>
    <row r="8384" spans="1:3">
      <c r="A8384">
        <v>129449</v>
      </c>
      <c r="B8384">
        <v>1080785</v>
      </c>
      <c r="C8384" s="32">
        <v>43071.988587962966</v>
      </c>
    </row>
    <row r="8385" spans="1:3">
      <c r="A8385">
        <v>270850</v>
      </c>
      <c r="B8385">
        <v>3231625</v>
      </c>
      <c r="C8385" s="32">
        <v>43069.731874999998</v>
      </c>
    </row>
    <row r="8386" spans="1:3">
      <c r="A8386">
        <v>391713</v>
      </c>
      <c r="B8386">
        <v>4801426</v>
      </c>
      <c r="C8386" s="32">
        <v>43071.970937500002</v>
      </c>
    </row>
    <row r="8387" spans="1:3">
      <c r="A8387">
        <v>1002712</v>
      </c>
      <c r="B8387">
        <v>4690421</v>
      </c>
      <c r="C8387" s="32">
        <v>43072.506828703707</v>
      </c>
    </row>
    <row r="8388" spans="1:3">
      <c r="A8388">
        <v>784232</v>
      </c>
      <c r="B8388">
        <v>2520771</v>
      </c>
      <c r="C8388" s="32">
        <v>43072.532673611109</v>
      </c>
    </row>
    <row r="8389" spans="1:3">
      <c r="A8389">
        <v>925190</v>
      </c>
      <c r="B8389">
        <v>1829804</v>
      </c>
      <c r="C8389" s="32">
        <v>43070.725277777776</v>
      </c>
    </row>
    <row r="8390" spans="1:3">
      <c r="A8390">
        <v>927572</v>
      </c>
      <c r="B8390">
        <v>4159072</v>
      </c>
      <c r="C8390" s="32">
        <v>43071.295162037037</v>
      </c>
    </row>
    <row r="8391" spans="1:3">
      <c r="A8391">
        <v>10396</v>
      </c>
      <c r="B8391">
        <v>2515942</v>
      </c>
      <c r="C8391" s="32">
        <v>43071.640636574077</v>
      </c>
    </row>
    <row r="8392" spans="1:3">
      <c r="A8392">
        <v>100707</v>
      </c>
      <c r="B8392">
        <v>2572604</v>
      </c>
      <c r="C8392" s="32">
        <v>43072.15016203704</v>
      </c>
    </row>
    <row r="8393" spans="1:3">
      <c r="A8393">
        <v>529524</v>
      </c>
      <c r="B8393">
        <v>2558244</v>
      </c>
      <c r="C8393" s="32">
        <v>43071.337800925925</v>
      </c>
    </row>
    <row r="8394" spans="1:3">
      <c r="A8394">
        <v>594565</v>
      </c>
      <c r="B8394">
        <v>4731191</v>
      </c>
      <c r="C8394" s="32">
        <v>43072.583981481483</v>
      </c>
    </row>
    <row r="8395" spans="1:3">
      <c r="A8395">
        <v>849864</v>
      </c>
      <c r="B8395">
        <v>4533189</v>
      </c>
      <c r="C8395" s="32">
        <v>43070.529004629629</v>
      </c>
    </row>
    <row r="8396" spans="1:3">
      <c r="A8396">
        <v>671692</v>
      </c>
      <c r="B8396">
        <v>3738615</v>
      </c>
      <c r="C8396" s="32">
        <v>43072.636805555558</v>
      </c>
    </row>
    <row r="8397" spans="1:3">
      <c r="A8397">
        <v>812299</v>
      </c>
      <c r="B8397">
        <v>119741</v>
      </c>
      <c r="C8397" s="32">
        <v>43070.54310185185</v>
      </c>
    </row>
    <row r="8398" spans="1:3">
      <c r="A8398">
        <v>3132</v>
      </c>
      <c r="B8398">
        <v>4672807</v>
      </c>
      <c r="C8398" s="32">
        <v>43070.649363425924</v>
      </c>
    </row>
    <row r="8399" spans="1:3">
      <c r="A8399">
        <v>484040</v>
      </c>
      <c r="B8399">
        <v>4801426</v>
      </c>
      <c r="C8399" s="32">
        <v>43071.034988425927</v>
      </c>
    </row>
    <row r="8400" spans="1:3">
      <c r="A8400">
        <v>190775</v>
      </c>
      <c r="B8400">
        <v>4919077</v>
      </c>
      <c r="C8400" s="32">
        <v>43070.575266203705</v>
      </c>
    </row>
    <row r="8401" spans="1:3">
      <c r="A8401">
        <v>122672</v>
      </c>
      <c r="B8401">
        <v>982926</v>
      </c>
      <c r="C8401" s="32">
        <v>43070.731793981482</v>
      </c>
    </row>
    <row r="8402" spans="1:3">
      <c r="A8402">
        <v>107278</v>
      </c>
      <c r="B8402">
        <v>982926</v>
      </c>
      <c r="C8402" s="32">
        <v>43070.521631944444</v>
      </c>
    </row>
    <row r="8403" spans="1:3">
      <c r="A8403">
        <v>187646</v>
      </c>
      <c r="B8403">
        <v>411153</v>
      </c>
      <c r="C8403" s="32">
        <v>43069.772592592592</v>
      </c>
    </row>
    <row r="8404" spans="1:3">
      <c r="A8404">
        <v>582756</v>
      </c>
      <c r="B8404">
        <v>4801426</v>
      </c>
      <c r="C8404" s="32">
        <v>43069.887187499997</v>
      </c>
    </row>
    <row r="8405" spans="1:3">
      <c r="A8405">
        <v>924509</v>
      </c>
      <c r="B8405">
        <v>2202384</v>
      </c>
      <c r="C8405" s="32">
        <v>43071.315150462964</v>
      </c>
    </row>
    <row r="8406" spans="1:3">
      <c r="A8406">
        <v>499598</v>
      </c>
      <c r="B8406">
        <v>1320293</v>
      </c>
      <c r="C8406" s="32">
        <v>43069.8278125</v>
      </c>
    </row>
    <row r="8407" spans="1:3">
      <c r="A8407">
        <v>920052</v>
      </c>
      <c r="B8407">
        <v>4444302</v>
      </c>
      <c r="C8407" s="32">
        <v>43072.177719907406</v>
      </c>
    </row>
    <row r="8408" spans="1:3">
      <c r="A8408">
        <v>24685</v>
      </c>
      <c r="B8408">
        <v>245312</v>
      </c>
      <c r="C8408" s="32">
        <v>43071.987071759257</v>
      </c>
    </row>
    <row r="8409" spans="1:3">
      <c r="A8409">
        <v>20930</v>
      </c>
      <c r="B8409">
        <v>3002561</v>
      </c>
      <c r="C8409" s="32">
        <v>43072.205949074072</v>
      </c>
    </row>
    <row r="8410" spans="1:3">
      <c r="A8410">
        <v>485676</v>
      </c>
      <c r="B8410">
        <v>1789614</v>
      </c>
      <c r="C8410" s="32">
        <v>43072.259189814817</v>
      </c>
    </row>
    <row r="8411" spans="1:3">
      <c r="A8411">
        <v>152643</v>
      </c>
      <c r="B8411">
        <v>3002561</v>
      </c>
      <c r="C8411" s="32">
        <v>43071.172233796293</v>
      </c>
    </row>
    <row r="8412" spans="1:3">
      <c r="A8412">
        <v>222585</v>
      </c>
      <c r="B8412">
        <v>4756105</v>
      </c>
      <c r="C8412" s="32">
        <v>43070.149027777778</v>
      </c>
    </row>
    <row r="8413" spans="1:3">
      <c r="A8413">
        <v>733695</v>
      </c>
      <c r="B8413">
        <v>149192</v>
      </c>
      <c r="C8413" s="32">
        <v>43071.601817129631</v>
      </c>
    </row>
    <row r="8414" spans="1:3">
      <c r="A8414">
        <v>289433</v>
      </c>
      <c r="B8414">
        <v>4145813</v>
      </c>
      <c r="C8414" s="32">
        <v>43071.536469907405</v>
      </c>
    </row>
    <row r="8415" spans="1:3">
      <c r="A8415">
        <v>399407</v>
      </c>
      <c r="B8415">
        <v>1080785</v>
      </c>
      <c r="C8415" s="32">
        <v>43071.286481481482</v>
      </c>
    </row>
    <row r="8416" spans="1:3">
      <c r="A8416">
        <v>981892</v>
      </c>
      <c r="B8416">
        <v>2966303</v>
      </c>
      <c r="C8416" s="32">
        <v>43070.284305555557</v>
      </c>
    </row>
    <row r="8417" spans="1:3">
      <c r="A8417">
        <v>185166</v>
      </c>
      <c r="B8417">
        <v>4756105</v>
      </c>
      <c r="C8417" s="32">
        <v>43070.497141203705</v>
      </c>
    </row>
    <row r="8418" spans="1:3">
      <c r="A8418">
        <v>941167</v>
      </c>
      <c r="B8418">
        <v>982926</v>
      </c>
      <c r="C8418" s="32">
        <v>43070.318437499998</v>
      </c>
    </row>
    <row r="8419" spans="1:3">
      <c r="A8419">
        <v>343580</v>
      </c>
      <c r="B8419">
        <v>3898483</v>
      </c>
      <c r="C8419" s="32">
        <v>43070.274444444447</v>
      </c>
    </row>
    <row r="8420" spans="1:3">
      <c r="A8420">
        <v>423237</v>
      </c>
      <c r="B8420">
        <v>1567637</v>
      </c>
      <c r="C8420" s="32">
        <v>43071.394803240742</v>
      </c>
    </row>
    <row r="8421" spans="1:3">
      <c r="A8421">
        <v>77837</v>
      </c>
      <c r="B8421">
        <v>154040</v>
      </c>
      <c r="C8421" s="32">
        <v>43070.500960648147</v>
      </c>
    </row>
    <row r="8422" spans="1:3">
      <c r="A8422">
        <v>70807</v>
      </c>
      <c r="B8422">
        <v>1008362</v>
      </c>
      <c r="C8422" s="32">
        <v>43072.485092592593</v>
      </c>
    </row>
    <row r="8423" spans="1:3">
      <c r="A8423">
        <v>533695</v>
      </c>
      <c r="B8423">
        <v>1544586</v>
      </c>
      <c r="C8423" s="32">
        <v>43072.236319444448</v>
      </c>
    </row>
    <row r="8424" spans="1:3">
      <c r="A8424">
        <v>149039</v>
      </c>
      <c r="B8424">
        <v>570735</v>
      </c>
      <c r="C8424" s="32">
        <v>43071.975740740738</v>
      </c>
    </row>
    <row r="8425" spans="1:3">
      <c r="A8425">
        <v>78439</v>
      </c>
      <c r="B8425">
        <v>4050612</v>
      </c>
      <c r="C8425" s="32">
        <v>43071.585659722223</v>
      </c>
    </row>
    <row r="8426" spans="1:3">
      <c r="A8426">
        <v>834671</v>
      </c>
      <c r="B8426">
        <v>4690421</v>
      </c>
      <c r="C8426" s="32">
        <v>43070.951886574076</v>
      </c>
    </row>
    <row r="8427" spans="1:3">
      <c r="A8427">
        <v>818065</v>
      </c>
      <c r="B8427">
        <v>965809</v>
      </c>
      <c r="C8427" s="32">
        <v>43071.300833333335</v>
      </c>
    </row>
    <row r="8428" spans="1:3">
      <c r="A8428">
        <v>47858</v>
      </c>
      <c r="B8428">
        <v>1320293</v>
      </c>
      <c r="C8428" s="32">
        <v>43070.439756944441</v>
      </c>
    </row>
    <row r="8429" spans="1:3">
      <c r="A8429">
        <v>809603</v>
      </c>
      <c r="B8429">
        <v>982926</v>
      </c>
      <c r="C8429" s="32">
        <v>43071.077465277776</v>
      </c>
    </row>
    <row r="8430" spans="1:3">
      <c r="A8430">
        <v>882165</v>
      </c>
      <c r="B8430">
        <v>4462359</v>
      </c>
      <c r="C8430" s="32">
        <v>43071.611331018517</v>
      </c>
    </row>
    <row r="8431" spans="1:3">
      <c r="A8431">
        <v>695290</v>
      </c>
      <c r="B8431">
        <v>3102419</v>
      </c>
      <c r="C8431" s="32">
        <v>43071.042430555557</v>
      </c>
    </row>
    <row r="8432" spans="1:3">
      <c r="A8432">
        <v>9286</v>
      </c>
      <c r="B8432">
        <v>1050007</v>
      </c>
      <c r="C8432" s="32">
        <v>43069.960543981484</v>
      </c>
    </row>
    <row r="8433" spans="1:3">
      <c r="A8433">
        <v>2593</v>
      </c>
      <c r="B8433">
        <v>4181361</v>
      </c>
      <c r="C8433" s="32">
        <v>43070.534386574072</v>
      </c>
    </row>
    <row r="8434" spans="1:3">
      <c r="A8434">
        <v>960547</v>
      </c>
      <c r="B8434">
        <v>3607361</v>
      </c>
      <c r="C8434" s="32">
        <v>43071.514444444445</v>
      </c>
    </row>
    <row r="8435" spans="1:3">
      <c r="A8435">
        <v>889427</v>
      </c>
      <c r="B8435">
        <v>4217906</v>
      </c>
      <c r="C8435" s="32">
        <v>43071.108634259261</v>
      </c>
    </row>
    <row r="8436" spans="1:3">
      <c r="A8436">
        <v>977984</v>
      </c>
      <c r="B8436">
        <v>4919077</v>
      </c>
      <c r="C8436" s="32">
        <v>43072.036851851852</v>
      </c>
    </row>
    <row r="8437" spans="1:3">
      <c r="A8437">
        <v>845665</v>
      </c>
      <c r="B8437">
        <v>4818107</v>
      </c>
      <c r="C8437" s="32">
        <v>43071.105370370373</v>
      </c>
    </row>
    <row r="8438" spans="1:3">
      <c r="A8438">
        <v>833875</v>
      </c>
      <c r="B8438">
        <v>4145813</v>
      </c>
      <c r="C8438" s="32">
        <v>43072.036874999998</v>
      </c>
    </row>
    <row r="8439" spans="1:3">
      <c r="A8439">
        <v>447475</v>
      </c>
      <c r="B8439">
        <v>2492895</v>
      </c>
      <c r="C8439" s="32">
        <v>43070.309699074074</v>
      </c>
    </row>
    <row r="8440" spans="1:3">
      <c r="A8440">
        <v>659934</v>
      </c>
      <c r="B8440">
        <v>1834026</v>
      </c>
      <c r="C8440" s="32">
        <v>43071.574560185189</v>
      </c>
    </row>
    <row r="8441" spans="1:3">
      <c r="A8441">
        <v>952852</v>
      </c>
      <c r="B8441">
        <v>4756105</v>
      </c>
      <c r="C8441" s="32">
        <v>43071.013645833336</v>
      </c>
    </row>
    <row r="8442" spans="1:3">
      <c r="A8442">
        <v>936251</v>
      </c>
      <c r="B8442">
        <v>4690421</v>
      </c>
      <c r="C8442" s="32">
        <v>43071.662118055552</v>
      </c>
    </row>
    <row r="8443" spans="1:3">
      <c r="A8443">
        <v>344684</v>
      </c>
      <c r="B8443">
        <v>4756105</v>
      </c>
      <c r="C8443" s="32">
        <v>43071.278726851851</v>
      </c>
    </row>
    <row r="8444" spans="1:3">
      <c r="A8444">
        <v>371952</v>
      </c>
      <c r="B8444">
        <v>3715096</v>
      </c>
      <c r="C8444" s="32">
        <v>43071.963472222225</v>
      </c>
    </row>
    <row r="8445" spans="1:3">
      <c r="A8445">
        <v>490467</v>
      </c>
      <c r="B8445">
        <v>794153</v>
      </c>
      <c r="C8445" s="32">
        <v>43071.642013888886</v>
      </c>
    </row>
    <row r="8446" spans="1:3">
      <c r="A8446">
        <v>382966</v>
      </c>
      <c r="B8446">
        <v>2465336</v>
      </c>
      <c r="C8446" s="32">
        <v>43069.928981481484</v>
      </c>
    </row>
    <row r="8447" spans="1:3">
      <c r="A8447">
        <v>647119</v>
      </c>
      <c r="B8447">
        <v>4339722</v>
      </c>
      <c r="C8447" s="32">
        <v>43072.125219907408</v>
      </c>
    </row>
    <row r="8448" spans="1:3">
      <c r="A8448">
        <v>650824</v>
      </c>
      <c r="B8448">
        <v>3253357</v>
      </c>
      <c r="C8448" s="32">
        <v>43071.172106481485</v>
      </c>
    </row>
    <row r="8449" spans="1:3">
      <c r="A8449">
        <v>607532</v>
      </c>
      <c r="B8449">
        <v>4690421</v>
      </c>
      <c r="C8449" s="32">
        <v>43070.261180555557</v>
      </c>
    </row>
    <row r="8450" spans="1:3">
      <c r="A8450">
        <v>374497</v>
      </c>
      <c r="B8450">
        <v>1276979</v>
      </c>
      <c r="C8450" s="32">
        <v>43069.69059027778</v>
      </c>
    </row>
    <row r="8451" spans="1:3">
      <c r="A8451">
        <v>465579</v>
      </c>
      <c r="B8451">
        <v>3829421</v>
      </c>
      <c r="C8451" s="32">
        <v>43071.494027777779</v>
      </c>
    </row>
    <row r="8452" spans="1:3">
      <c r="A8452">
        <v>851279</v>
      </c>
      <c r="B8452">
        <v>2157356</v>
      </c>
      <c r="C8452" s="32">
        <v>43071.484988425924</v>
      </c>
    </row>
    <row r="8453" spans="1:3">
      <c r="A8453">
        <v>830684</v>
      </c>
      <c r="B8453">
        <v>4355436</v>
      </c>
      <c r="C8453" s="32">
        <v>43071.568298611113</v>
      </c>
    </row>
    <row r="8454" spans="1:3">
      <c r="A8454">
        <v>226362</v>
      </c>
      <c r="B8454">
        <v>2407396</v>
      </c>
      <c r="C8454" s="32">
        <v>43071.489722222221</v>
      </c>
    </row>
    <row r="8455" spans="1:3">
      <c r="A8455">
        <v>535858</v>
      </c>
      <c r="B8455">
        <v>4993094</v>
      </c>
      <c r="C8455" s="32">
        <v>43070.177418981482</v>
      </c>
    </row>
    <row r="8456" spans="1:3">
      <c r="A8456">
        <v>201844</v>
      </c>
      <c r="B8456">
        <v>4801426</v>
      </c>
      <c r="C8456" s="32">
        <v>43071.605613425927</v>
      </c>
    </row>
    <row r="8457" spans="1:3">
      <c r="A8457">
        <v>659245</v>
      </c>
      <c r="B8457">
        <v>3738615</v>
      </c>
      <c r="C8457" s="32">
        <v>43071.467048611114</v>
      </c>
    </row>
    <row r="8458" spans="1:3">
      <c r="A8458">
        <v>94335</v>
      </c>
      <c r="B8458">
        <v>238434</v>
      </c>
      <c r="C8458" s="32">
        <v>43072.186018518521</v>
      </c>
    </row>
    <row r="8459" spans="1:3">
      <c r="A8459">
        <v>345806</v>
      </c>
      <c r="B8459">
        <v>4756105</v>
      </c>
      <c r="C8459" s="32">
        <v>43071.561006944445</v>
      </c>
    </row>
    <row r="8460" spans="1:3">
      <c r="A8460">
        <v>504226</v>
      </c>
      <c r="B8460">
        <v>2429142</v>
      </c>
      <c r="C8460" s="32">
        <v>43070.499780092592</v>
      </c>
    </row>
    <row r="8461" spans="1:3">
      <c r="A8461">
        <v>566681</v>
      </c>
      <c r="B8461">
        <v>2885642</v>
      </c>
      <c r="C8461" s="32">
        <v>43072.322974537034</v>
      </c>
    </row>
    <row r="8462" spans="1:3">
      <c r="A8462">
        <v>626759</v>
      </c>
      <c r="B8462">
        <v>1575622</v>
      </c>
      <c r="C8462" s="32">
        <v>43070.985729166663</v>
      </c>
    </row>
    <row r="8463" spans="1:3">
      <c r="A8463">
        <v>463727</v>
      </c>
      <c r="B8463">
        <v>2355072</v>
      </c>
      <c r="C8463" s="32">
        <v>43070.566759259258</v>
      </c>
    </row>
    <row r="8464" spans="1:3">
      <c r="A8464">
        <v>791123</v>
      </c>
      <c r="B8464">
        <v>2394030</v>
      </c>
      <c r="C8464" s="32">
        <v>43072.371701388889</v>
      </c>
    </row>
    <row r="8465" spans="1:3">
      <c r="A8465">
        <v>446949</v>
      </c>
      <c r="B8465">
        <v>542908</v>
      </c>
      <c r="C8465" s="32">
        <v>43071.027002314811</v>
      </c>
    </row>
    <row r="8466" spans="1:3">
      <c r="A8466">
        <v>957158</v>
      </c>
      <c r="B8466">
        <v>411153</v>
      </c>
      <c r="C8466" s="32">
        <v>43070.352627314816</v>
      </c>
    </row>
    <row r="8467" spans="1:3">
      <c r="A8467">
        <v>532196</v>
      </c>
      <c r="B8467">
        <v>982926</v>
      </c>
      <c r="C8467" s="32">
        <v>43070.426296296297</v>
      </c>
    </row>
    <row r="8468" spans="1:3">
      <c r="A8468">
        <v>109455</v>
      </c>
      <c r="B8468">
        <v>4758477</v>
      </c>
      <c r="C8468" s="32">
        <v>43070.674016203702</v>
      </c>
    </row>
    <row r="8469" spans="1:3">
      <c r="A8469">
        <v>74828</v>
      </c>
      <c r="B8469">
        <v>48094</v>
      </c>
      <c r="C8469" s="32">
        <v>43071.177881944444</v>
      </c>
    </row>
    <row r="8470" spans="1:3">
      <c r="A8470">
        <v>373192</v>
      </c>
      <c r="B8470">
        <v>982926</v>
      </c>
      <c r="C8470" s="32">
        <v>43072.641851851855</v>
      </c>
    </row>
    <row r="8471" spans="1:3">
      <c r="A8471">
        <v>367792</v>
      </c>
      <c r="B8471">
        <v>119741</v>
      </c>
      <c r="C8471" s="32">
        <v>43071.953680555554</v>
      </c>
    </row>
    <row r="8472" spans="1:3">
      <c r="A8472">
        <v>57075</v>
      </c>
      <c r="B8472">
        <v>982926</v>
      </c>
      <c r="C8472" s="32">
        <v>43072.324432870373</v>
      </c>
    </row>
    <row r="8473" spans="1:3">
      <c r="A8473">
        <v>476613</v>
      </c>
      <c r="B8473">
        <v>4756105</v>
      </c>
      <c r="C8473" s="32">
        <v>43071.686574074076</v>
      </c>
    </row>
    <row r="8474" spans="1:3">
      <c r="A8474">
        <v>335460</v>
      </c>
      <c r="B8474">
        <v>4145813</v>
      </c>
      <c r="C8474" s="32">
        <v>43070.46702546296</v>
      </c>
    </row>
    <row r="8475" spans="1:3">
      <c r="A8475">
        <v>973092</v>
      </c>
      <c r="B8475">
        <v>3002561</v>
      </c>
      <c r="C8475" s="32">
        <v>43071.591180555559</v>
      </c>
    </row>
    <row r="8476" spans="1:3">
      <c r="A8476">
        <v>246187</v>
      </c>
      <c r="B8476">
        <v>286229</v>
      </c>
      <c r="C8476" s="32">
        <v>43071.898194444446</v>
      </c>
    </row>
    <row r="8477" spans="1:3">
      <c r="A8477">
        <v>109239</v>
      </c>
      <c r="B8477">
        <v>4476428</v>
      </c>
      <c r="C8477" s="32">
        <v>43071.514398148145</v>
      </c>
    </row>
    <row r="8478" spans="1:3">
      <c r="A8478">
        <v>182665</v>
      </c>
      <c r="B8478">
        <v>4357323</v>
      </c>
      <c r="C8478" s="32">
        <v>43070.16238425926</v>
      </c>
    </row>
    <row r="8479" spans="1:3">
      <c r="A8479">
        <v>357531</v>
      </c>
      <c r="B8479">
        <v>2476560</v>
      </c>
      <c r="C8479" s="32">
        <v>43070.192083333335</v>
      </c>
    </row>
    <row r="8480" spans="1:3">
      <c r="A8480">
        <v>14865</v>
      </c>
      <c r="B8480">
        <v>1074254</v>
      </c>
      <c r="C8480" s="32">
        <v>43071.765763888892</v>
      </c>
    </row>
    <row r="8481" spans="1:3">
      <c r="A8481">
        <v>380415</v>
      </c>
      <c r="B8481">
        <v>4112095</v>
      </c>
      <c r="C8481" s="32">
        <v>43072.325844907406</v>
      </c>
    </row>
    <row r="8482" spans="1:3">
      <c r="A8482">
        <v>760184</v>
      </c>
      <c r="B8482">
        <v>3102419</v>
      </c>
      <c r="C8482" s="32">
        <v>43070.527222222219</v>
      </c>
    </row>
    <row r="8483" spans="1:3">
      <c r="A8483">
        <v>104159</v>
      </c>
      <c r="B8483">
        <v>1783423</v>
      </c>
      <c r="C8483" s="32">
        <v>43070.04351851852</v>
      </c>
    </row>
    <row r="8484" spans="1:3">
      <c r="A8484">
        <v>410656</v>
      </c>
      <c r="B8484">
        <v>3607361</v>
      </c>
      <c r="C8484" s="32">
        <v>43070.398657407408</v>
      </c>
    </row>
    <row r="8485" spans="1:3">
      <c r="A8485">
        <v>813111</v>
      </c>
      <c r="B8485">
        <v>411153</v>
      </c>
      <c r="C8485" s="32">
        <v>43072.494583333333</v>
      </c>
    </row>
    <row r="8486" spans="1:3">
      <c r="A8486">
        <v>667672</v>
      </c>
      <c r="B8486">
        <v>4869428</v>
      </c>
      <c r="C8486" s="32">
        <v>43070.216574074075</v>
      </c>
    </row>
    <row r="8487" spans="1:3">
      <c r="A8487">
        <v>117836</v>
      </c>
      <c r="B8487">
        <v>3459562</v>
      </c>
      <c r="C8487" s="32">
        <v>43071.251712962963</v>
      </c>
    </row>
    <row r="8488" spans="1:3">
      <c r="A8488">
        <v>53054</v>
      </c>
      <c r="B8488">
        <v>2322253</v>
      </c>
      <c r="C8488" s="32">
        <v>43071.581018518518</v>
      </c>
    </row>
    <row r="8489" spans="1:3">
      <c r="A8489">
        <v>98482</v>
      </c>
      <c r="B8489">
        <v>1020087</v>
      </c>
      <c r="C8489" s="32">
        <v>43071.326817129629</v>
      </c>
    </row>
    <row r="8490" spans="1:3">
      <c r="A8490">
        <v>81065</v>
      </c>
      <c r="B8490">
        <v>1646753</v>
      </c>
      <c r="C8490" s="32">
        <v>43069.675752314812</v>
      </c>
    </row>
    <row r="8491" spans="1:3">
      <c r="A8491">
        <v>465538</v>
      </c>
      <c r="B8491">
        <v>2945933</v>
      </c>
      <c r="C8491" s="32">
        <v>43069.690196759257</v>
      </c>
    </row>
    <row r="8492" spans="1:3">
      <c r="A8492">
        <v>777283</v>
      </c>
      <c r="B8492">
        <v>4163659</v>
      </c>
      <c r="C8492" s="32">
        <v>43070.612534722219</v>
      </c>
    </row>
    <row r="8493" spans="1:3">
      <c r="A8493">
        <v>147398</v>
      </c>
      <c r="B8493">
        <v>2250828</v>
      </c>
      <c r="C8493" s="32">
        <v>43070.090578703705</v>
      </c>
    </row>
    <row r="8494" spans="1:3">
      <c r="A8494">
        <v>46746</v>
      </c>
      <c r="B8494">
        <v>2465336</v>
      </c>
      <c r="C8494" s="32">
        <v>43070.108043981483</v>
      </c>
    </row>
    <row r="8495" spans="1:3">
      <c r="A8495">
        <v>584416</v>
      </c>
      <c r="B8495">
        <v>4357323</v>
      </c>
      <c r="C8495" s="32">
        <v>43072.568877314814</v>
      </c>
    </row>
    <row r="8496" spans="1:3">
      <c r="A8496">
        <v>293366</v>
      </c>
      <c r="B8496">
        <v>1320293</v>
      </c>
      <c r="C8496" s="32">
        <v>43072.632465277777</v>
      </c>
    </row>
    <row r="8497" spans="1:3">
      <c r="A8497">
        <v>341595</v>
      </c>
      <c r="B8497">
        <v>4756105</v>
      </c>
      <c r="C8497" s="32">
        <v>43071.370162037034</v>
      </c>
    </row>
    <row r="8498" spans="1:3">
      <c r="A8498">
        <v>19261</v>
      </c>
      <c r="B8498">
        <v>4756105</v>
      </c>
      <c r="C8498" s="32">
        <v>43070.359502314815</v>
      </c>
    </row>
    <row r="8499" spans="1:3">
      <c r="A8499">
        <v>119487</v>
      </c>
      <c r="B8499">
        <v>3002561</v>
      </c>
      <c r="C8499" s="32">
        <v>43072.199699074074</v>
      </c>
    </row>
    <row r="8500" spans="1:3">
      <c r="A8500">
        <v>906744</v>
      </c>
      <c r="B8500">
        <v>2892802</v>
      </c>
      <c r="C8500" s="32">
        <v>43070.56486111111</v>
      </c>
    </row>
    <row r="8501" spans="1:3">
      <c r="A8501">
        <v>558933</v>
      </c>
      <c r="B8501">
        <v>3645362</v>
      </c>
      <c r="C8501" s="32">
        <v>43072.299131944441</v>
      </c>
    </row>
    <row r="8502" spans="1:3">
      <c r="A8502">
        <v>560027</v>
      </c>
      <c r="B8502">
        <v>943641</v>
      </c>
      <c r="C8502" s="32">
        <v>43071.380057870374</v>
      </c>
    </row>
    <row r="8503" spans="1:3">
      <c r="A8503">
        <v>773093</v>
      </c>
      <c r="B8503">
        <v>4756105</v>
      </c>
      <c r="C8503" s="32">
        <v>43070.450115740743</v>
      </c>
    </row>
    <row r="8504" spans="1:3">
      <c r="A8504">
        <v>125638</v>
      </c>
      <c r="B8504">
        <v>2735466</v>
      </c>
      <c r="C8504" s="32">
        <v>43072.244756944441</v>
      </c>
    </row>
    <row r="8505" spans="1:3">
      <c r="A8505">
        <v>876703</v>
      </c>
      <c r="B8505">
        <v>2465336</v>
      </c>
      <c r="C8505" s="32">
        <v>43071.659895833334</v>
      </c>
    </row>
    <row r="8506" spans="1:3">
      <c r="A8506">
        <v>974391</v>
      </c>
      <c r="B8506">
        <v>3898483</v>
      </c>
      <c r="C8506" s="32">
        <v>43072.468530092592</v>
      </c>
    </row>
    <row r="8507" spans="1:3">
      <c r="A8507">
        <v>830457</v>
      </c>
      <c r="B8507">
        <v>133377</v>
      </c>
      <c r="C8507" s="32">
        <v>43070.990624999999</v>
      </c>
    </row>
    <row r="8508" spans="1:3">
      <c r="A8508">
        <v>805008</v>
      </c>
      <c r="B8508">
        <v>4672807</v>
      </c>
      <c r="C8508" s="32">
        <v>43072.187592592592</v>
      </c>
    </row>
    <row r="8509" spans="1:3">
      <c r="A8509">
        <v>324096</v>
      </c>
      <c r="B8509">
        <v>4756105</v>
      </c>
      <c r="C8509" s="32">
        <v>43070.405590277776</v>
      </c>
    </row>
    <row r="8510" spans="1:3">
      <c r="A8510">
        <v>740934</v>
      </c>
      <c r="B8510">
        <v>728641</v>
      </c>
      <c r="C8510" s="32">
        <v>43072.39980324074</v>
      </c>
    </row>
    <row r="8511" spans="1:3">
      <c r="A8511">
        <v>632533</v>
      </c>
      <c r="B8511">
        <v>2181935</v>
      </c>
      <c r="C8511" s="32">
        <v>43072.380219907405</v>
      </c>
    </row>
    <row r="8512" spans="1:3">
      <c r="A8512">
        <v>31110</v>
      </c>
      <c r="B8512">
        <v>4756105</v>
      </c>
      <c r="C8512" s="32">
        <v>43071.449814814812</v>
      </c>
    </row>
    <row r="8513" spans="1:3">
      <c r="A8513">
        <v>381742</v>
      </c>
      <c r="B8513">
        <v>4284875</v>
      </c>
      <c r="C8513" s="32">
        <v>43070.628252314818</v>
      </c>
    </row>
    <row r="8514" spans="1:3">
      <c r="A8514">
        <v>513103</v>
      </c>
      <c r="B8514">
        <v>4015820</v>
      </c>
      <c r="C8514" s="32">
        <v>43070.587453703702</v>
      </c>
    </row>
    <row r="8515" spans="1:3">
      <c r="A8515">
        <v>373043</v>
      </c>
      <c r="B8515">
        <v>2355072</v>
      </c>
      <c r="C8515" s="32">
        <v>43071.615532407406</v>
      </c>
    </row>
    <row r="8516" spans="1:3">
      <c r="A8516">
        <v>145814</v>
      </c>
      <c r="B8516">
        <v>1884322</v>
      </c>
      <c r="C8516" s="32">
        <v>43070.629050925927</v>
      </c>
    </row>
    <row r="8517" spans="1:3">
      <c r="A8517">
        <v>584899</v>
      </c>
      <c r="B8517">
        <v>1073768</v>
      </c>
      <c r="C8517" s="32">
        <v>43070.566666666666</v>
      </c>
    </row>
    <row r="8518" spans="1:3">
      <c r="A8518">
        <v>235243</v>
      </c>
      <c r="B8518">
        <v>2925160</v>
      </c>
      <c r="C8518" s="32">
        <v>43072.091747685183</v>
      </c>
    </row>
    <row r="8519" spans="1:3">
      <c r="A8519">
        <v>653488</v>
      </c>
      <c r="B8519">
        <v>1879194</v>
      </c>
      <c r="C8519" s="32">
        <v>43070.259594907409</v>
      </c>
    </row>
    <row r="8520" spans="1:3">
      <c r="A8520">
        <v>104114</v>
      </c>
      <c r="B8520">
        <v>2735466</v>
      </c>
      <c r="C8520" s="32">
        <v>43071.584652777776</v>
      </c>
    </row>
    <row r="8521" spans="1:3">
      <c r="A8521">
        <v>7486</v>
      </c>
      <c r="B8521">
        <v>2304296</v>
      </c>
      <c r="C8521" s="32">
        <v>43071.191412037035</v>
      </c>
    </row>
    <row r="8522" spans="1:3">
      <c r="A8522">
        <v>584045</v>
      </c>
      <c r="B8522">
        <v>1051370</v>
      </c>
      <c r="C8522" s="32">
        <v>43072.096597222226</v>
      </c>
    </row>
    <row r="8523" spans="1:3">
      <c r="A8523">
        <v>734857</v>
      </c>
      <c r="B8523">
        <v>102272</v>
      </c>
      <c r="C8523" s="32">
        <v>43071.239710648151</v>
      </c>
    </row>
    <row r="8524" spans="1:3">
      <c r="A8524">
        <v>445493</v>
      </c>
      <c r="B8524">
        <v>2342116</v>
      </c>
      <c r="C8524" s="32">
        <v>43072.652800925927</v>
      </c>
    </row>
    <row r="8525" spans="1:3">
      <c r="A8525">
        <v>623077</v>
      </c>
      <c r="B8525">
        <v>1464116</v>
      </c>
      <c r="C8525" s="32">
        <v>43070.219282407408</v>
      </c>
    </row>
    <row r="8526" spans="1:3">
      <c r="A8526">
        <v>969169</v>
      </c>
      <c r="B8526">
        <v>570735</v>
      </c>
      <c r="C8526" s="32">
        <v>43070.266388888886</v>
      </c>
    </row>
    <row r="8527" spans="1:3">
      <c r="A8527">
        <v>518739</v>
      </c>
      <c r="B8527">
        <v>3607361</v>
      </c>
      <c r="C8527" s="32">
        <v>43072.531388888892</v>
      </c>
    </row>
    <row r="8528" spans="1:3">
      <c r="A8528">
        <v>96899</v>
      </c>
      <c r="B8528">
        <v>1379146</v>
      </c>
      <c r="C8528" s="32">
        <v>43072.563831018517</v>
      </c>
    </row>
    <row r="8529" spans="1:3">
      <c r="A8529">
        <v>131556</v>
      </c>
      <c r="B8529">
        <v>4695078</v>
      </c>
      <c r="C8529" s="32">
        <v>43071.112141203703</v>
      </c>
    </row>
    <row r="8530" spans="1:3">
      <c r="A8530">
        <v>555717</v>
      </c>
      <c r="B8530">
        <v>4794845</v>
      </c>
      <c r="C8530" s="32">
        <v>43069.670729166668</v>
      </c>
    </row>
    <row r="8531" spans="1:3">
      <c r="A8531">
        <v>795008</v>
      </c>
      <c r="B8531">
        <v>886203</v>
      </c>
      <c r="C8531" s="32">
        <v>43070.679571759261</v>
      </c>
    </row>
    <row r="8532" spans="1:3">
      <c r="A8532">
        <v>1008397</v>
      </c>
      <c r="B8532">
        <v>3381583</v>
      </c>
      <c r="C8532" s="32">
        <v>43071.304247685184</v>
      </c>
    </row>
    <row r="8533" spans="1:3">
      <c r="A8533">
        <v>485401</v>
      </c>
      <c r="B8533">
        <v>2355072</v>
      </c>
      <c r="C8533" s="32">
        <v>43072.615752314814</v>
      </c>
    </row>
    <row r="8534" spans="1:3">
      <c r="A8534">
        <v>406348</v>
      </c>
      <c r="B8534">
        <v>901282</v>
      </c>
      <c r="C8534" s="32">
        <v>43070.69390046296</v>
      </c>
    </row>
    <row r="8535" spans="1:3">
      <c r="A8535">
        <v>625604</v>
      </c>
      <c r="B8535">
        <v>2640118</v>
      </c>
      <c r="C8535" s="32">
        <v>43072.611574074072</v>
      </c>
    </row>
    <row r="8536" spans="1:3">
      <c r="A8536">
        <v>912239</v>
      </c>
      <c r="B8536">
        <v>3616520</v>
      </c>
      <c r="C8536" s="32">
        <v>43072.558576388888</v>
      </c>
    </row>
    <row r="8537" spans="1:3">
      <c r="A8537">
        <v>164184</v>
      </c>
      <c r="B8537">
        <v>3607361</v>
      </c>
      <c r="C8537" s="32">
        <v>43072.643449074072</v>
      </c>
    </row>
    <row r="8538" spans="1:3">
      <c r="A8538">
        <v>828679</v>
      </c>
      <c r="B8538">
        <v>4633953</v>
      </c>
      <c r="C8538" s="32">
        <v>43072.202256944445</v>
      </c>
    </row>
    <row r="8539" spans="1:3">
      <c r="A8539">
        <v>988692</v>
      </c>
      <c r="B8539">
        <v>767106</v>
      </c>
      <c r="C8539" s="32">
        <v>43069.67559027778</v>
      </c>
    </row>
    <row r="8540" spans="1:3">
      <c r="A8540">
        <v>18317</v>
      </c>
      <c r="B8540">
        <v>3065645</v>
      </c>
      <c r="C8540" s="32">
        <v>43071.071747685186</v>
      </c>
    </row>
    <row r="8541" spans="1:3">
      <c r="A8541">
        <v>58188</v>
      </c>
      <c r="B8541">
        <v>886203</v>
      </c>
      <c r="C8541" s="32">
        <v>43071.338692129626</v>
      </c>
    </row>
    <row r="8542" spans="1:3">
      <c r="A8542">
        <v>970510</v>
      </c>
      <c r="B8542">
        <v>3102419</v>
      </c>
      <c r="C8542" s="32">
        <v>43071.475312499999</v>
      </c>
    </row>
    <row r="8543" spans="1:3">
      <c r="A8543">
        <v>1003631</v>
      </c>
      <c r="B8543">
        <v>4696710</v>
      </c>
      <c r="C8543" s="32">
        <v>43071.376377314817</v>
      </c>
    </row>
    <row r="8544" spans="1:3">
      <c r="A8544">
        <v>199204</v>
      </c>
      <c r="B8544">
        <v>3002561</v>
      </c>
      <c r="C8544" s="32">
        <v>43070.162048611113</v>
      </c>
    </row>
    <row r="8545" spans="1:3">
      <c r="A8545">
        <v>492850</v>
      </c>
      <c r="B8545">
        <v>1029459</v>
      </c>
      <c r="C8545" s="32">
        <v>43072.088645833333</v>
      </c>
    </row>
    <row r="8546" spans="1:3">
      <c r="A8546">
        <v>526288</v>
      </c>
      <c r="B8546">
        <v>2161099</v>
      </c>
      <c r="C8546" s="32">
        <v>43072.015706018516</v>
      </c>
    </row>
    <row r="8547" spans="1:3">
      <c r="A8547">
        <v>816606</v>
      </c>
      <c r="B8547">
        <v>3673049</v>
      </c>
      <c r="C8547" s="32">
        <v>43071.094317129631</v>
      </c>
    </row>
    <row r="8548" spans="1:3">
      <c r="A8548">
        <v>22678</v>
      </c>
      <c r="B8548">
        <v>4690421</v>
      </c>
      <c r="C8548" s="32">
        <v>43072.436516203707</v>
      </c>
    </row>
    <row r="8549" spans="1:3">
      <c r="A8549">
        <v>536413</v>
      </c>
      <c r="B8549">
        <v>4756105</v>
      </c>
      <c r="C8549" s="32">
        <v>43072.366261574076</v>
      </c>
    </row>
    <row r="8550" spans="1:3">
      <c r="A8550">
        <v>92350</v>
      </c>
      <c r="B8550">
        <v>2210612</v>
      </c>
      <c r="C8550" s="32">
        <v>43071.493472222224</v>
      </c>
    </row>
    <row r="8551" spans="1:3">
      <c r="A8551">
        <v>885081</v>
      </c>
      <c r="B8551">
        <v>4993094</v>
      </c>
      <c r="C8551" s="32">
        <v>43070.562974537039</v>
      </c>
    </row>
    <row r="8552" spans="1:3">
      <c r="A8552">
        <v>786932</v>
      </c>
      <c r="B8552">
        <v>1231891</v>
      </c>
      <c r="C8552" s="32">
        <v>43071.555127314816</v>
      </c>
    </row>
    <row r="8553" spans="1:3">
      <c r="A8553">
        <v>550573</v>
      </c>
      <c r="B8553">
        <v>4357323</v>
      </c>
      <c r="C8553" s="32">
        <v>43071.256967592592</v>
      </c>
    </row>
    <row r="8554" spans="1:3">
      <c r="A8554">
        <v>483410</v>
      </c>
      <c r="B8554">
        <v>235534</v>
      </c>
      <c r="C8554" s="32">
        <v>43069.674108796295</v>
      </c>
    </row>
    <row r="8555" spans="1:3">
      <c r="A8555">
        <v>150646</v>
      </c>
      <c r="B8555">
        <v>3065645</v>
      </c>
      <c r="C8555" s="32">
        <v>43072.61341435185</v>
      </c>
    </row>
    <row r="8556" spans="1:3">
      <c r="A8556">
        <v>522405</v>
      </c>
      <c r="B8556">
        <v>323851</v>
      </c>
      <c r="C8556" s="32">
        <v>43071.548182870371</v>
      </c>
    </row>
    <row r="8557" spans="1:3">
      <c r="A8557">
        <v>656062</v>
      </c>
      <c r="B8557">
        <v>1572948</v>
      </c>
      <c r="C8557" s="32">
        <v>43071.575937499998</v>
      </c>
    </row>
    <row r="8558" spans="1:3">
      <c r="A8558">
        <v>18093</v>
      </c>
      <c r="B8558">
        <v>4145813</v>
      </c>
      <c r="C8558" s="32">
        <v>43070.090150462966</v>
      </c>
    </row>
    <row r="8559" spans="1:3">
      <c r="A8559">
        <v>177720</v>
      </c>
      <c r="B8559">
        <v>4181361</v>
      </c>
      <c r="C8559" s="32">
        <v>43071.029965277776</v>
      </c>
    </row>
    <row r="8560" spans="1:3">
      <c r="A8560">
        <v>283947</v>
      </c>
      <c r="B8560">
        <v>2465336</v>
      </c>
      <c r="C8560" s="32">
        <v>43070.572083333333</v>
      </c>
    </row>
    <row r="8561" spans="1:3">
      <c r="A8561">
        <v>497373</v>
      </c>
      <c r="B8561">
        <v>3100759</v>
      </c>
      <c r="C8561" s="32">
        <v>43071.949074074073</v>
      </c>
    </row>
    <row r="8562" spans="1:3">
      <c r="A8562">
        <v>238410</v>
      </c>
      <c r="B8562">
        <v>4145813</v>
      </c>
      <c r="C8562" s="32">
        <v>43071.584282407406</v>
      </c>
    </row>
    <row r="8563" spans="1:3">
      <c r="A8563">
        <v>843453</v>
      </c>
      <c r="B8563">
        <v>4801426</v>
      </c>
      <c r="C8563" s="32">
        <v>43070.955243055556</v>
      </c>
    </row>
    <row r="8564" spans="1:3">
      <c r="A8564">
        <v>68691</v>
      </c>
      <c r="B8564">
        <v>3328511</v>
      </c>
      <c r="C8564" s="32">
        <v>43070.651180555556</v>
      </c>
    </row>
    <row r="8565" spans="1:3">
      <c r="A8565">
        <v>624941</v>
      </c>
      <c r="B8565">
        <v>3299155</v>
      </c>
      <c r="C8565" s="32">
        <v>43072.317627314813</v>
      </c>
    </row>
    <row r="8566" spans="1:3">
      <c r="A8566">
        <v>800954</v>
      </c>
      <c r="B8566">
        <v>4145813</v>
      </c>
      <c r="C8566" s="32">
        <v>43071.373136574075</v>
      </c>
    </row>
    <row r="8567" spans="1:3">
      <c r="A8567">
        <v>137200</v>
      </c>
      <c r="B8567">
        <v>874415</v>
      </c>
      <c r="C8567" s="32">
        <v>43072.026099537034</v>
      </c>
    </row>
    <row r="8568" spans="1:3">
      <c r="A8568">
        <v>426659</v>
      </c>
      <c r="B8568">
        <v>2355072</v>
      </c>
      <c r="C8568" s="32">
        <v>43070.508472222224</v>
      </c>
    </row>
    <row r="8569" spans="1:3">
      <c r="A8569">
        <v>764111</v>
      </c>
      <c r="B8569">
        <v>3340725</v>
      </c>
      <c r="C8569" s="32">
        <v>43072.137094907404</v>
      </c>
    </row>
    <row r="8570" spans="1:3">
      <c r="A8570">
        <v>325873</v>
      </c>
      <c r="B8570">
        <v>570735</v>
      </c>
      <c r="C8570" s="32">
        <v>43070.061076388891</v>
      </c>
    </row>
    <row r="8571" spans="1:3">
      <c r="A8571">
        <v>409816</v>
      </c>
      <c r="B8571">
        <v>1073768</v>
      </c>
      <c r="C8571" s="32">
        <v>43071.056342592594</v>
      </c>
    </row>
    <row r="8572" spans="1:3">
      <c r="A8572">
        <v>646655</v>
      </c>
      <c r="B8572">
        <v>2042400</v>
      </c>
      <c r="C8572" s="32">
        <v>43070.783159722225</v>
      </c>
    </row>
    <row r="8573" spans="1:3">
      <c r="A8573">
        <v>333351</v>
      </c>
      <c r="B8573">
        <v>2626154</v>
      </c>
      <c r="C8573" s="32">
        <v>43070.538506944446</v>
      </c>
    </row>
    <row r="8574" spans="1:3">
      <c r="A8574">
        <v>280040</v>
      </c>
      <c r="B8574">
        <v>4789432</v>
      </c>
      <c r="C8574" s="32">
        <v>43072.511250000003</v>
      </c>
    </row>
    <row r="8575" spans="1:3">
      <c r="A8575">
        <v>758489</v>
      </c>
      <c r="B8575">
        <v>4801426</v>
      </c>
      <c r="C8575" s="32">
        <v>43072.506574074076</v>
      </c>
    </row>
    <row r="8576" spans="1:3">
      <c r="A8576">
        <v>626328</v>
      </c>
      <c r="B8576">
        <v>3855599</v>
      </c>
      <c r="C8576" s="32">
        <v>43070.117199074077</v>
      </c>
    </row>
    <row r="8577" spans="1:3">
      <c r="A8577">
        <v>848165</v>
      </c>
      <c r="B8577">
        <v>2303546</v>
      </c>
      <c r="C8577" s="32">
        <v>43071.812557870369</v>
      </c>
    </row>
    <row r="8578" spans="1:3">
      <c r="A8578">
        <v>1010675</v>
      </c>
      <c r="B8578">
        <v>2640118</v>
      </c>
      <c r="C8578" s="32">
        <v>43071.594375000001</v>
      </c>
    </row>
    <row r="8579" spans="1:3">
      <c r="A8579">
        <v>305961</v>
      </c>
      <c r="B8579">
        <v>2970453</v>
      </c>
      <c r="C8579" s="32">
        <v>43071.565706018519</v>
      </c>
    </row>
    <row r="8580" spans="1:3">
      <c r="A8580">
        <v>768116</v>
      </c>
      <c r="B8580">
        <v>1320293</v>
      </c>
      <c r="C8580" s="32">
        <v>43071.145416666666</v>
      </c>
    </row>
    <row r="8581" spans="1:3">
      <c r="A8581">
        <v>289857</v>
      </c>
      <c r="B8581">
        <v>4357323</v>
      </c>
      <c r="C8581" s="32">
        <v>43072.380937499998</v>
      </c>
    </row>
    <row r="8582" spans="1:3">
      <c r="A8582">
        <v>51935</v>
      </c>
      <c r="B8582">
        <v>4801426</v>
      </c>
      <c r="C8582" s="32">
        <v>43070.543946759259</v>
      </c>
    </row>
    <row r="8583" spans="1:3">
      <c r="A8583">
        <v>50694</v>
      </c>
      <c r="B8583">
        <v>2124307</v>
      </c>
      <c r="C8583" s="32">
        <v>43072.231076388889</v>
      </c>
    </row>
    <row r="8584" spans="1:3">
      <c r="A8584">
        <v>128614</v>
      </c>
      <c r="B8584">
        <v>2735466</v>
      </c>
      <c r="C8584" s="32">
        <v>43070.821539351855</v>
      </c>
    </row>
    <row r="8585" spans="1:3">
      <c r="A8585">
        <v>971547</v>
      </c>
      <c r="B8585">
        <v>3607361</v>
      </c>
      <c r="C8585" s="32">
        <v>43069.818518518521</v>
      </c>
    </row>
    <row r="8586" spans="1:3">
      <c r="A8586">
        <v>146305</v>
      </c>
      <c r="B8586">
        <v>4921805</v>
      </c>
      <c r="C8586" s="32">
        <v>43070.535497685189</v>
      </c>
    </row>
    <row r="8587" spans="1:3">
      <c r="A8587">
        <v>424101</v>
      </c>
      <c r="B8587">
        <v>4170419</v>
      </c>
      <c r="C8587" s="32">
        <v>43071.464756944442</v>
      </c>
    </row>
    <row r="8588" spans="1:3">
      <c r="A8588">
        <v>470497</v>
      </c>
      <c r="B8588">
        <v>2581941</v>
      </c>
      <c r="C8588" s="32">
        <v>43071.11142361111</v>
      </c>
    </row>
    <row r="8589" spans="1:3">
      <c r="A8589">
        <v>407607</v>
      </c>
      <c r="B8589">
        <v>1207887</v>
      </c>
      <c r="C8589" s="32">
        <v>43072.579675925925</v>
      </c>
    </row>
    <row r="8590" spans="1:3">
      <c r="A8590">
        <v>347297</v>
      </c>
      <c r="B8590">
        <v>570735</v>
      </c>
      <c r="C8590" s="32">
        <v>43071.389652777776</v>
      </c>
    </row>
    <row r="8591" spans="1:3">
      <c r="A8591">
        <v>25955</v>
      </c>
      <c r="B8591">
        <v>3607361</v>
      </c>
      <c r="C8591" s="32">
        <v>43071.549259259256</v>
      </c>
    </row>
    <row r="8592" spans="1:3">
      <c r="A8592">
        <v>295458</v>
      </c>
      <c r="B8592">
        <v>1089685</v>
      </c>
      <c r="C8592" s="32">
        <v>43069.773055555554</v>
      </c>
    </row>
    <row r="8593" spans="1:3">
      <c r="A8593">
        <v>161436</v>
      </c>
      <c r="B8593">
        <v>2096639</v>
      </c>
      <c r="C8593" s="32">
        <v>43070.666932870372</v>
      </c>
    </row>
    <row r="8594" spans="1:3">
      <c r="A8594">
        <v>749966</v>
      </c>
      <c r="B8594">
        <v>295183</v>
      </c>
      <c r="C8594" s="32">
        <v>43070.567395833335</v>
      </c>
    </row>
    <row r="8595" spans="1:3">
      <c r="A8595">
        <v>497295</v>
      </c>
      <c r="B8595">
        <v>1921180</v>
      </c>
      <c r="C8595" s="32">
        <v>43070.289942129632</v>
      </c>
    </row>
    <row r="8596" spans="1:3">
      <c r="A8596">
        <v>129770</v>
      </c>
      <c r="B8596">
        <v>3607361</v>
      </c>
      <c r="C8596" s="32">
        <v>43071.629861111112</v>
      </c>
    </row>
    <row r="8597" spans="1:3">
      <c r="A8597">
        <v>202155</v>
      </c>
      <c r="B8597">
        <v>2465336</v>
      </c>
      <c r="C8597" s="32">
        <v>43072.293240740742</v>
      </c>
    </row>
    <row r="8598" spans="1:3">
      <c r="A8598">
        <v>690259</v>
      </c>
      <c r="B8598">
        <v>866301</v>
      </c>
      <c r="C8598" s="32">
        <v>43072.151006944441</v>
      </c>
    </row>
    <row r="8599" spans="1:3">
      <c r="A8599">
        <v>684649</v>
      </c>
      <c r="B8599">
        <v>2355072</v>
      </c>
      <c r="C8599" s="32">
        <v>43070.058298611111</v>
      </c>
    </row>
    <row r="8600" spans="1:3">
      <c r="A8600">
        <v>430204</v>
      </c>
      <c r="B8600">
        <v>2640118</v>
      </c>
      <c r="C8600" s="32">
        <v>43072.31144675926</v>
      </c>
    </row>
    <row r="8601" spans="1:3">
      <c r="A8601">
        <v>785400</v>
      </c>
      <c r="B8601">
        <v>2078551</v>
      </c>
      <c r="C8601" s="32">
        <v>43071.261412037034</v>
      </c>
    </row>
    <row r="8602" spans="1:3">
      <c r="A8602">
        <v>654695</v>
      </c>
      <c r="B8602">
        <v>2926020</v>
      </c>
      <c r="C8602" s="32">
        <v>43071.576180555552</v>
      </c>
    </row>
    <row r="8603" spans="1:3">
      <c r="A8603">
        <v>778896</v>
      </c>
      <c r="B8603">
        <v>1025720</v>
      </c>
      <c r="C8603" s="32">
        <v>43070.284571759257</v>
      </c>
    </row>
    <row r="8604" spans="1:3">
      <c r="A8604">
        <v>733503</v>
      </c>
      <c r="B8604">
        <v>4756105</v>
      </c>
      <c r="C8604" s="32">
        <v>43070.39949074074</v>
      </c>
    </row>
    <row r="8605" spans="1:3">
      <c r="A8605">
        <v>542298</v>
      </c>
      <c r="B8605">
        <v>4509358</v>
      </c>
      <c r="C8605" s="32">
        <v>43072.19699074074</v>
      </c>
    </row>
    <row r="8606" spans="1:3">
      <c r="A8606">
        <v>908810</v>
      </c>
      <c r="B8606">
        <v>982926</v>
      </c>
      <c r="C8606" s="32">
        <v>43072.632037037038</v>
      </c>
    </row>
    <row r="8607" spans="1:3">
      <c r="A8607">
        <v>454782</v>
      </c>
      <c r="B8607">
        <v>149192</v>
      </c>
      <c r="C8607" s="32">
        <v>43071.133414351854</v>
      </c>
    </row>
    <row r="8608" spans="1:3">
      <c r="A8608">
        <v>270423</v>
      </c>
      <c r="B8608">
        <v>4357323</v>
      </c>
      <c r="C8608" s="32">
        <v>43069.688807870371</v>
      </c>
    </row>
    <row r="8609" spans="1:3">
      <c r="A8609">
        <v>442769</v>
      </c>
      <c r="B8609">
        <v>4731191</v>
      </c>
      <c r="C8609" s="32">
        <v>43072.536770833336</v>
      </c>
    </row>
    <row r="8610" spans="1:3">
      <c r="A8610">
        <v>361021</v>
      </c>
      <c r="B8610">
        <v>1879194</v>
      </c>
      <c r="C8610" s="32">
        <v>43070.187638888892</v>
      </c>
    </row>
    <row r="8611" spans="1:3">
      <c r="A8611">
        <v>531569</v>
      </c>
      <c r="B8611">
        <v>4470576</v>
      </c>
      <c r="C8611" s="32">
        <v>43071.364918981482</v>
      </c>
    </row>
    <row r="8612" spans="1:3">
      <c r="A8612">
        <v>979733</v>
      </c>
      <c r="B8612">
        <v>3624696</v>
      </c>
      <c r="C8612" s="32">
        <v>43072.318831018521</v>
      </c>
    </row>
    <row r="8613" spans="1:3">
      <c r="A8613">
        <v>589624</v>
      </c>
      <c r="B8613">
        <v>4780547</v>
      </c>
      <c r="C8613" s="32">
        <v>43070.834560185183</v>
      </c>
    </row>
    <row r="8614" spans="1:3">
      <c r="A8614">
        <v>613418</v>
      </c>
      <c r="B8614">
        <v>2355072</v>
      </c>
      <c r="C8614" s="32">
        <v>43071.571469907409</v>
      </c>
    </row>
    <row r="8615" spans="1:3">
      <c r="A8615">
        <v>226626</v>
      </c>
      <c r="B8615">
        <v>1299190</v>
      </c>
      <c r="C8615" s="32">
        <v>43072.084618055553</v>
      </c>
    </row>
    <row r="8616" spans="1:3">
      <c r="A8616">
        <v>527421</v>
      </c>
      <c r="B8616">
        <v>4145813</v>
      </c>
      <c r="C8616" s="32">
        <v>43072.584270833337</v>
      </c>
    </row>
    <row r="8617" spans="1:3">
      <c r="A8617">
        <v>529063</v>
      </c>
      <c r="B8617">
        <v>3231625</v>
      </c>
      <c r="C8617" s="32">
        <v>43072.158854166664</v>
      </c>
    </row>
    <row r="8618" spans="1:3">
      <c r="A8618">
        <v>510305</v>
      </c>
      <c r="B8618">
        <v>3738615</v>
      </c>
      <c r="C8618" s="32">
        <v>43071.332824074074</v>
      </c>
    </row>
    <row r="8619" spans="1:3">
      <c r="A8619">
        <v>647452</v>
      </c>
      <c r="B8619">
        <v>1397912</v>
      </c>
      <c r="C8619" s="32">
        <v>43072.663240740738</v>
      </c>
    </row>
    <row r="8620" spans="1:3">
      <c r="A8620">
        <v>121522</v>
      </c>
      <c r="B8620">
        <v>1783423</v>
      </c>
      <c r="C8620" s="32">
        <v>43071.661261574074</v>
      </c>
    </row>
    <row r="8621" spans="1:3">
      <c r="A8621">
        <v>170458</v>
      </c>
      <c r="B8621">
        <v>4756105</v>
      </c>
      <c r="C8621" s="32">
        <v>43072.305555555555</v>
      </c>
    </row>
    <row r="8622" spans="1:3">
      <c r="A8622">
        <v>50129</v>
      </c>
      <c r="B8622">
        <v>4731191</v>
      </c>
      <c r="C8622" s="32">
        <v>43070.623368055552</v>
      </c>
    </row>
    <row r="8623" spans="1:3">
      <c r="A8623">
        <v>459933</v>
      </c>
      <c r="B8623">
        <v>2370324</v>
      </c>
      <c r="C8623" s="32">
        <v>43071.548090277778</v>
      </c>
    </row>
    <row r="8624" spans="1:3">
      <c r="A8624">
        <v>1002341</v>
      </c>
      <c r="B8624">
        <v>3999977</v>
      </c>
      <c r="C8624" s="32">
        <v>43070.71675925926</v>
      </c>
    </row>
    <row r="8625" spans="1:3">
      <c r="A8625">
        <v>537935</v>
      </c>
      <c r="B8625">
        <v>4050612</v>
      </c>
      <c r="C8625" s="32">
        <v>43072.647418981483</v>
      </c>
    </row>
    <row r="8626" spans="1:3">
      <c r="A8626">
        <v>455726</v>
      </c>
      <c r="B8626">
        <v>4801426</v>
      </c>
      <c r="C8626" s="32">
        <v>43072.638182870367</v>
      </c>
    </row>
    <row r="8627" spans="1:3">
      <c r="A8627">
        <v>373038</v>
      </c>
      <c r="B8627">
        <v>901282</v>
      </c>
      <c r="C8627" s="32">
        <v>43072.504861111112</v>
      </c>
    </row>
    <row r="8628" spans="1:3">
      <c r="A8628">
        <v>166822</v>
      </c>
      <c r="B8628">
        <v>1213320</v>
      </c>
      <c r="C8628" s="32">
        <v>43072.585104166668</v>
      </c>
    </row>
    <row r="8629" spans="1:3">
      <c r="A8629">
        <v>386859</v>
      </c>
      <c r="B8629">
        <v>72526</v>
      </c>
      <c r="C8629" s="32">
        <v>43071.288506944446</v>
      </c>
    </row>
    <row r="8630" spans="1:3">
      <c r="A8630">
        <v>934027</v>
      </c>
      <c r="B8630">
        <v>4145813</v>
      </c>
      <c r="C8630" s="32">
        <v>43070.180995370371</v>
      </c>
    </row>
    <row r="8631" spans="1:3">
      <c r="A8631">
        <v>3807</v>
      </c>
      <c r="B8631">
        <v>3087458</v>
      </c>
      <c r="C8631" s="32">
        <v>43072.489641203705</v>
      </c>
    </row>
    <row r="8632" spans="1:3">
      <c r="A8632">
        <v>462555</v>
      </c>
      <c r="B8632">
        <v>2939262</v>
      </c>
      <c r="C8632" s="32">
        <v>43070.276296296295</v>
      </c>
    </row>
    <row r="8633" spans="1:3">
      <c r="A8633">
        <v>88718</v>
      </c>
      <c r="B8633">
        <v>3607361</v>
      </c>
      <c r="C8633" s="32">
        <v>43070.593344907407</v>
      </c>
    </row>
    <row r="8634" spans="1:3">
      <c r="A8634">
        <v>785878</v>
      </c>
      <c r="B8634">
        <v>304205</v>
      </c>
      <c r="C8634" s="32">
        <v>43071.450162037036</v>
      </c>
    </row>
    <row r="8635" spans="1:3">
      <c r="A8635">
        <v>686989</v>
      </c>
      <c r="B8635">
        <v>381850</v>
      </c>
      <c r="C8635" s="32">
        <v>43072.331423611111</v>
      </c>
    </row>
    <row r="8636" spans="1:3">
      <c r="A8636">
        <v>827473</v>
      </c>
      <c r="B8636">
        <v>1859277</v>
      </c>
      <c r="C8636" s="32">
        <v>43071.57534722222</v>
      </c>
    </row>
    <row r="8637" spans="1:3">
      <c r="A8637">
        <v>51636</v>
      </c>
      <c r="B8637">
        <v>4217906</v>
      </c>
      <c r="C8637" s="32">
        <v>43071.706331018519</v>
      </c>
    </row>
    <row r="8638" spans="1:3">
      <c r="A8638">
        <v>379901</v>
      </c>
      <c r="B8638">
        <v>4069500</v>
      </c>
      <c r="C8638" s="32">
        <v>43072.367662037039</v>
      </c>
    </row>
    <row r="8639" spans="1:3">
      <c r="A8639">
        <v>100321</v>
      </c>
      <c r="B8639">
        <v>1467750</v>
      </c>
      <c r="C8639" s="32">
        <v>43072.637638888889</v>
      </c>
    </row>
    <row r="8640" spans="1:3">
      <c r="A8640">
        <v>842119</v>
      </c>
      <c r="B8640">
        <v>4173315</v>
      </c>
      <c r="C8640" s="32">
        <v>43072.568148148152</v>
      </c>
    </row>
    <row r="8641" spans="1:3">
      <c r="A8641">
        <v>653681</v>
      </c>
      <c r="B8641">
        <v>4643350</v>
      </c>
      <c r="C8641" s="32">
        <v>43070.596377314818</v>
      </c>
    </row>
    <row r="8642" spans="1:3">
      <c r="A8642">
        <v>1016300</v>
      </c>
      <c r="B8642">
        <v>4756105</v>
      </c>
      <c r="C8642" s="32">
        <v>43071.296886574077</v>
      </c>
    </row>
    <row r="8643" spans="1:3">
      <c r="A8643">
        <v>296847</v>
      </c>
      <c r="B8643">
        <v>1724559</v>
      </c>
      <c r="C8643" s="32">
        <v>43071.506655092591</v>
      </c>
    </row>
    <row r="8644" spans="1:3">
      <c r="A8644">
        <v>584945</v>
      </c>
      <c r="B8644">
        <v>4411949</v>
      </c>
      <c r="C8644" s="32">
        <v>43071.674247685187</v>
      </c>
    </row>
    <row r="8645" spans="1:3">
      <c r="A8645">
        <v>211093</v>
      </c>
      <c r="B8645">
        <v>4958794</v>
      </c>
      <c r="C8645" s="32">
        <v>43072.25712962963</v>
      </c>
    </row>
    <row r="8646" spans="1:3">
      <c r="A8646">
        <v>100460</v>
      </c>
      <c r="B8646">
        <v>2421366</v>
      </c>
      <c r="C8646" s="32">
        <v>43071.942094907405</v>
      </c>
    </row>
    <row r="8647" spans="1:3">
      <c r="A8647">
        <v>8761</v>
      </c>
      <c r="B8647">
        <v>685330</v>
      </c>
      <c r="C8647" s="32">
        <v>43071.330648148149</v>
      </c>
    </row>
    <row r="8648" spans="1:3">
      <c r="A8648">
        <v>14832</v>
      </c>
      <c r="B8648">
        <v>284968</v>
      </c>
      <c r="C8648" s="32">
        <v>43070.486747685187</v>
      </c>
    </row>
    <row r="8649" spans="1:3">
      <c r="A8649">
        <v>355426</v>
      </c>
      <c r="B8649">
        <v>2241047</v>
      </c>
      <c r="C8649" s="32">
        <v>43072.287928240738</v>
      </c>
    </row>
    <row r="8650" spans="1:3">
      <c r="A8650">
        <v>604612</v>
      </c>
      <c r="B8650">
        <v>2578647</v>
      </c>
      <c r="C8650" s="32">
        <v>43070.142800925925</v>
      </c>
    </row>
    <row r="8651" spans="1:3">
      <c r="A8651">
        <v>375042</v>
      </c>
      <c r="B8651">
        <v>2355072</v>
      </c>
      <c r="C8651" s="32">
        <v>43070.003587962965</v>
      </c>
    </row>
    <row r="8652" spans="1:3">
      <c r="A8652">
        <v>267648</v>
      </c>
      <c r="B8652">
        <v>4145813</v>
      </c>
      <c r="C8652" s="32">
        <v>43070.578819444447</v>
      </c>
    </row>
    <row r="8653" spans="1:3">
      <c r="A8653">
        <v>610917</v>
      </c>
      <c r="B8653">
        <v>982926</v>
      </c>
      <c r="C8653" s="32">
        <v>43071.511643518519</v>
      </c>
    </row>
    <row r="8654" spans="1:3">
      <c r="A8654">
        <v>955608</v>
      </c>
      <c r="B8654">
        <v>1879194</v>
      </c>
      <c r="C8654" s="32">
        <v>43070.505648148152</v>
      </c>
    </row>
    <row r="8655" spans="1:3">
      <c r="A8655">
        <v>153734</v>
      </c>
      <c r="B8655">
        <v>4458428</v>
      </c>
      <c r="C8655" s="32">
        <v>43072.658020833333</v>
      </c>
    </row>
    <row r="8656" spans="1:3">
      <c r="A8656">
        <v>473426</v>
      </c>
      <c r="B8656">
        <v>4969568</v>
      </c>
      <c r="C8656" s="32">
        <v>43069.711527777778</v>
      </c>
    </row>
    <row r="8657" spans="1:3">
      <c r="A8657">
        <v>105949</v>
      </c>
      <c r="B8657">
        <v>5053508</v>
      </c>
      <c r="C8657" s="32">
        <v>43071.605428240742</v>
      </c>
    </row>
    <row r="8658" spans="1:3">
      <c r="A8658">
        <v>747203</v>
      </c>
      <c r="B8658">
        <v>1320293</v>
      </c>
      <c r="C8658" s="32">
        <v>43071.615543981483</v>
      </c>
    </row>
    <row r="8659" spans="1:3">
      <c r="A8659">
        <v>959841</v>
      </c>
      <c r="B8659">
        <v>3579754</v>
      </c>
      <c r="C8659" s="32">
        <v>43072.631898148145</v>
      </c>
    </row>
    <row r="8660" spans="1:3">
      <c r="A8660">
        <v>927703</v>
      </c>
      <c r="B8660">
        <v>1922644</v>
      </c>
      <c r="C8660" s="32">
        <v>43072.583599537036</v>
      </c>
    </row>
    <row r="8661" spans="1:3">
      <c r="A8661">
        <v>756356</v>
      </c>
      <c r="B8661">
        <v>2640118</v>
      </c>
      <c r="C8661" s="32">
        <v>43071.090300925927</v>
      </c>
    </row>
    <row r="8662" spans="1:3">
      <c r="A8662">
        <v>358486</v>
      </c>
      <c r="B8662">
        <v>1320293</v>
      </c>
      <c r="C8662" s="32">
        <v>43071.859166666669</v>
      </c>
    </row>
    <row r="8663" spans="1:3">
      <c r="A8663">
        <v>552007</v>
      </c>
      <c r="B8663">
        <v>3738615</v>
      </c>
      <c r="C8663" s="32">
        <v>43070.053449074076</v>
      </c>
    </row>
    <row r="8664" spans="1:3">
      <c r="A8664">
        <v>42844</v>
      </c>
      <c r="B8664">
        <v>4969568</v>
      </c>
      <c r="C8664" s="32">
        <v>43070.658078703702</v>
      </c>
    </row>
    <row r="8665" spans="1:3">
      <c r="A8665">
        <v>363253</v>
      </c>
      <c r="B8665">
        <v>1669167</v>
      </c>
      <c r="C8665" s="32">
        <v>43070.620682870373</v>
      </c>
    </row>
    <row r="8666" spans="1:3">
      <c r="A8666">
        <v>76145</v>
      </c>
      <c r="B8666">
        <v>4640311</v>
      </c>
      <c r="C8666" s="32">
        <v>43071.628506944442</v>
      </c>
    </row>
    <row r="8667" spans="1:3">
      <c r="A8667">
        <v>23465</v>
      </c>
      <c r="B8667">
        <v>4801426</v>
      </c>
      <c r="C8667" s="32">
        <v>43071.340671296297</v>
      </c>
    </row>
    <row r="8668" spans="1:3">
      <c r="A8668">
        <v>141863</v>
      </c>
      <c r="B8668">
        <v>4339722</v>
      </c>
      <c r="C8668" s="32">
        <v>43072.471990740742</v>
      </c>
    </row>
    <row r="8669" spans="1:3">
      <c r="A8669">
        <v>154375</v>
      </c>
      <c r="B8669">
        <v>3461439</v>
      </c>
      <c r="C8669" s="32">
        <v>43071.645983796298</v>
      </c>
    </row>
    <row r="8670" spans="1:3">
      <c r="A8670">
        <v>539008</v>
      </c>
      <c r="B8670">
        <v>2394030</v>
      </c>
      <c r="C8670" s="32">
        <v>43071.969247685185</v>
      </c>
    </row>
    <row r="8671" spans="1:3">
      <c r="A8671">
        <v>375127</v>
      </c>
      <c r="B8671">
        <v>3002561</v>
      </c>
      <c r="C8671" s="32">
        <v>43070.624907407408</v>
      </c>
    </row>
    <row r="8672" spans="1:3">
      <c r="A8672">
        <v>970644</v>
      </c>
      <c r="B8672">
        <v>4822722</v>
      </c>
      <c r="C8672" s="32">
        <v>43070.467152777775</v>
      </c>
    </row>
    <row r="8673" spans="1:3">
      <c r="A8673">
        <v>286834</v>
      </c>
      <c r="B8673">
        <v>2475942</v>
      </c>
      <c r="C8673" s="32">
        <v>43070.501400462963</v>
      </c>
    </row>
    <row r="8674" spans="1:3">
      <c r="A8674">
        <v>486421</v>
      </c>
      <c r="B8674">
        <v>2462567</v>
      </c>
      <c r="C8674" s="32">
        <v>43072.234942129631</v>
      </c>
    </row>
    <row r="8675" spans="1:3">
      <c r="A8675">
        <v>207554</v>
      </c>
      <c r="B8675">
        <v>4801426</v>
      </c>
      <c r="C8675" s="32">
        <v>43072.207465277781</v>
      </c>
    </row>
    <row r="8676" spans="1:3">
      <c r="A8676">
        <v>993736</v>
      </c>
      <c r="B8676">
        <v>2156156</v>
      </c>
      <c r="C8676" s="32">
        <v>43071.664861111109</v>
      </c>
    </row>
    <row r="8677" spans="1:3">
      <c r="A8677">
        <v>1007878</v>
      </c>
      <c r="B8677">
        <v>4756105</v>
      </c>
      <c r="C8677" s="32">
        <v>43072.567083333335</v>
      </c>
    </row>
    <row r="8678" spans="1:3">
      <c r="A8678">
        <v>842200</v>
      </c>
      <c r="B8678">
        <v>2465336</v>
      </c>
      <c r="C8678" s="32">
        <v>43070.115914351853</v>
      </c>
    </row>
    <row r="8679" spans="1:3">
      <c r="A8679">
        <v>124173</v>
      </c>
      <c r="B8679">
        <v>3002561</v>
      </c>
      <c r="C8679" s="32">
        <v>43071.545300925929</v>
      </c>
    </row>
    <row r="8680" spans="1:3">
      <c r="A8680">
        <v>780604</v>
      </c>
      <c r="B8680">
        <v>2732466</v>
      </c>
      <c r="C8680" s="32">
        <v>43072.47079861111</v>
      </c>
    </row>
    <row r="8681" spans="1:3">
      <c r="A8681">
        <v>824168</v>
      </c>
      <c r="B8681">
        <v>149192</v>
      </c>
      <c r="C8681" s="32">
        <v>43071.665868055556</v>
      </c>
    </row>
    <row r="8682" spans="1:3">
      <c r="A8682">
        <v>55753</v>
      </c>
      <c r="B8682">
        <v>1431810</v>
      </c>
      <c r="C8682" s="32">
        <v>43070.309247685182</v>
      </c>
    </row>
    <row r="8683" spans="1:3">
      <c r="A8683">
        <v>194227</v>
      </c>
      <c r="B8683">
        <v>3161951</v>
      </c>
      <c r="C8683" s="32">
        <v>43070.588055555556</v>
      </c>
    </row>
    <row r="8684" spans="1:3">
      <c r="A8684">
        <v>493177</v>
      </c>
      <c r="B8684">
        <v>235534</v>
      </c>
      <c r="C8684" s="32">
        <v>43070.594201388885</v>
      </c>
    </row>
    <row r="8685" spans="1:3">
      <c r="A8685">
        <v>794061</v>
      </c>
      <c r="B8685">
        <v>2484494</v>
      </c>
      <c r="C8685" s="32">
        <v>43071.51121527778</v>
      </c>
    </row>
    <row r="8686" spans="1:3">
      <c r="A8686">
        <v>664910</v>
      </c>
      <c r="B8686">
        <v>2578647</v>
      </c>
      <c r="C8686" s="32">
        <v>43070.653379629628</v>
      </c>
    </row>
    <row r="8687" spans="1:3">
      <c r="A8687">
        <v>310660</v>
      </c>
      <c r="B8687">
        <v>1464116</v>
      </c>
      <c r="C8687" s="32">
        <v>43071.226284722223</v>
      </c>
    </row>
    <row r="8688" spans="1:3">
      <c r="A8688">
        <v>120258</v>
      </c>
      <c r="B8688">
        <v>672001</v>
      </c>
      <c r="C8688" s="32">
        <v>43070.61986111111</v>
      </c>
    </row>
    <row r="8689" spans="1:3">
      <c r="A8689">
        <v>944501</v>
      </c>
      <c r="B8689">
        <v>1637260</v>
      </c>
      <c r="C8689" s="32">
        <v>43071.068796296298</v>
      </c>
    </row>
    <row r="8690" spans="1:3">
      <c r="A8690">
        <v>856864</v>
      </c>
      <c r="B8690">
        <v>3002561</v>
      </c>
      <c r="C8690" s="32">
        <v>43070.791712962964</v>
      </c>
    </row>
    <row r="8691" spans="1:3">
      <c r="A8691">
        <v>436436</v>
      </c>
      <c r="B8691">
        <v>1258177</v>
      </c>
      <c r="C8691" s="32">
        <v>43070.125138888892</v>
      </c>
    </row>
    <row r="8692" spans="1:3">
      <c r="A8692">
        <v>982955</v>
      </c>
      <c r="B8692">
        <v>1922644</v>
      </c>
      <c r="C8692" s="32">
        <v>43072.351574074077</v>
      </c>
    </row>
    <row r="8693" spans="1:3">
      <c r="A8693">
        <v>824654</v>
      </c>
      <c r="B8693">
        <v>982926</v>
      </c>
      <c r="C8693" s="32">
        <v>43072.247986111113</v>
      </c>
    </row>
    <row r="8694" spans="1:3">
      <c r="A8694">
        <v>703696</v>
      </c>
      <c r="B8694">
        <v>1213320</v>
      </c>
      <c r="C8694" s="32">
        <v>43071.343449074076</v>
      </c>
    </row>
    <row r="8695" spans="1:3">
      <c r="A8695">
        <v>562065</v>
      </c>
      <c r="B8695">
        <v>2476560</v>
      </c>
      <c r="C8695" s="32">
        <v>43072.07708333333</v>
      </c>
    </row>
    <row r="8696" spans="1:3">
      <c r="A8696">
        <v>362692</v>
      </c>
      <c r="B8696">
        <v>2522303</v>
      </c>
      <c r="C8696" s="32">
        <v>43072.318194444444</v>
      </c>
    </row>
    <row r="8697" spans="1:3">
      <c r="A8697">
        <v>371205</v>
      </c>
      <c r="B8697">
        <v>2669578</v>
      </c>
      <c r="C8697" s="32">
        <v>43071.497488425928</v>
      </c>
    </row>
    <row r="8698" spans="1:3">
      <c r="A8698">
        <v>78896</v>
      </c>
      <c r="B8698">
        <v>3738615</v>
      </c>
      <c r="C8698" s="32">
        <v>43072.357499999998</v>
      </c>
    </row>
    <row r="8699" spans="1:3">
      <c r="A8699">
        <v>352851</v>
      </c>
      <c r="B8699">
        <v>2735466</v>
      </c>
      <c r="C8699" s="32">
        <v>43072.606863425928</v>
      </c>
    </row>
    <row r="8700" spans="1:3">
      <c r="A8700">
        <v>251369</v>
      </c>
      <c r="B8700">
        <v>3776866</v>
      </c>
      <c r="C8700" s="32">
        <v>43071.132037037038</v>
      </c>
    </row>
    <row r="8701" spans="1:3">
      <c r="A8701">
        <v>446045</v>
      </c>
      <c r="B8701">
        <v>1320293</v>
      </c>
      <c r="C8701" s="32">
        <v>43071.554178240738</v>
      </c>
    </row>
    <row r="8702" spans="1:3">
      <c r="A8702">
        <v>780922</v>
      </c>
      <c r="B8702">
        <v>4756105</v>
      </c>
      <c r="C8702" s="32">
        <v>43072.1328587963</v>
      </c>
    </row>
    <row r="8703" spans="1:3">
      <c r="A8703">
        <v>199405</v>
      </c>
      <c r="B8703">
        <v>2195789</v>
      </c>
      <c r="C8703" s="32">
        <v>43071.158819444441</v>
      </c>
    </row>
    <row r="8704" spans="1:3">
      <c r="A8704">
        <v>821865</v>
      </c>
      <c r="B8704">
        <v>4918438</v>
      </c>
      <c r="C8704" s="32">
        <v>43071.258391203701</v>
      </c>
    </row>
    <row r="8705" spans="1:3">
      <c r="A8705">
        <v>818592</v>
      </c>
      <c r="B8705">
        <v>4756105</v>
      </c>
      <c r="C8705" s="32">
        <v>43071.030972222223</v>
      </c>
    </row>
    <row r="8706" spans="1:3">
      <c r="A8706">
        <v>933181</v>
      </c>
      <c r="B8706">
        <v>3607361</v>
      </c>
      <c r="C8706" s="32">
        <v>43072.414537037039</v>
      </c>
    </row>
    <row r="8707" spans="1:3">
      <c r="A8707">
        <v>1012204</v>
      </c>
      <c r="B8707">
        <v>1040356</v>
      </c>
      <c r="C8707" s="32">
        <v>43072.565868055557</v>
      </c>
    </row>
    <row r="8708" spans="1:3">
      <c r="A8708">
        <v>669441</v>
      </c>
      <c r="B8708">
        <v>1879194</v>
      </c>
      <c r="C8708" s="32">
        <v>43071.858101851853</v>
      </c>
    </row>
    <row r="8709" spans="1:3">
      <c r="A8709">
        <v>285824</v>
      </c>
      <c r="B8709">
        <v>866301</v>
      </c>
      <c r="C8709" s="32">
        <v>43070.584305555552</v>
      </c>
    </row>
    <row r="8710" spans="1:3">
      <c r="A8710">
        <v>189388</v>
      </c>
      <c r="B8710">
        <v>2468711</v>
      </c>
      <c r="C8710" s="32">
        <v>43072.520416666666</v>
      </c>
    </row>
    <row r="8711" spans="1:3">
      <c r="A8711">
        <v>584233</v>
      </c>
      <c r="B8711">
        <v>4756105</v>
      </c>
      <c r="C8711" s="32">
        <v>43070.923333333332</v>
      </c>
    </row>
    <row r="8712" spans="1:3">
      <c r="A8712">
        <v>972683</v>
      </c>
      <c r="B8712">
        <v>2558244</v>
      </c>
      <c r="C8712" s="32">
        <v>43072.328912037039</v>
      </c>
    </row>
    <row r="8713" spans="1:3">
      <c r="A8713">
        <v>803682</v>
      </c>
      <c r="B8713">
        <v>2355072</v>
      </c>
      <c r="C8713" s="32">
        <v>43071.893611111111</v>
      </c>
    </row>
    <row r="8714" spans="1:3">
      <c r="A8714">
        <v>258163</v>
      </c>
      <c r="B8714">
        <v>2939262</v>
      </c>
      <c r="C8714" s="32">
        <v>43072.389525462961</v>
      </c>
    </row>
    <row r="8715" spans="1:3">
      <c r="A8715">
        <v>60254</v>
      </c>
      <c r="B8715">
        <v>1265358</v>
      </c>
      <c r="C8715" s="32">
        <v>43070.508472222224</v>
      </c>
    </row>
    <row r="8716" spans="1:3">
      <c r="A8716">
        <v>671640</v>
      </c>
      <c r="B8716">
        <v>1787510</v>
      </c>
      <c r="C8716" s="32">
        <v>43070.493298611109</v>
      </c>
    </row>
    <row r="8717" spans="1:3">
      <c r="A8717">
        <v>341783</v>
      </c>
      <c r="B8717">
        <v>3524510</v>
      </c>
      <c r="C8717" s="32">
        <v>43071.726273148146</v>
      </c>
    </row>
    <row r="8718" spans="1:3">
      <c r="A8718">
        <v>390618</v>
      </c>
      <c r="B8718">
        <v>4476428</v>
      </c>
      <c r="C8718" s="32">
        <v>43070.26494212963</v>
      </c>
    </row>
    <row r="8719" spans="1:3">
      <c r="A8719">
        <v>612652</v>
      </c>
      <c r="B8719">
        <v>886203</v>
      </c>
      <c r="C8719" s="32">
        <v>43071.540821759256</v>
      </c>
    </row>
    <row r="8720" spans="1:3">
      <c r="A8720">
        <v>933136</v>
      </c>
      <c r="B8720">
        <v>2926020</v>
      </c>
      <c r="C8720" s="32">
        <v>43072.039699074077</v>
      </c>
    </row>
    <row r="8721" spans="1:3">
      <c r="A8721">
        <v>494975</v>
      </c>
      <c r="B8721">
        <v>3189162</v>
      </c>
      <c r="C8721" s="32">
        <v>43070.577638888892</v>
      </c>
    </row>
    <row r="8722" spans="1:3">
      <c r="A8722">
        <v>538833</v>
      </c>
      <c r="B8722">
        <v>2529187</v>
      </c>
      <c r="C8722" s="32">
        <v>43072.298263888886</v>
      </c>
    </row>
    <row r="8723" spans="1:3">
      <c r="A8723">
        <v>253518</v>
      </c>
      <c r="B8723">
        <v>3975787</v>
      </c>
      <c r="C8723" s="32">
        <v>43071.495787037034</v>
      </c>
    </row>
    <row r="8724" spans="1:3">
      <c r="A8724">
        <v>480316</v>
      </c>
      <c r="B8724">
        <v>1474371</v>
      </c>
      <c r="C8724" s="32">
        <v>43072.200590277775</v>
      </c>
    </row>
    <row r="8725" spans="1:3">
      <c r="A8725">
        <v>917850</v>
      </c>
      <c r="B8725">
        <v>2440115</v>
      </c>
      <c r="C8725" s="32">
        <v>43071.329259259262</v>
      </c>
    </row>
    <row r="8726" spans="1:3">
      <c r="A8726">
        <v>808838</v>
      </c>
      <c r="B8726">
        <v>2520377</v>
      </c>
      <c r="C8726" s="32">
        <v>43071.722905092596</v>
      </c>
    </row>
    <row r="8727" spans="1:3">
      <c r="A8727">
        <v>369360</v>
      </c>
      <c r="B8727">
        <v>4756105</v>
      </c>
      <c r="C8727" s="32">
        <v>43071.444131944445</v>
      </c>
    </row>
    <row r="8728" spans="1:3">
      <c r="A8728">
        <v>162379</v>
      </c>
      <c r="B8728">
        <v>2640118</v>
      </c>
      <c r="C8728" s="32">
        <v>43072.05023148148</v>
      </c>
    </row>
    <row r="8729" spans="1:3">
      <c r="A8729">
        <v>168921</v>
      </c>
      <c r="B8729">
        <v>3607361</v>
      </c>
      <c r="C8729" s="32">
        <v>43071.625150462962</v>
      </c>
    </row>
    <row r="8730" spans="1:3">
      <c r="A8730">
        <v>852321</v>
      </c>
      <c r="B8730">
        <v>2920476</v>
      </c>
      <c r="C8730" s="32">
        <v>43071.634421296294</v>
      </c>
    </row>
    <row r="8731" spans="1:3">
      <c r="A8731">
        <v>196425</v>
      </c>
      <c r="B8731">
        <v>4082778</v>
      </c>
      <c r="C8731" s="32">
        <v>43071.159016203703</v>
      </c>
    </row>
    <row r="8732" spans="1:3">
      <c r="A8732">
        <v>356255</v>
      </c>
      <c r="B8732">
        <v>4466876</v>
      </c>
      <c r="C8732" s="32">
        <v>43071.266932870371</v>
      </c>
    </row>
    <row r="8733" spans="1:3">
      <c r="A8733">
        <v>251212</v>
      </c>
      <c r="B8733">
        <v>3138705</v>
      </c>
      <c r="C8733" s="32">
        <v>43070.602256944447</v>
      </c>
    </row>
    <row r="8734" spans="1:3">
      <c r="A8734">
        <v>609838</v>
      </c>
      <c r="B8734">
        <v>1074254</v>
      </c>
      <c r="C8734" s="32">
        <v>43072.606666666667</v>
      </c>
    </row>
    <row r="8735" spans="1:3">
      <c r="A8735">
        <v>174610</v>
      </c>
      <c r="B8735">
        <v>1420205</v>
      </c>
      <c r="C8735" s="32">
        <v>43072.512523148151</v>
      </c>
    </row>
    <row r="8736" spans="1:3">
      <c r="A8736">
        <v>712433</v>
      </c>
      <c r="B8736">
        <v>1299190</v>
      </c>
      <c r="C8736" s="32">
        <v>43069.98165509259</v>
      </c>
    </row>
    <row r="8737" spans="1:3">
      <c r="A8737">
        <v>949177</v>
      </c>
      <c r="B8737">
        <v>119741</v>
      </c>
      <c r="C8737" s="32">
        <v>43071.995486111111</v>
      </c>
    </row>
    <row r="8738" spans="1:3">
      <c r="A8738">
        <v>212803</v>
      </c>
      <c r="B8738">
        <v>2827444</v>
      </c>
      <c r="C8738" s="32">
        <v>43072.484826388885</v>
      </c>
    </row>
    <row r="8739" spans="1:3">
      <c r="A8739">
        <v>371283</v>
      </c>
      <c r="B8739">
        <v>4145813</v>
      </c>
      <c r="C8739" s="32">
        <v>43072.624861111108</v>
      </c>
    </row>
    <row r="8740" spans="1:3">
      <c r="A8740">
        <v>723324</v>
      </c>
      <c r="B8740">
        <v>4643350</v>
      </c>
      <c r="C8740" s="32">
        <v>43070.010115740741</v>
      </c>
    </row>
    <row r="8741" spans="1:3">
      <c r="A8741">
        <v>18768</v>
      </c>
      <c r="B8741">
        <v>4050612</v>
      </c>
      <c r="C8741" s="32">
        <v>43071.447418981479</v>
      </c>
    </row>
    <row r="8742" spans="1:3">
      <c r="A8742">
        <v>414484</v>
      </c>
      <c r="B8742">
        <v>344833</v>
      </c>
      <c r="C8742" s="32">
        <v>43072.552499999998</v>
      </c>
    </row>
    <row r="8743" spans="1:3">
      <c r="A8743">
        <v>24539</v>
      </c>
      <c r="B8743">
        <v>4882154</v>
      </c>
      <c r="C8743" s="32">
        <v>43072.522222222222</v>
      </c>
    </row>
    <row r="8744" spans="1:3">
      <c r="A8744">
        <v>324195</v>
      </c>
      <c r="B8744">
        <v>2520377</v>
      </c>
      <c r="C8744" s="32">
        <v>43072.507719907408</v>
      </c>
    </row>
    <row r="8745" spans="1:3">
      <c r="A8745">
        <v>530542</v>
      </c>
      <c r="B8745">
        <v>4882154</v>
      </c>
      <c r="C8745" s="32">
        <v>43070.692650462966</v>
      </c>
    </row>
    <row r="8746" spans="1:3">
      <c r="A8746">
        <v>530563</v>
      </c>
      <c r="B8746">
        <v>4690421</v>
      </c>
      <c r="C8746" s="32">
        <v>43072.136192129627</v>
      </c>
    </row>
    <row r="8747" spans="1:3">
      <c r="A8747">
        <v>699052</v>
      </c>
      <c r="B8747">
        <v>2735466</v>
      </c>
      <c r="C8747" s="32">
        <v>43071.97179398148</v>
      </c>
    </row>
    <row r="8748" spans="1:3">
      <c r="A8748">
        <v>804613</v>
      </c>
      <c r="B8748">
        <v>3975787</v>
      </c>
      <c r="C8748" s="32">
        <v>43071.652291666665</v>
      </c>
    </row>
    <row r="8749" spans="1:3">
      <c r="A8749">
        <v>479809</v>
      </c>
      <c r="B8749">
        <v>1464116</v>
      </c>
      <c r="C8749" s="32">
        <v>43072.286516203705</v>
      </c>
    </row>
    <row r="8750" spans="1:3">
      <c r="A8750">
        <v>974771</v>
      </c>
      <c r="B8750">
        <v>4756105</v>
      </c>
      <c r="C8750" s="32">
        <v>43071.020474537036</v>
      </c>
    </row>
    <row r="8751" spans="1:3">
      <c r="A8751">
        <v>686304</v>
      </c>
      <c r="B8751">
        <v>3138705</v>
      </c>
      <c r="C8751" s="32">
        <v>43072.581053240741</v>
      </c>
    </row>
    <row r="8752" spans="1:3">
      <c r="A8752">
        <v>729482</v>
      </c>
      <c r="B8752">
        <v>344833</v>
      </c>
      <c r="C8752" s="32">
        <v>43070.654513888891</v>
      </c>
    </row>
    <row r="8753" spans="1:3">
      <c r="A8753">
        <v>842078</v>
      </c>
      <c r="B8753">
        <v>4350978</v>
      </c>
      <c r="C8753" s="32">
        <v>43072.196296296293</v>
      </c>
    </row>
    <row r="8754" spans="1:3">
      <c r="A8754">
        <v>789539</v>
      </c>
      <c r="B8754">
        <v>2381796</v>
      </c>
      <c r="C8754" s="32">
        <v>43072.345266203702</v>
      </c>
    </row>
    <row r="8755" spans="1:3">
      <c r="A8755">
        <v>618852</v>
      </c>
      <c r="B8755">
        <v>74446</v>
      </c>
      <c r="C8755" s="32">
        <v>43071.418032407404</v>
      </c>
    </row>
    <row r="8756" spans="1:3">
      <c r="A8756">
        <v>15902</v>
      </c>
      <c r="B8756">
        <v>142059</v>
      </c>
      <c r="C8756" s="32">
        <v>43070.019768518519</v>
      </c>
    </row>
    <row r="8757" spans="1:3">
      <c r="A8757">
        <v>840118</v>
      </c>
      <c r="B8757">
        <v>4756105</v>
      </c>
      <c r="C8757" s="32">
        <v>43070.959293981483</v>
      </c>
    </row>
    <row r="8758" spans="1:3">
      <c r="A8758">
        <v>314829</v>
      </c>
      <c r="B8758">
        <v>4756105</v>
      </c>
      <c r="C8758" s="32">
        <v>43072.075613425928</v>
      </c>
    </row>
    <row r="8759" spans="1:3">
      <c r="A8759">
        <v>551492</v>
      </c>
      <c r="B8759">
        <v>2355072</v>
      </c>
      <c r="C8759" s="32">
        <v>43072.002708333333</v>
      </c>
    </row>
    <row r="8760" spans="1:3">
      <c r="A8760">
        <v>678342</v>
      </c>
      <c r="B8760">
        <v>163196</v>
      </c>
      <c r="C8760" s="32">
        <v>43071.567939814813</v>
      </c>
    </row>
    <row r="8761" spans="1:3">
      <c r="A8761">
        <v>707911</v>
      </c>
      <c r="B8761">
        <v>2520377</v>
      </c>
      <c r="C8761" s="32">
        <v>43070.046932870369</v>
      </c>
    </row>
    <row r="8762" spans="1:3">
      <c r="A8762">
        <v>919700</v>
      </c>
      <c r="B8762">
        <v>1973012</v>
      </c>
      <c r="C8762" s="32">
        <v>43072.260497685187</v>
      </c>
    </row>
    <row r="8763" spans="1:3">
      <c r="A8763">
        <v>748101</v>
      </c>
      <c r="B8763">
        <v>2419959</v>
      </c>
      <c r="C8763" s="32">
        <v>43071.486712962964</v>
      </c>
    </row>
    <row r="8764" spans="1:3">
      <c r="A8764">
        <v>420225</v>
      </c>
      <c r="B8764">
        <v>1792277</v>
      </c>
      <c r="C8764" s="32">
        <v>43072.3278587963</v>
      </c>
    </row>
    <row r="8765" spans="1:3">
      <c r="A8765">
        <v>915581</v>
      </c>
      <c r="B8765">
        <v>3870839</v>
      </c>
      <c r="C8765" s="32">
        <v>43070.624224537038</v>
      </c>
    </row>
    <row r="8766" spans="1:3">
      <c r="A8766">
        <v>137779</v>
      </c>
      <c r="B8766">
        <v>4756105</v>
      </c>
      <c r="C8766" s="32">
        <v>43071.13175925926</v>
      </c>
    </row>
    <row r="8767" spans="1:3">
      <c r="A8767">
        <v>100225</v>
      </c>
      <c r="B8767">
        <v>238434</v>
      </c>
      <c r="C8767" s="32">
        <v>43071.036215277774</v>
      </c>
    </row>
    <row r="8768" spans="1:3">
      <c r="A8768">
        <v>62208</v>
      </c>
      <c r="B8768">
        <v>570735</v>
      </c>
      <c r="C8768" s="32">
        <v>43070.291562500002</v>
      </c>
    </row>
    <row r="8769" spans="1:3">
      <c r="A8769">
        <v>68194</v>
      </c>
      <c r="B8769">
        <v>3607361</v>
      </c>
      <c r="C8769" s="32">
        <v>43072.222199074073</v>
      </c>
    </row>
    <row r="8770" spans="1:3">
      <c r="A8770">
        <v>704880</v>
      </c>
      <c r="B8770">
        <v>4756105</v>
      </c>
      <c r="C8770" s="32">
        <v>43071.474988425929</v>
      </c>
    </row>
    <row r="8771" spans="1:3">
      <c r="A8771">
        <v>658249</v>
      </c>
      <c r="B8771">
        <v>4217906</v>
      </c>
      <c r="C8771" s="32">
        <v>43072.460740740738</v>
      </c>
    </row>
    <row r="8772" spans="1:3">
      <c r="A8772">
        <v>624047</v>
      </c>
      <c r="B8772">
        <v>4358294</v>
      </c>
      <c r="C8772" s="32">
        <v>43072.221655092595</v>
      </c>
    </row>
    <row r="8773" spans="1:3">
      <c r="A8773">
        <v>529677</v>
      </c>
      <c r="B8773">
        <v>883960</v>
      </c>
      <c r="C8773" s="32">
        <v>43070.657824074071</v>
      </c>
    </row>
    <row r="8774" spans="1:3">
      <c r="A8774">
        <v>887717</v>
      </c>
      <c r="B8774">
        <v>3075521</v>
      </c>
      <c r="C8774" s="32">
        <v>43069.981539351851</v>
      </c>
    </row>
    <row r="8775" spans="1:3">
      <c r="A8775">
        <v>930213</v>
      </c>
      <c r="B8775">
        <v>2640118</v>
      </c>
      <c r="C8775" s="32">
        <v>43071.004062499997</v>
      </c>
    </row>
    <row r="8776" spans="1:3">
      <c r="A8776">
        <v>57121</v>
      </c>
      <c r="B8776">
        <v>4170419</v>
      </c>
      <c r="C8776" s="32">
        <v>43072.569155092591</v>
      </c>
    </row>
    <row r="8777" spans="1:3">
      <c r="A8777">
        <v>62853</v>
      </c>
      <c r="B8777">
        <v>1014423</v>
      </c>
      <c r="C8777" s="32">
        <v>43070.55841435185</v>
      </c>
    </row>
    <row r="8778" spans="1:3">
      <c r="A8778">
        <v>999713</v>
      </c>
      <c r="B8778">
        <v>4357323</v>
      </c>
      <c r="C8778" s="32">
        <v>43070.523854166669</v>
      </c>
    </row>
    <row r="8779" spans="1:3">
      <c r="A8779">
        <v>712410</v>
      </c>
      <c r="B8779">
        <v>1029459</v>
      </c>
      <c r="C8779" s="32">
        <v>43072.15016203704</v>
      </c>
    </row>
    <row r="8780" spans="1:3">
      <c r="A8780">
        <v>539250</v>
      </c>
      <c r="B8780">
        <v>1158475</v>
      </c>
      <c r="C8780" s="32">
        <v>43069.956817129627</v>
      </c>
    </row>
    <row r="8781" spans="1:3">
      <c r="A8781">
        <v>1014889</v>
      </c>
      <c r="B8781">
        <v>2465336</v>
      </c>
      <c r="C8781" s="32">
        <v>43070.621446759258</v>
      </c>
    </row>
    <row r="8782" spans="1:3">
      <c r="A8782">
        <v>348620</v>
      </c>
      <c r="B8782">
        <v>2256028</v>
      </c>
      <c r="C8782" s="32">
        <v>43070.165856481479</v>
      </c>
    </row>
    <row r="8783" spans="1:3">
      <c r="A8783">
        <v>85090</v>
      </c>
      <c r="B8783">
        <v>753984</v>
      </c>
      <c r="C8783" s="32">
        <v>43070.489166666666</v>
      </c>
    </row>
    <row r="8784" spans="1:3">
      <c r="A8784">
        <v>692821</v>
      </c>
      <c r="B8784">
        <v>3231625</v>
      </c>
      <c r="C8784" s="32">
        <v>43071.571643518517</v>
      </c>
    </row>
    <row r="8785" spans="1:3">
      <c r="A8785">
        <v>227898</v>
      </c>
      <c r="B8785">
        <v>1312642</v>
      </c>
      <c r="C8785" s="32">
        <v>43072.375405092593</v>
      </c>
    </row>
    <row r="8786" spans="1:3">
      <c r="A8786">
        <v>365290</v>
      </c>
      <c r="B8786">
        <v>2520377</v>
      </c>
      <c r="C8786" s="32">
        <v>43072.19190972222</v>
      </c>
    </row>
    <row r="8787" spans="1:3">
      <c r="A8787">
        <v>442634</v>
      </c>
      <c r="B8787">
        <v>2520377</v>
      </c>
      <c r="C8787" s="32">
        <v>43070.351747685185</v>
      </c>
    </row>
    <row r="8788" spans="1:3">
      <c r="A8788">
        <v>970250</v>
      </c>
      <c r="B8788">
        <v>245312</v>
      </c>
      <c r="C8788" s="32">
        <v>43070.30572916667</v>
      </c>
    </row>
    <row r="8789" spans="1:3">
      <c r="A8789">
        <v>785951</v>
      </c>
      <c r="B8789">
        <v>2026832</v>
      </c>
      <c r="C8789" s="32">
        <v>43071.425949074073</v>
      </c>
    </row>
    <row r="8790" spans="1:3">
      <c r="A8790">
        <v>132367</v>
      </c>
      <c r="B8790">
        <v>5063620</v>
      </c>
      <c r="C8790" s="32">
        <v>43069.928726851853</v>
      </c>
    </row>
    <row r="8791" spans="1:3">
      <c r="A8791">
        <v>180087</v>
      </c>
      <c r="B8791">
        <v>2982027</v>
      </c>
      <c r="C8791" s="32">
        <v>43071.484502314815</v>
      </c>
    </row>
    <row r="8792" spans="1:3">
      <c r="A8792">
        <v>685533</v>
      </c>
      <c r="B8792">
        <v>1320293</v>
      </c>
      <c r="C8792" s="32">
        <v>43069.705081018517</v>
      </c>
    </row>
    <row r="8793" spans="1:3">
      <c r="A8793">
        <v>759754</v>
      </c>
      <c r="B8793">
        <v>2939262</v>
      </c>
      <c r="C8793" s="32">
        <v>43072.620856481481</v>
      </c>
    </row>
    <row r="8794" spans="1:3">
      <c r="A8794">
        <v>244069</v>
      </c>
      <c r="B8794">
        <v>4581579</v>
      </c>
      <c r="C8794" s="32">
        <v>43071.649583333332</v>
      </c>
    </row>
    <row r="8795" spans="1:3">
      <c r="A8795">
        <v>560961</v>
      </c>
      <c r="B8795">
        <v>3795340</v>
      </c>
      <c r="C8795" s="32">
        <v>43072.068344907406</v>
      </c>
    </row>
    <row r="8796" spans="1:3">
      <c r="A8796">
        <v>805117</v>
      </c>
      <c r="B8796">
        <v>3004853</v>
      </c>
      <c r="C8796" s="32">
        <v>43070.343518518515</v>
      </c>
    </row>
    <row r="8797" spans="1:3">
      <c r="A8797">
        <v>406282</v>
      </c>
      <c r="B8797">
        <v>1575622</v>
      </c>
      <c r="C8797" s="32">
        <v>43072.653935185182</v>
      </c>
    </row>
    <row r="8798" spans="1:3">
      <c r="A8798">
        <v>983098</v>
      </c>
      <c r="B8798">
        <v>4251131</v>
      </c>
      <c r="C8798" s="32">
        <v>43070.63962962963</v>
      </c>
    </row>
    <row r="8799" spans="1:3">
      <c r="A8799">
        <v>469878</v>
      </c>
      <c r="B8799">
        <v>4310023</v>
      </c>
      <c r="C8799" s="32">
        <v>43071.436597222222</v>
      </c>
    </row>
    <row r="8800" spans="1:3">
      <c r="A8800">
        <v>146246</v>
      </c>
      <c r="B8800">
        <v>2355072</v>
      </c>
      <c r="C8800" s="32">
        <v>43070.682974537034</v>
      </c>
    </row>
    <row r="8801" spans="1:3">
      <c r="A8801">
        <v>640630</v>
      </c>
      <c r="B8801">
        <v>2529187</v>
      </c>
      <c r="C8801" s="32">
        <v>43070.594548611109</v>
      </c>
    </row>
    <row r="8802" spans="1:3">
      <c r="A8802">
        <v>641695</v>
      </c>
      <c r="B8802">
        <v>1488813</v>
      </c>
      <c r="C8802" s="32">
        <v>43071.432268518518</v>
      </c>
    </row>
    <row r="8803" spans="1:3">
      <c r="A8803">
        <v>1004032</v>
      </c>
      <c r="B8803">
        <v>1817077</v>
      </c>
      <c r="C8803" s="32">
        <v>43071.628344907411</v>
      </c>
    </row>
    <row r="8804" spans="1:3">
      <c r="A8804">
        <v>167919</v>
      </c>
      <c r="B8804">
        <v>3053182</v>
      </c>
      <c r="C8804" s="32">
        <v>43071.693148148152</v>
      </c>
    </row>
    <row r="8805" spans="1:3">
      <c r="A8805">
        <v>379010</v>
      </c>
      <c r="B8805">
        <v>4509358</v>
      </c>
      <c r="C8805" s="32">
        <v>43071.302418981482</v>
      </c>
    </row>
    <row r="8806" spans="1:3">
      <c r="A8806">
        <v>470189</v>
      </c>
      <c r="B8806">
        <v>4801426</v>
      </c>
      <c r="C8806" s="32">
        <v>43072.036377314813</v>
      </c>
    </row>
    <row r="8807" spans="1:3">
      <c r="A8807">
        <v>988236</v>
      </c>
      <c r="B8807">
        <v>982926</v>
      </c>
      <c r="C8807" s="32">
        <v>43070.587395833332</v>
      </c>
    </row>
    <row r="8808" spans="1:3">
      <c r="A8808">
        <v>125561</v>
      </c>
      <c r="B8808">
        <v>3158249</v>
      </c>
      <c r="C8808" s="32">
        <v>43072.137337962966</v>
      </c>
    </row>
    <row r="8809" spans="1:3">
      <c r="A8809">
        <v>36492</v>
      </c>
      <c r="B8809">
        <v>1029459</v>
      </c>
      <c r="C8809" s="32">
        <v>43072.244317129633</v>
      </c>
    </row>
    <row r="8810" spans="1:3">
      <c r="A8810">
        <v>547759</v>
      </c>
      <c r="B8810">
        <v>149192</v>
      </c>
      <c r="C8810" s="32">
        <v>43072.236238425925</v>
      </c>
    </row>
    <row r="8811" spans="1:3">
      <c r="A8811">
        <v>302461</v>
      </c>
      <c r="B8811">
        <v>3228699</v>
      </c>
      <c r="C8811" s="32">
        <v>43071.527187500003</v>
      </c>
    </row>
    <row r="8812" spans="1:3">
      <c r="A8812">
        <v>751961</v>
      </c>
      <c r="B8812">
        <v>2533979</v>
      </c>
      <c r="C8812" s="32">
        <v>43071.856585648151</v>
      </c>
    </row>
    <row r="8813" spans="1:3">
      <c r="A8813">
        <v>829874</v>
      </c>
      <c r="B8813">
        <v>1575622</v>
      </c>
      <c r="C8813" s="32">
        <v>43071.152094907404</v>
      </c>
    </row>
    <row r="8814" spans="1:3">
      <c r="A8814">
        <v>288895</v>
      </c>
      <c r="B8814">
        <v>3299155</v>
      </c>
      <c r="C8814" s="32">
        <v>43069.747048611112</v>
      </c>
    </row>
    <row r="8815" spans="1:3">
      <c r="A8815">
        <v>9261</v>
      </c>
      <c r="B8815">
        <v>283109</v>
      </c>
      <c r="C8815" s="32">
        <v>43070.321145833332</v>
      </c>
    </row>
    <row r="8816" spans="1:3">
      <c r="A8816">
        <v>726094</v>
      </c>
      <c r="B8816">
        <v>4700878</v>
      </c>
      <c r="C8816" s="32">
        <v>43071.48746527778</v>
      </c>
    </row>
    <row r="8817" spans="1:3">
      <c r="A8817">
        <v>431452</v>
      </c>
      <c r="B8817">
        <v>3422001</v>
      </c>
      <c r="C8817" s="32">
        <v>43072.125590277778</v>
      </c>
    </row>
    <row r="8818" spans="1:3">
      <c r="A8818">
        <v>494754</v>
      </c>
      <c r="B8818">
        <v>1678374</v>
      </c>
      <c r="C8818" s="32">
        <v>43070.54351851852</v>
      </c>
    </row>
    <row r="8819" spans="1:3">
      <c r="A8819">
        <v>868713</v>
      </c>
      <c r="B8819">
        <v>1216617</v>
      </c>
      <c r="C8819" s="32">
        <v>43071.578622685185</v>
      </c>
    </row>
    <row r="8820" spans="1:3">
      <c r="A8820">
        <v>272107</v>
      </c>
      <c r="B8820">
        <v>3645362</v>
      </c>
      <c r="C8820" s="32">
        <v>43072.224247685182</v>
      </c>
    </row>
    <row r="8821" spans="1:3">
      <c r="A8821">
        <v>435605</v>
      </c>
      <c r="B8821">
        <v>982926</v>
      </c>
      <c r="C8821" s="32">
        <v>43070.754201388889</v>
      </c>
    </row>
    <row r="8822" spans="1:3">
      <c r="A8822">
        <v>899271</v>
      </c>
      <c r="B8822">
        <v>757910</v>
      </c>
      <c r="C8822" s="32">
        <v>43071.221354166664</v>
      </c>
    </row>
    <row r="8823" spans="1:3">
      <c r="A8823">
        <v>345917</v>
      </c>
      <c r="B8823">
        <v>102272</v>
      </c>
      <c r="C8823" s="32">
        <v>43070.34784722222</v>
      </c>
    </row>
    <row r="8824" spans="1:3">
      <c r="A8824">
        <v>534400</v>
      </c>
      <c r="B8824">
        <v>2735466</v>
      </c>
      <c r="C8824" s="32">
        <v>43071.597060185188</v>
      </c>
    </row>
    <row r="8825" spans="1:3">
      <c r="A8825">
        <v>557604</v>
      </c>
      <c r="B8825">
        <v>149192</v>
      </c>
      <c r="C8825" s="32">
        <v>43071.512685185182</v>
      </c>
    </row>
    <row r="8826" spans="1:3">
      <c r="A8826">
        <v>460271</v>
      </c>
      <c r="B8826">
        <v>2576484</v>
      </c>
      <c r="C8826" s="32">
        <v>43071.700949074075</v>
      </c>
    </row>
    <row r="8827" spans="1:3">
      <c r="A8827">
        <v>501122</v>
      </c>
      <c r="B8827">
        <v>4241245</v>
      </c>
      <c r="C8827" s="32">
        <v>43072.632175925923</v>
      </c>
    </row>
    <row r="8828" spans="1:3">
      <c r="A8828">
        <v>976169</v>
      </c>
      <c r="B8828">
        <v>235534</v>
      </c>
      <c r="C8828" s="32">
        <v>43070.669791666667</v>
      </c>
    </row>
    <row r="8829" spans="1:3">
      <c r="A8829">
        <v>596026</v>
      </c>
      <c r="B8829">
        <v>4181361</v>
      </c>
      <c r="C8829" s="32">
        <v>43072.084733796299</v>
      </c>
    </row>
    <row r="8830" spans="1:3">
      <c r="A8830">
        <v>624590</v>
      </c>
      <c r="B8830">
        <v>2355072</v>
      </c>
      <c r="C8830" s="32">
        <v>43070.08934027778</v>
      </c>
    </row>
    <row r="8831" spans="1:3">
      <c r="A8831">
        <v>527055</v>
      </c>
      <c r="B8831">
        <v>2977465</v>
      </c>
      <c r="C8831" s="32">
        <v>43072.122604166667</v>
      </c>
    </row>
    <row r="8832" spans="1:3">
      <c r="A8832">
        <v>400108</v>
      </c>
      <c r="B8832">
        <v>2926020</v>
      </c>
      <c r="C8832" s="32">
        <v>43071.529027777775</v>
      </c>
    </row>
    <row r="8833" spans="1:3">
      <c r="A8833">
        <v>700265</v>
      </c>
      <c r="B8833">
        <v>983613</v>
      </c>
      <c r="C8833" s="32">
        <v>43071.579398148147</v>
      </c>
    </row>
    <row r="8834" spans="1:3">
      <c r="A8834">
        <v>781387</v>
      </c>
      <c r="B8834">
        <v>856718</v>
      </c>
      <c r="C8834" s="32">
        <v>43070.62599537037</v>
      </c>
    </row>
    <row r="8835" spans="1:3">
      <c r="A8835">
        <v>843659</v>
      </c>
      <c r="B8835">
        <v>2033408</v>
      </c>
      <c r="C8835" s="32">
        <v>43072.173576388886</v>
      </c>
    </row>
    <row r="8836" spans="1:3">
      <c r="A8836">
        <v>737143</v>
      </c>
      <c r="B8836">
        <v>901282</v>
      </c>
      <c r="C8836" s="32">
        <v>43069.743668981479</v>
      </c>
    </row>
    <row r="8837" spans="1:3">
      <c r="A8837">
        <v>340339</v>
      </c>
      <c r="B8837">
        <v>2131531</v>
      </c>
      <c r="C8837" s="32">
        <v>43071.113368055558</v>
      </c>
    </row>
    <row r="8838" spans="1:3">
      <c r="A8838">
        <v>304157</v>
      </c>
      <c r="B8838">
        <v>866301</v>
      </c>
      <c r="C8838" s="32">
        <v>43071.987905092596</v>
      </c>
    </row>
    <row r="8839" spans="1:3">
      <c r="A8839">
        <v>713637</v>
      </c>
      <c r="B8839">
        <v>1895133</v>
      </c>
      <c r="C8839" s="32">
        <v>43072.593773148146</v>
      </c>
    </row>
    <row r="8840" spans="1:3">
      <c r="A8840">
        <v>587930</v>
      </c>
      <c r="B8840">
        <v>4672150</v>
      </c>
      <c r="C8840" s="32">
        <v>43071.20553240741</v>
      </c>
    </row>
    <row r="8841" spans="1:3">
      <c r="A8841">
        <v>641569</v>
      </c>
      <c r="B8841">
        <v>982926</v>
      </c>
      <c r="C8841" s="32">
        <v>43070.047037037039</v>
      </c>
    </row>
    <row r="8842" spans="1:3">
      <c r="A8842">
        <v>729058</v>
      </c>
      <c r="B8842">
        <v>982926</v>
      </c>
      <c r="C8842" s="32">
        <v>43071.633576388886</v>
      </c>
    </row>
    <row r="8843" spans="1:3">
      <c r="A8843">
        <v>798293</v>
      </c>
      <c r="B8843">
        <v>4606718</v>
      </c>
      <c r="C8843" s="32">
        <v>43071.529594907406</v>
      </c>
    </row>
    <row r="8844" spans="1:3">
      <c r="A8844">
        <v>491722</v>
      </c>
      <c r="B8844">
        <v>2988043</v>
      </c>
      <c r="C8844" s="32">
        <v>43070.238865740743</v>
      </c>
    </row>
    <row r="8845" spans="1:3">
      <c r="A8845">
        <v>276780</v>
      </c>
      <c r="B8845">
        <v>245030</v>
      </c>
      <c r="C8845" s="32">
        <v>43071.566030092596</v>
      </c>
    </row>
    <row r="8846" spans="1:3">
      <c r="A8846">
        <v>639202</v>
      </c>
      <c r="B8846">
        <v>4801426</v>
      </c>
      <c r="C8846" s="32">
        <v>43071.405636574076</v>
      </c>
    </row>
    <row r="8847" spans="1:3">
      <c r="A8847">
        <v>973423</v>
      </c>
      <c r="B8847">
        <v>384755</v>
      </c>
      <c r="C8847" s="32">
        <v>43069.728483796294</v>
      </c>
    </row>
    <row r="8848" spans="1:3">
      <c r="A8848">
        <v>300223</v>
      </c>
      <c r="B8848">
        <v>4756105</v>
      </c>
      <c r="C8848" s="32">
        <v>43070.94321759259</v>
      </c>
    </row>
    <row r="8849" spans="1:3">
      <c r="A8849">
        <v>333707</v>
      </c>
      <c r="B8849">
        <v>3566034</v>
      </c>
      <c r="C8849" s="32">
        <v>43072.639814814815</v>
      </c>
    </row>
    <row r="8850" spans="1:3">
      <c r="A8850">
        <v>200688</v>
      </c>
      <c r="B8850">
        <v>1080785</v>
      </c>
      <c r="C8850" s="32">
        <v>43071.540347222224</v>
      </c>
    </row>
    <row r="8851" spans="1:3">
      <c r="A8851">
        <v>807991</v>
      </c>
      <c r="B8851">
        <v>2440364</v>
      </c>
      <c r="C8851" s="32">
        <v>43071.08222222222</v>
      </c>
    </row>
    <row r="8852" spans="1:3">
      <c r="A8852">
        <v>717231</v>
      </c>
      <c r="B8852">
        <v>3002561</v>
      </c>
      <c r="C8852" s="32">
        <v>43072.371539351851</v>
      </c>
    </row>
    <row r="8853" spans="1:3">
      <c r="A8853">
        <v>835787</v>
      </c>
      <c r="B8853">
        <v>2355072</v>
      </c>
      <c r="C8853" s="32">
        <v>43072.135231481479</v>
      </c>
    </row>
    <row r="8854" spans="1:3">
      <c r="A8854">
        <v>69240</v>
      </c>
      <c r="B8854">
        <v>4145813</v>
      </c>
      <c r="C8854" s="32">
        <v>43072.136041666665</v>
      </c>
    </row>
    <row r="8855" spans="1:3">
      <c r="A8855">
        <v>415997</v>
      </c>
      <c r="B8855">
        <v>982926</v>
      </c>
      <c r="C8855" s="32">
        <v>43071.75922453704</v>
      </c>
    </row>
    <row r="8856" spans="1:3">
      <c r="A8856">
        <v>442727</v>
      </c>
      <c r="B8856">
        <v>4145813</v>
      </c>
      <c r="C8856" s="32">
        <v>43072.375567129631</v>
      </c>
    </row>
    <row r="8857" spans="1:3">
      <c r="A8857">
        <v>502137</v>
      </c>
      <c r="B8857">
        <v>3158249</v>
      </c>
      <c r="C8857" s="32">
        <v>43072.660150462965</v>
      </c>
    </row>
    <row r="8858" spans="1:3">
      <c r="A8858">
        <v>637262</v>
      </c>
      <c r="B8858">
        <v>982926</v>
      </c>
      <c r="C8858" s="32">
        <v>43071.383206018516</v>
      </c>
    </row>
    <row r="8859" spans="1:3">
      <c r="A8859">
        <v>937238</v>
      </c>
      <c r="B8859">
        <v>4145813</v>
      </c>
      <c r="C8859" s="32">
        <v>43072.591087962966</v>
      </c>
    </row>
    <row r="8860" spans="1:3">
      <c r="A8860">
        <v>1014981</v>
      </c>
      <c r="B8860">
        <v>570735</v>
      </c>
      <c r="C8860" s="32">
        <v>43070.605925925927</v>
      </c>
    </row>
    <row r="8861" spans="1:3">
      <c r="A8861">
        <v>516499</v>
      </c>
      <c r="B8861">
        <v>2877672</v>
      </c>
      <c r="C8861" s="32">
        <v>43071.997881944444</v>
      </c>
    </row>
    <row r="8862" spans="1:3">
      <c r="A8862">
        <v>525403</v>
      </c>
      <c r="B8862">
        <v>3340725</v>
      </c>
      <c r="C8862" s="32">
        <v>43072.053356481483</v>
      </c>
    </row>
    <row r="8863" spans="1:3">
      <c r="A8863">
        <v>450792</v>
      </c>
      <c r="B8863">
        <v>4141018</v>
      </c>
      <c r="C8863" s="32">
        <v>43071.295543981483</v>
      </c>
    </row>
    <row r="8864" spans="1:3">
      <c r="A8864">
        <v>489500</v>
      </c>
      <c r="B8864">
        <v>4082778</v>
      </c>
      <c r="C8864" s="32">
        <v>43070.595150462963</v>
      </c>
    </row>
    <row r="8865" spans="1:3">
      <c r="A8865">
        <v>713855</v>
      </c>
      <c r="B8865">
        <v>2465336</v>
      </c>
      <c r="C8865" s="32">
        <v>43071.396979166668</v>
      </c>
    </row>
    <row r="8866" spans="1:3">
      <c r="A8866">
        <v>775494</v>
      </c>
      <c r="B8866">
        <v>4145813</v>
      </c>
      <c r="C8866" s="32">
        <v>43072.269317129627</v>
      </c>
    </row>
    <row r="8867" spans="1:3">
      <c r="A8867">
        <v>754689</v>
      </c>
      <c r="B8867">
        <v>3002561</v>
      </c>
      <c r="C8867" s="32">
        <v>43072.598553240743</v>
      </c>
    </row>
    <row r="8868" spans="1:3">
      <c r="A8868">
        <v>407691</v>
      </c>
      <c r="B8868">
        <v>2735466</v>
      </c>
      <c r="C8868" s="32">
        <v>43071.728981481479</v>
      </c>
    </row>
    <row r="8869" spans="1:3">
      <c r="A8869">
        <v>460058</v>
      </c>
      <c r="B8869">
        <v>1789614</v>
      </c>
      <c r="C8869" s="32">
        <v>43070.456550925926</v>
      </c>
    </row>
    <row r="8870" spans="1:3">
      <c r="A8870">
        <v>745781</v>
      </c>
      <c r="B8870">
        <v>846990</v>
      </c>
      <c r="C8870" s="32">
        <v>43069.716921296298</v>
      </c>
    </row>
    <row r="8871" spans="1:3">
      <c r="A8871">
        <v>541548</v>
      </c>
      <c r="B8871">
        <v>4697972</v>
      </c>
      <c r="C8871" s="32">
        <v>43070.66510416667</v>
      </c>
    </row>
    <row r="8872" spans="1:3">
      <c r="A8872">
        <v>205321</v>
      </c>
      <c r="B8872">
        <v>58836</v>
      </c>
      <c r="C8872" s="32">
        <v>43070.61445601852</v>
      </c>
    </row>
    <row r="8873" spans="1:3">
      <c r="A8873">
        <v>787702</v>
      </c>
      <c r="B8873">
        <v>4669265</v>
      </c>
      <c r="C8873" s="32">
        <v>43070.347638888888</v>
      </c>
    </row>
    <row r="8874" spans="1:3">
      <c r="A8874">
        <v>1004643</v>
      </c>
      <c r="B8874">
        <v>4969568</v>
      </c>
      <c r="C8874" s="32">
        <v>43072.200682870367</v>
      </c>
    </row>
    <row r="8875" spans="1:3">
      <c r="A8875">
        <v>618687</v>
      </c>
      <c r="B8875">
        <v>865919</v>
      </c>
      <c r="C8875" s="32">
        <v>43071.403599537036</v>
      </c>
    </row>
    <row r="8876" spans="1:3">
      <c r="A8876">
        <v>712250</v>
      </c>
      <c r="B8876">
        <v>3544014</v>
      </c>
      <c r="C8876" s="32">
        <v>43071.625821759262</v>
      </c>
    </row>
    <row r="8877" spans="1:3">
      <c r="A8877">
        <v>893999</v>
      </c>
      <c r="B8877">
        <v>366112</v>
      </c>
      <c r="C8877" s="32">
        <v>43071.047673611109</v>
      </c>
    </row>
    <row r="8878" spans="1:3">
      <c r="A8878">
        <v>196651</v>
      </c>
      <c r="B8878">
        <v>4003932</v>
      </c>
      <c r="C8878" s="32">
        <v>43072.109236111108</v>
      </c>
    </row>
    <row r="8879" spans="1:3">
      <c r="A8879">
        <v>557274</v>
      </c>
      <c r="B8879">
        <v>4690421</v>
      </c>
      <c r="C8879" s="32">
        <v>43072.282129629632</v>
      </c>
    </row>
    <row r="8880" spans="1:3">
      <c r="A8880">
        <v>557475</v>
      </c>
      <c r="B8880">
        <v>611849</v>
      </c>
      <c r="C8880" s="32">
        <v>43071.66133101852</v>
      </c>
    </row>
    <row r="8881" spans="1:3">
      <c r="A8881">
        <v>554340</v>
      </c>
      <c r="B8881">
        <v>2228184</v>
      </c>
      <c r="C8881" s="32">
        <v>43072.243078703701</v>
      </c>
    </row>
    <row r="8882" spans="1:3">
      <c r="A8882">
        <v>160055</v>
      </c>
      <c r="B8882">
        <v>753984</v>
      </c>
      <c r="C8882" s="32">
        <v>43072.088553240741</v>
      </c>
    </row>
    <row r="8883" spans="1:3">
      <c r="A8883">
        <v>91978</v>
      </c>
      <c r="B8883">
        <v>4993094</v>
      </c>
      <c r="C8883" s="32">
        <v>43071.722858796296</v>
      </c>
    </row>
    <row r="8884" spans="1:3">
      <c r="A8884">
        <v>597940</v>
      </c>
      <c r="B8884">
        <v>1331853</v>
      </c>
      <c r="C8884" s="32">
        <v>43071.602731481478</v>
      </c>
    </row>
    <row r="8885" spans="1:3">
      <c r="A8885">
        <v>667011</v>
      </c>
      <c r="B8885">
        <v>1293225</v>
      </c>
      <c r="C8885" s="32">
        <v>43071.18681712963</v>
      </c>
    </row>
    <row r="8886" spans="1:3">
      <c r="A8886">
        <v>136095</v>
      </c>
      <c r="B8886">
        <v>1051370</v>
      </c>
      <c r="C8886" s="32">
        <v>43072.214756944442</v>
      </c>
    </row>
    <row r="8887" spans="1:3">
      <c r="A8887">
        <v>452458</v>
      </c>
      <c r="B8887">
        <v>1711596</v>
      </c>
      <c r="C8887" s="32">
        <v>43071.528333333335</v>
      </c>
    </row>
    <row r="8888" spans="1:3">
      <c r="A8888">
        <v>362296</v>
      </c>
      <c r="B8888">
        <v>4181361</v>
      </c>
      <c r="C8888" s="32">
        <v>43072.317407407405</v>
      </c>
    </row>
    <row r="8889" spans="1:3">
      <c r="A8889">
        <v>39390</v>
      </c>
      <c r="B8889">
        <v>5004245</v>
      </c>
      <c r="C8889" s="32">
        <v>43070.397453703707</v>
      </c>
    </row>
    <row r="8890" spans="1:3">
      <c r="A8890">
        <v>205208</v>
      </c>
      <c r="B8890">
        <v>3598912</v>
      </c>
      <c r="C8890" s="32">
        <v>43071.630069444444</v>
      </c>
    </row>
    <row r="8891" spans="1:3">
      <c r="A8891">
        <v>232240</v>
      </c>
      <c r="B8891">
        <v>2465336</v>
      </c>
      <c r="C8891" s="32">
        <v>43070.510740740741</v>
      </c>
    </row>
    <row r="8892" spans="1:3">
      <c r="A8892">
        <v>81724</v>
      </c>
      <c r="B8892">
        <v>2131531</v>
      </c>
      <c r="C8892" s="32">
        <v>43071.993692129632</v>
      </c>
    </row>
    <row r="8893" spans="1:3">
      <c r="A8893">
        <v>928309</v>
      </c>
      <c r="B8893">
        <v>2558244</v>
      </c>
      <c r="C8893" s="32">
        <v>43070.173692129632</v>
      </c>
    </row>
    <row r="8894" spans="1:3">
      <c r="A8894">
        <v>798324</v>
      </c>
      <c r="B8894">
        <v>5063620</v>
      </c>
      <c r="C8894" s="32">
        <v>43071.646597222221</v>
      </c>
    </row>
    <row r="8895" spans="1:3">
      <c r="A8895">
        <v>242937</v>
      </c>
      <c r="B8895">
        <v>3607361</v>
      </c>
      <c r="C8895" s="32">
        <v>43071.374965277777</v>
      </c>
    </row>
    <row r="8896" spans="1:3">
      <c r="A8896">
        <v>126110</v>
      </c>
      <c r="B8896">
        <v>865039</v>
      </c>
      <c r="C8896" s="32">
        <v>43069.960393518515</v>
      </c>
    </row>
    <row r="8897" spans="1:3">
      <c r="A8897">
        <v>524963</v>
      </c>
      <c r="B8897">
        <v>1274818</v>
      </c>
      <c r="C8897" s="32">
        <v>43071.523842592593</v>
      </c>
    </row>
    <row r="8898" spans="1:3">
      <c r="A8898">
        <v>739542</v>
      </c>
      <c r="B8898">
        <v>4159072</v>
      </c>
      <c r="C8898" s="32">
        <v>43070.094050925924</v>
      </c>
    </row>
    <row r="8899" spans="1:3">
      <c r="A8899">
        <v>540635</v>
      </c>
      <c r="B8899">
        <v>1852398</v>
      </c>
      <c r="C8899" s="32">
        <v>43070.407592592594</v>
      </c>
    </row>
    <row r="8900" spans="1:3">
      <c r="A8900">
        <v>1003336</v>
      </c>
      <c r="B8900">
        <v>1299190</v>
      </c>
      <c r="C8900" s="32">
        <v>43071.190081018518</v>
      </c>
    </row>
    <row r="8901" spans="1:3">
      <c r="A8901">
        <v>1006803</v>
      </c>
      <c r="B8901">
        <v>2640118</v>
      </c>
      <c r="C8901" s="32">
        <v>43071.137546296297</v>
      </c>
    </row>
    <row r="8902" spans="1:3">
      <c r="A8902">
        <v>758540</v>
      </c>
      <c r="B8902">
        <v>4069500</v>
      </c>
      <c r="C8902" s="32">
        <v>43070.268773148149</v>
      </c>
    </row>
    <row r="8903" spans="1:3">
      <c r="A8903">
        <v>416781</v>
      </c>
      <c r="B8903">
        <v>2735466</v>
      </c>
      <c r="C8903" s="32">
        <v>43070.203310185185</v>
      </c>
    </row>
    <row r="8904" spans="1:3">
      <c r="A8904">
        <v>325492</v>
      </c>
      <c r="B8904">
        <v>3898483</v>
      </c>
      <c r="C8904" s="32">
        <v>43070.149502314816</v>
      </c>
    </row>
    <row r="8905" spans="1:3">
      <c r="A8905">
        <v>1008932</v>
      </c>
      <c r="B8905">
        <v>1216617</v>
      </c>
      <c r="C8905" s="32">
        <v>43070.945752314816</v>
      </c>
    </row>
    <row r="8906" spans="1:3">
      <c r="A8906">
        <v>374298</v>
      </c>
      <c r="B8906">
        <v>3848953</v>
      </c>
      <c r="C8906" s="32">
        <v>43072.047118055554</v>
      </c>
    </row>
    <row r="8907" spans="1:3">
      <c r="A8907">
        <v>851946</v>
      </c>
      <c r="B8907">
        <v>1879194</v>
      </c>
      <c r="C8907" s="32">
        <v>43070.147175925929</v>
      </c>
    </row>
    <row r="8908" spans="1:3">
      <c r="A8908">
        <v>691838</v>
      </c>
      <c r="B8908">
        <v>2520377</v>
      </c>
      <c r="C8908" s="32">
        <v>43071.570821759262</v>
      </c>
    </row>
    <row r="8909" spans="1:3">
      <c r="A8909">
        <v>682450</v>
      </c>
      <c r="B8909">
        <v>982926</v>
      </c>
      <c r="C8909" s="32">
        <v>43072.213530092595</v>
      </c>
    </row>
    <row r="8910" spans="1:3">
      <c r="A8910">
        <v>130012</v>
      </c>
      <c r="B8910">
        <v>3995818</v>
      </c>
      <c r="C8910" s="32">
        <v>43071.718009259261</v>
      </c>
    </row>
    <row r="8911" spans="1:3">
      <c r="A8911">
        <v>93640</v>
      </c>
      <c r="B8911">
        <v>4380386</v>
      </c>
      <c r="C8911" s="32">
        <v>43072.529803240737</v>
      </c>
    </row>
    <row r="8912" spans="1:3">
      <c r="A8912">
        <v>188705</v>
      </c>
      <c r="B8912">
        <v>4969568</v>
      </c>
      <c r="C8912" s="32">
        <v>43072.179965277777</v>
      </c>
    </row>
    <row r="8913" spans="1:3">
      <c r="A8913">
        <v>206392</v>
      </c>
      <c r="B8913">
        <v>3607361</v>
      </c>
      <c r="C8913" s="32">
        <v>43071.618645833332</v>
      </c>
    </row>
    <row r="8914" spans="1:3">
      <c r="A8914">
        <v>526551</v>
      </c>
      <c r="B8914">
        <v>2939262</v>
      </c>
      <c r="C8914" s="32">
        <v>43072.208229166667</v>
      </c>
    </row>
    <row r="8915" spans="1:3">
      <c r="A8915">
        <v>863601</v>
      </c>
      <c r="B8915">
        <v>154040</v>
      </c>
      <c r="C8915" s="32">
        <v>43072.105624999997</v>
      </c>
    </row>
    <row r="8916" spans="1:3">
      <c r="A8916">
        <v>194227</v>
      </c>
      <c r="B8916">
        <v>3351726</v>
      </c>
      <c r="C8916" s="32">
        <v>43071.592002314814</v>
      </c>
    </row>
    <row r="8917" spans="1:3">
      <c r="A8917">
        <v>250501</v>
      </c>
      <c r="B8917">
        <v>4558987</v>
      </c>
      <c r="C8917" s="32">
        <v>43072.634594907409</v>
      </c>
    </row>
    <row r="8918" spans="1:3">
      <c r="A8918">
        <v>171617</v>
      </c>
      <c r="B8918">
        <v>4145813</v>
      </c>
      <c r="C8918" s="32">
        <v>43070.902013888888</v>
      </c>
    </row>
    <row r="8919" spans="1:3">
      <c r="A8919">
        <v>495000</v>
      </c>
      <c r="B8919">
        <v>3253357</v>
      </c>
      <c r="C8919" s="32">
        <v>43072.476006944446</v>
      </c>
    </row>
    <row r="8920" spans="1:3">
      <c r="A8920">
        <v>461893</v>
      </c>
      <c r="B8920">
        <v>1391083</v>
      </c>
      <c r="C8920" s="32">
        <v>43071.629629629628</v>
      </c>
    </row>
    <row r="8921" spans="1:3">
      <c r="A8921">
        <v>345806</v>
      </c>
      <c r="B8921">
        <v>1464116</v>
      </c>
      <c r="C8921" s="32">
        <v>43071.23296296296</v>
      </c>
    </row>
    <row r="8922" spans="1:3">
      <c r="A8922">
        <v>987387</v>
      </c>
      <c r="B8922">
        <v>3299155</v>
      </c>
      <c r="C8922" s="32">
        <v>43071.549201388887</v>
      </c>
    </row>
    <row r="8923" spans="1:3">
      <c r="A8923">
        <v>242193</v>
      </c>
      <c r="B8923">
        <v>238434</v>
      </c>
      <c r="C8923" s="32">
        <v>43072.617685185185</v>
      </c>
    </row>
    <row r="8924" spans="1:3">
      <c r="A8924">
        <v>5654</v>
      </c>
      <c r="B8924">
        <v>4756105</v>
      </c>
      <c r="C8924" s="32">
        <v>43071.441967592589</v>
      </c>
    </row>
    <row r="8925" spans="1:3">
      <c r="A8925">
        <v>401660</v>
      </c>
      <c r="B8925">
        <v>2342116</v>
      </c>
      <c r="C8925" s="32">
        <v>43071.594837962963</v>
      </c>
    </row>
    <row r="8926" spans="1:3">
      <c r="A8926">
        <v>814309</v>
      </c>
      <c r="B8926">
        <v>883960</v>
      </c>
      <c r="C8926" s="32">
        <v>43070.412094907406</v>
      </c>
    </row>
    <row r="8927" spans="1:3">
      <c r="A8927">
        <v>615933</v>
      </c>
      <c r="B8927">
        <v>1834026</v>
      </c>
      <c r="C8927" s="32">
        <v>43070.368368055555</v>
      </c>
    </row>
    <row r="8928" spans="1:3">
      <c r="A8928">
        <v>124952</v>
      </c>
      <c r="B8928">
        <v>1567637</v>
      </c>
      <c r="C8928" s="32">
        <v>43072.32366898148</v>
      </c>
    </row>
    <row r="8929" spans="1:3">
      <c r="A8929">
        <v>576827</v>
      </c>
      <c r="B8929">
        <v>4756105</v>
      </c>
      <c r="C8929" s="32">
        <v>43070.105381944442</v>
      </c>
    </row>
    <row r="8930" spans="1:3">
      <c r="A8930">
        <v>627096</v>
      </c>
      <c r="B8930">
        <v>2520377</v>
      </c>
      <c r="C8930" s="32">
        <v>43070.286932870367</v>
      </c>
    </row>
    <row r="8931" spans="1:3">
      <c r="A8931">
        <v>819756</v>
      </c>
      <c r="B8931">
        <v>4217906</v>
      </c>
      <c r="C8931" s="32">
        <v>43072.082800925928</v>
      </c>
    </row>
    <row r="8932" spans="1:3">
      <c r="A8932">
        <v>689962</v>
      </c>
      <c r="B8932">
        <v>1936748</v>
      </c>
      <c r="C8932" s="32">
        <v>43071.245844907404</v>
      </c>
    </row>
    <row r="8933" spans="1:3">
      <c r="A8933">
        <v>774136</v>
      </c>
      <c r="B8933">
        <v>4323655</v>
      </c>
      <c r="C8933" s="32">
        <v>43070.582303240742</v>
      </c>
    </row>
    <row r="8934" spans="1:3">
      <c r="A8934">
        <v>157007</v>
      </c>
      <c r="B8934">
        <v>4065839</v>
      </c>
      <c r="C8934" s="32">
        <v>43072.52202546296</v>
      </c>
    </row>
    <row r="8935" spans="1:3">
      <c r="A8935">
        <v>826955</v>
      </c>
      <c r="B8935">
        <v>4801426</v>
      </c>
      <c r="C8935" s="32">
        <v>43072.635601851849</v>
      </c>
    </row>
    <row r="8936" spans="1:3">
      <c r="A8936">
        <v>154502</v>
      </c>
      <c r="B8936">
        <v>3354571</v>
      </c>
      <c r="C8936" s="32">
        <v>43070.574097222219</v>
      </c>
    </row>
    <row r="8937" spans="1:3">
      <c r="A8937">
        <v>713486</v>
      </c>
      <c r="B8937">
        <v>4130426</v>
      </c>
      <c r="C8937" s="32">
        <v>43070.664884259262</v>
      </c>
    </row>
    <row r="8938" spans="1:3">
      <c r="A8938">
        <v>946928</v>
      </c>
      <c r="B8938">
        <v>477292</v>
      </c>
      <c r="C8938" s="32">
        <v>43072.476979166669</v>
      </c>
    </row>
    <row r="8939" spans="1:3">
      <c r="A8939">
        <v>499503</v>
      </c>
      <c r="B8939">
        <v>3155703</v>
      </c>
      <c r="C8939" s="32">
        <v>43070.249803240738</v>
      </c>
    </row>
    <row r="8940" spans="1:3">
      <c r="A8940">
        <v>948656</v>
      </c>
      <c r="B8940">
        <v>3645362</v>
      </c>
      <c r="C8940" s="32">
        <v>43070.328796296293</v>
      </c>
    </row>
    <row r="8941" spans="1:3">
      <c r="A8941">
        <v>609125</v>
      </c>
      <c r="B8941">
        <v>65362</v>
      </c>
      <c r="C8941" s="32">
        <v>43072.435694444444</v>
      </c>
    </row>
    <row r="8942" spans="1:3">
      <c r="A8942">
        <v>131610</v>
      </c>
      <c r="B8942">
        <v>982926</v>
      </c>
      <c r="C8942" s="32">
        <v>43069.978993055556</v>
      </c>
    </row>
    <row r="8943" spans="1:3">
      <c r="A8943">
        <v>466372</v>
      </c>
      <c r="B8943">
        <v>2355072</v>
      </c>
      <c r="C8943" s="32">
        <v>43071.959293981483</v>
      </c>
    </row>
    <row r="8944" spans="1:3">
      <c r="A8944">
        <v>31472</v>
      </c>
      <c r="B8944">
        <v>3730378</v>
      </c>
      <c r="C8944" s="32">
        <v>43071.676944444444</v>
      </c>
    </row>
    <row r="8945" spans="1:3">
      <c r="A8945">
        <v>266449</v>
      </c>
      <c r="B8945">
        <v>2355072</v>
      </c>
      <c r="C8945" s="32">
        <v>43070.494479166664</v>
      </c>
    </row>
    <row r="8946" spans="1:3">
      <c r="A8946">
        <v>538503</v>
      </c>
      <c r="B8946">
        <v>3975787</v>
      </c>
      <c r="C8946" s="32">
        <v>43072.564606481479</v>
      </c>
    </row>
    <row r="8947" spans="1:3">
      <c r="A8947">
        <v>149078</v>
      </c>
      <c r="B8947">
        <v>4145813</v>
      </c>
      <c r="C8947" s="32">
        <v>43071.102199074077</v>
      </c>
    </row>
    <row r="8948" spans="1:3">
      <c r="A8948">
        <v>570893</v>
      </c>
      <c r="B8948">
        <v>3081594</v>
      </c>
      <c r="C8948" s="32">
        <v>43072.124745370369</v>
      </c>
    </row>
    <row r="8949" spans="1:3">
      <c r="A8949">
        <v>911488</v>
      </c>
      <c r="B8949">
        <v>1379146</v>
      </c>
      <c r="C8949" s="32">
        <v>43071.808495370373</v>
      </c>
    </row>
    <row r="8950" spans="1:3">
      <c r="A8950">
        <v>801198</v>
      </c>
      <c r="B8950">
        <v>3738615</v>
      </c>
      <c r="C8950" s="32">
        <v>43072.392442129632</v>
      </c>
    </row>
    <row r="8951" spans="1:3">
      <c r="A8951">
        <v>666516</v>
      </c>
      <c r="B8951">
        <v>1530704</v>
      </c>
      <c r="C8951" s="32">
        <v>43072.568993055553</v>
      </c>
    </row>
    <row r="8952" spans="1:3">
      <c r="A8952">
        <v>154149</v>
      </c>
      <c r="B8952">
        <v>3975787</v>
      </c>
      <c r="C8952" s="32">
        <v>43071.621331018519</v>
      </c>
    </row>
    <row r="8953" spans="1:3">
      <c r="A8953">
        <v>276571</v>
      </c>
      <c r="B8953">
        <v>149192</v>
      </c>
      <c r="C8953" s="32">
        <v>43072.344270833331</v>
      </c>
    </row>
    <row r="8954" spans="1:3">
      <c r="A8954">
        <v>636136</v>
      </c>
      <c r="B8954">
        <v>570735</v>
      </c>
      <c r="C8954" s="32">
        <v>43071.255752314813</v>
      </c>
    </row>
    <row r="8955" spans="1:3">
      <c r="A8955">
        <v>595248</v>
      </c>
      <c r="B8955">
        <v>1080785</v>
      </c>
      <c r="C8955" s="32">
        <v>43070.678865740738</v>
      </c>
    </row>
    <row r="8956" spans="1:3">
      <c r="A8956">
        <v>116274</v>
      </c>
      <c r="B8956">
        <v>2228184</v>
      </c>
      <c r="C8956" s="32">
        <v>43072.159988425927</v>
      </c>
    </row>
    <row r="8957" spans="1:3">
      <c r="A8957">
        <v>652026</v>
      </c>
      <c r="B8957">
        <v>2465336</v>
      </c>
      <c r="C8957" s="32">
        <v>43071.08798611111</v>
      </c>
    </row>
    <row r="8958" spans="1:3">
      <c r="A8958">
        <v>493158</v>
      </c>
      <c r="B8958">
        <v>2465336</v>
      </c>
      <c r="C8958" s="32">
        <v>43070.51152777778</v>
      </c>
    </row>
    <row r="8959" spans="1:3">
      <c r="A8959">
        <v>154585</v>
      </c>
      <c r="B8959">
        <v>1299190</v>
      </c>
      <c r="C8959" s="32">
        <v>43071.173888888887</v>
      </c>
    </row>
    <row r="8960" spans="1:3">
      <c r="A8960">
        <v>977036</v>
      </c>
      <c r="B8960">
        <v>3312150</v>
      </c>
      <c r="C8960" s="32">
        <v>43070.847766203704</v>
      </c>
    </row>
    <row r="8961" spans="1:3">
      <c r="A8961">
        <v>394784</v>
      </c>
      <c r="B8961">
        <v>4756105</v>
      </c>
      <c r="C8961" s="32">
        <v>43071.188506944447</v>
      </c>
    </row>
    <row r="8962" spans="1:3">
      <c r="A8962">
        <v>388389</v>
      </c>
      <c r="B8962">
        <v>982926</v>
      </c>
      <c r="C8962" s="32">
        <v>43071.318124999998</v>
      </c>
    </row>
    <row r="8963" spans="1:3">
      <c r="A8963">
        <v>6614</v>
      </c>
      <c r="B8963">
        <v>3669044</v>
      </c>
      <c r="C8963" s="32">
        <v>43071.486909722225</v>
      </c>
    </row>
    <row r="8964" spans="1:3">
      <c r="A8964">
        <v>307485</v>
      </c>
      <c r="B8964">
        <v>800581</v>
      </c>
      <c r="C8964" s="32">
        <v>43071.574305555558</v>
      </c>
    </row>
    <row r="8965" spans="1:3">
      <c r="A8965">
        <v>899439</v>
      </c>
      <c r="B8965">
        <v>3738615</v>
      </c>
      <c r="C8965" s="32">
        <v>43070.996377314812</v>
      </c>
    </row>
    <row r="8966" spans="1:3">
      <c r="A8966">
        <v>587755</v>
      </c>
      <c r="B8966">
        <v>2303546</v>
      </c>
      <c r="C8966" s="32">
        <v>43071.703946759262</v>
      </c>
    </row>
    <row r="8967" spans="1:3">
      <c r="A8967">
        <v>269455</v>
      </c>
      <c r="B8967">
        <v>2355072</v>
      </c>
      <c r="C8967" s="32">
        <v>43072.423495370371</v>
      </c>
    </row>
    <row r="8968" spans="1:3">
      <c r="A8968">
        <v>300196</v>
      </c>
      <c r="B8968">
        <v>4217906</v>
      </c>
      <c r="C8968" s="32">
        <v>43072.141979166663</v>
      </c>
    </row>
    <row r="8969" spans="1:3">
      <c r="A8969">
        <v>168666</v>
      </c>
      <c r="B8969">
        <v>2572604</v>
      </c>
      <c r="C8969" s="32">
        <v>43071.377881944441</v>
      </c>
    </row>
    <row r="8970" spans="1:3">
      <c r="A8970">
        <v>415908</v>
      </c>
      <c r="B8970">
        <v>4065839</v>
      </c>
      <c r="C8970" s="32">
        <v>43072.551851851851</v>
      </c>
    </row>
    <row r="8971" spans="1:3">
      <c r="A8971">
        <v>205875</v>
      </c>
      <c r="B8971">
        <v>4145813</v>
      </c>
      <c r="C8971" s="32">
        <v>43072.505902777775</v>
      </c>
    </row>
    <row r="8972" spans="1:3">
      <c r="A8972">
        <v>945800</v>
      </c>
      <c r="B8972">
        <v>3299155</v>
      </c>
      <c r="C8972" s="32">
        <v>43072.538865740738</v>
      </c>
    </row>
    <row r="8973" spans="1:3">
      <c r="A8973">
        <v>728243</v>
      </c>
      <c r="B8973">
        <v>4756105</v>
      </c>
      <c r="C8973" s="32">
        <v>43070.925092592595</v>
      </c>
    </row>
    <row r="8974" spans="1:3">
      <c r="A8974">
        <v>179377</v>
      </c>
      <c r="B8974">
        <v>2520377</v>
      </c>
      <c r="C8974" s="32">
        <v>43071.502465277779</v>
      </c>
    </row>
    <row r="8975" spans="1:3">
      <c r="A8975">
        <v>36163</v>
      </c>
      <c r="B8975">
        <v>4173315</v>
      </c>
      <c r="C8975" s="32">
        <v>43071.588067129633</v>
      </c>
    </row>
    <row r="8976" spans="1:3">
      <c r="A8976">
        <v>144750</v>
      </c>
      <c r="B8976">
        <v>4958794</v>
      </c>
      <c r="C8976" s="32">
        <v>43071.647118055553</v>
      </c>
    </row>
    <row r="8977" spans="1:3">
      <c r="A8977">
        <v>431948</v>
      </c>
      <c r="B8977">
        <v>4801426</v>
      </c>
      <c r="C8977" s="32">
        <v>43072.522465277776</v>
      </c>
    </row>
    <row r="8978" spans="1:3">
      <c r="A8978">
        <v>492288</v>
      </c>
      <c r="B8978">
        <v>724320</v>
      </c>
      <c r="C8978" s="32">
        <v>43071.485520833332</v>
      </c>
    </row>
    <row r="8979" spans="1:3">
      <c r="A8979">
        <v>290378</v>
      </c>
      <c r="B8979">
        <v>982926</v>
      </c>
      <c r="C8979" s="32">
        <v>43071.322812500002</v>
      </c>
    </row>
    <row r="8980" spans="1:3">
      <c r="A8980">
        <v>320250</v>
      </c>
      <c r="B8980">
        <v>4145813</v>
      </c>
      <c r="C8980" s="32">
        <v>43071.337673611109</v>
      </c>
    </row>
    <row r="8981" spans="1:3">
      <c r="A8981">
        <v>667268</v>
      </c>
      <c r="B8981">
        <v>1851156</v>
      </c>
      <c r="C8981" s="32">
        <v>43071.092141203706</v>
      </c>
    </row>
    <row r="8982" spans="1:3">
      <c r="A8982">
        <v>447294</v>
      </c>
      <c r="B8982">
        <v>4357323</v>
      </c>
      <c r="C8982" s="32">
        <v>43070.16983796296</v>
      </c>
    </row>
    <row r="8983" spans="1:3">
      <c r="A8983">
        <v>960665</v>
      </c>
      <c r="B8983">
        <v>3231625</v>
      </c>
      <c r="C8983" s="32">
        <v>43070.704826388886</v>
      </c>
    </row>
    <row r="8984" spans="1:3">
      <c r="A8984">
        <v>252898</v>
      </c>
      <c r="B8984">
        <v>1568197</v>
      </c>
      <c r="C8984" s="32">
        <v>43072.440972222219</v>
      </c>
    </row>
    <row r="8985" spans="1:3">
      <c r="A8985">
        <v>485142</v>
      </c>
      <c r="B8985">
        <v>1029459</v>
      </c>
      <c r="C8985" s="32">
        <v>43072.577581018515</v>
      </c>
    </row>
    <row r="8986" spans="1:3">
      <c r="A8986">
        <v>567427</v>
      </c>
      <c r="B8986">
        <v>4901188</v>
      </c>
      <c r="C8986" s="32">
        <v>43070.495358796295</v>
      </c>
    </row>
    <row r="8987" spans="1:3">
      <c r="A8987">
        <v>759002</v>
      </c>
      <c r="B8987">
        <v>238434</v>
      </c>
      <c r="C8987" s="32">
        <v>43070.516539351855</v>
      </c>
    </row>
    <row r="8988" spans="1:3">
      <c r="A8988">
        <v>935624</v>
      </c>
      <c r="B8988">
        <v>4458428</v>
      </c>
      <c r="C8988" s="32">
        <v>43072.052881944444</v>
      </c>
    </row>
    <row r="8989" spans="1:3">
      <c r="A8989">
        <v>287327</v>
      </c>
      <c r="B8989">
        <v>2920476</v>
      </c>
      <c r="C8989" s="32">
        <v>43070.546724537038</v>
      </c>
    </row>
    <row r="8990" spans="1:3">
      <c r="A8990">
        <v>117739</v>
      </c>
      <c r="B8990">
        <v>2355072</v>
      </c>
      <c r="C8990" s="32">
        <v>43071.620243055557</v>
      </c>
    </row>
    <row r="8991" spans="1:3">
      <c r="A8991">
        <v>566081</v>
      </c>
      <c r="B8991">
        <v>3340725</v>
      </c>
      <c r="C8991" s="32">
        <v>43072.659108796295</v>
      </c>
    </row>
    <row r="8992" spans="1:3">
      <c r="A8992">
        <v>405463</v>
      </c>
      <c r="B8992">
        <v>3758226</v>
      </c>
      <c r="C8992" s="32">
        <v>43072.518657407411</v>
      </c>
    </row>
    <row r="8993" spans="1:3">
      <c r="A8993">
        <v>990182</v>
      </c>
      <c r="B8993">
        <v>4756105</v>
      </c>
      <c r="C8993" s="32">
        <v>43070.475162037037</v>
      </c>
    </row>
    <row r="8994" spans="1:3">
      <c r="A8994">
        <v>1005602</v>
      </c>
      <c r="B8994">
        <v>2304296</v>
      </c>
      <c r="C8994" s="32">
        <v>43069.69189814815</v>
      </c>
    </row>
    <row r="8995" spans="1:3">
      <c r="A8995">
        <v>804977</v>
      </c>
      <c r="B8995">
        <v>3607361</v>
      </c>
      <c r="C8995" s="32">
        <v>43071.387592592589</v>
      </c>
    </row>
    <row r="8996" spans="1:3">
      <c r="A8996">
        <v>788441</v>
      </c>
      <c r="B8996">
        <v>4756105</v>
      </c>
      <c r="C8996" s="32">
        <v>43071.61954861111</v>
      </c>
    </row>
    <row r="8997" spans="1:3">
      <c r="A8997">
        <v>238524</v>
      </c>
      <c r="B8997">
        <v>4145813</v>
      </c>
      <c r="C8997" s="32">
        <v>43070.378437500003</v>
      </c>
    </row>
    <row r="8998" spans="1:3">
      <c r="A8998">
        <v>561477</v>
      </c>
      <c r="B8998">
        <v>3598912</v>
      </c>
      <c r="C8998" s="32">
        <v>43070.684745370374</v>
      </c>
    </row>
    <row r="8999" spans="1:3">
      <c r="A8999">
        <v>446935</v>
      </c>
      <c r="B8999">
        <v>2072473</v>
      </c>
      <c r="C8999" s="32">
        <v>43072.182430555556</v>
      </c>
    </row>
    <row r="9000" spans="1:3">
      <c r="A9000">
        <v>486506</v>
      </c>
      <c r="B9000">
        <v>2328673</v>
      </c>
      <c r="C9000" s="32">
        <v>43071.676168981481</v>
      </c>
    </row>
    <row r="9001" spans="1:3">
      <c r="A9001">
        <v>978907</v>
      </c>
      <c r="B9001">
        <v>4672150</v>
      </c>
      <c r="C9001" s="32">
        <v>43070.347939814812</v>
      </c>
    </row>
    <row r="9002" spans="1:3">
      <c r="A9002">
        <v>35784</v>
      </c>
      <c r="B9002">
        <v>3982336</v>
      </c>
      <c r="C9002" s="32">
        <v>43071.627615740741</v>
      </c>
    </row>
    <row r="9003" spans="1:3">
      <c r="A9003">
        <v>58959</v>
      </c>
      <c r="B9003">
        <v>2465336</v>
      </c>
      <c r="C9003" s="32">
        <v>43070.140428240738</v>
      </c>
    </row>
    <row r="9004" spans="1:3">
      <c r="A9004">
        <v>482040</v>
      </c>
      <c r="B9004">
        <v>4284875</v>
      </c>
      <c r="C9004" s="32">
        <v>43071.263321759259</v>
      </c>
    </row>
    <row r="9005" spans="1:3">
      <c r="A9005">
        <v>649436</v>
      </c>
      <c r="B9005">
        <v>149192</v>
      </c>
      <c r="C9005" s="32">
        <v>43069.767708333333</v>
      </c>
    </row>
    <row r="9006" spans="1:3">
      <c r="A9006">
        <v>876334</v>
      </c>
      <c r="B9006">
        <v>4022701</v>
      </c>
      <c r="C9006" s="32">
        <v>43070.743067129632</v>
      </c>
    </row>
    <row r="9007" spans="1:3">
      <c r="A9007">
        <v>76384</v>
      </c>
      <c r="B9007">
        <v>3879308</v>
      </c>
      <c r="C9007" s="32">
        <v>43072.59952546296</v>
      </c>
    </row>
    <row r="9008" spans="1:3">
      <c r="A9008">
        <v>759677</v>
      </c>
      <c r="B9008">
        <v>3975787</v>
      </c>
      <c r="C9008" s="32">
        <v>43070.655810185184</v>
      </c>
    </row>
    <row r="9009" spans="1:3">
      <c r="A9009">
        <v>653310</v>
      </c>
      <c r="B9009">
        <v>1080785</v>
      </c>
      <c r="C9009" s="32">
        <v>43070.160960648151</v>
      </c>
    </row>
    <row r="9010" spans="1:3">
      <c r="A9010">
        <v>33265</v>
      </c>
      <c r="B9010">
        <v>3829421</v>
      </c>
      <c r="C9010" s="32">
        <v>43069.910081018519</v>
      </c>
    </row>
    <row r="9011" spans="1:3">
      <c r="A9011">
        <v>129923</v>
      </c>
      <c r="B9011">
        <v>4217906</v>
      </c>
      <c r="C9011" s="32">
        <v>43072.435671296298</v>
      </c>
    </row>
    <row r="9012" spans="1:3">
      <c r="A9012">
        <v>646463</v>
      </c>
      <c r="B9012">
        <v>5071267</v>
      </c>
      <c r="C9012" s="32">
        <v>43071.586273148147</v>
      </c>
    </row>
    <row r="9013" spans="1:3">
      <c r="A9013">
        <v>342398</v>
      </c>
      <c r="B9013">
        <v>846990</v>
      </c>
      <c r="C9013" s="32">
        <v>43070.530497685184</v>
      </c>
    </row>
    <row r="9014" spans="1:3">
      <c r="A9014">
        <v>117271</v>
      </c>
      <c r="B9014">
        <v>1464116</v>
      </c>
      <c r="C9014" s="32">
        <v>43071.514120370368</v>
      </c>
    </row>
    <row r="9015" spans="1:3">
      <c r="A9015">
        <v>359241</v>
      </c>
      <c r="B9015">
        <v>285583</v>
      </c>
      <c r="C9015" s="32">
        <v>43070.20171296296</v>
      </c>
    </row>
    <row r="9016" spans="1:3">
      <c r="A9016">
        <v>835198</v>
      </c>
      <c r="B9016">
        <v>4217906</v>
      </c>
      <c r="C9016" s="32">
        <v>43070.963391203702</v>
      </c>
    </row>
    <row r="9017" spans="1:3">
      <c r="A9017">
        <v>264509</v>
      </c>
      <c r="B9017">
        <v>1349561</v>
      </c>
      <c r="C9017" s="32">
        <v>43070.561400462961</v>
      </c>
    </row>
    <row r="9018" spans="1:3">
      <c r="A9018">
        <v>972882</v>
      </c>
      <c r="B9018">
        <v>1474371</v>
      </c>
      <c r="C9018" s="32">
        <v>43071.011180555557</v>
      </c>
    </row>
    <row r="9019" spans="1:3">
      <c r="A9019">
        <v>993238</v>
      </c>
      <c r="B9019">
        <v>3188631</v>
      </c>
      <c r="C9019" s="32">
        <v>43072.324490740742</v>
      </c>
    </row>
    <row r="9020" spans="1:3">
      <c r="A9020">
        <v>615217</v>
      </c>
      <c r="B9020">
        <v>2465336</v>
      </c>
      <c r="C9020" s="32">
        <v>43072.255949074075</v>
      </c>
    </row>
    <row r="9021" spans="1:3">
      <c r="A9021">
        <v>33902</v>
      </c>
      <c r="B9021">
        <v>941949</v>
      </c>
      <c r="C9021" s="32">
        <v>43072.476284722223</v>
      </c>
    </row>
    <row r="9022" spans="1:3">
      <c r="A9022">
        <v>883966</v>
      </c>
      <c r="B9022">
        <v>1074254</v>
      </c>
      <c r="C9022" s="32">
        <v>43071.356006944443</v>
      </c>
    </row>
    <row r="9023" spans="1:3">
      <c r="A9023">
        <v>692577</v>
      </c>
      <c r="B9023">
        <v>2640118</v>
      </c>
      <c r="C9023" s="32">
        <v>43070.019166666665</v>
      </c>
    </row>
    <row r="9024" spans="1:3">
      <c r="A9024">
        <v>1014248</v>
      </c>
      <c r="B9024">
        <v>2640118</v>
      </c>
      <c r="C9024" s="32">
        <v>43072.615023148152</v>
      </c>
    </row>
    <row r="9025" spans="1:3">
      <c r="A9025">
        <v>45355</v>
      </c>
      <c r="B9025">
        <v>2558244</v>
      </c>
      <c r="C9025" s="32">
        <v>43072.59578703704</v>
      </c>
    </row>
    <row r="9026" spans="1:3">
      <c r="A9026">
        <v>258601</v>
      </c>
      <c r="B9026">
        <v>3351726</v>
      </c>
      <c r="C9026" s="32">
        <v>43070.646990740737</v>
      </c>
    </row>
    <row r="9027" spans="1:3">
      <c r="A9027">
        <v>409369</v>
      </c>
      <c r="B9027">
        <v>3299155</v>
      </c>
      <c r="C9027" s="32">
        <v>43072.421747685185</v>
      </c>
    </row>
    <row r="9028" spans="1:3">
      <c r="A9028">
        <v>147885</v>
      </c>
      <c r="B9028">
        <v>4756105</v>
      </c>
      <c r="C9028" s="32">
        <v>43071.450150462966</v>
      </c>
    </row>
    <row r="9029" spans="1:3">
      <c r="A9029">
        <v>701533</v>
      </c>
      <c r="B9029">
        <v>4756105</v>
      </c>
      <c r="C9029" s="32">
        <v>43070.363067129627</v>
      </c>
    </row>
    <row r="9030" spans="1:3">
      <c r="A9030">
        <v>633329</v>
      </c>
      <c r="B9030">
        <v>4882154</v>
      </c>
      <c r="C9030" s="32">
        <v>43072.181793981479</v>
      </c>
    </row>
    <row r="9031" spans="1:3">
      <c r="A9031">
        <v>27141</v>
      </c>
      <c r="B9031">
        <v>983613</v>
      </c>
      <c r="C9031" s="32">
        <v>43070.681701388887</v>
      </c>
    </row>
    <row r="9032" spans="1:3">
      <c r="A9032">
        <v>113386</v>
      </c>
      <c r="B9032">
        <v>4217906</v>
      </c>
      <c r="C9032" s="32">
        <v>43072.049791666665</v>
      </c>
    </row>
    <row r="9033" spans="1:3">
      <c r="A9033">
        <v>712324</v>
      </c>
      <c r="B9033">
        <v>3299155</v>
      </c>
      <c r="C9033" s="32">
        <v>43071.487164351849</v>
      </c>
    </row>
    <row r="9034" spans="1:3">
      <c r="A9034">
        <v>399739</v>
      </c>
      <c r="B9034">
        <v>2640118</v>
      </c>
      <c r="C9034" s="32">
        <v>43072.34171296296</v>
      </c>
    </row>
    <row r="9035" spans="1:3">
      <c r="A9035">
        <v>734655</v>
      </c>
      <c r="B9035">
        <v>1320293</v>
      </c>
      <c r="C9035" s="32">
        <v>43072.150694444441</v>
      </c>
    </row>
    <row r="9036" spans="1:3">
      <c r="A9036">
        <v>21010</v>
      </c>
      <c r="B9036">
        <v>1299190</v>
      </c>
      <c r="C9036" s="32">
        <v>43070.270416666666</v>
      </c>
    </row>
    <row r="9037" spans="1:3">
      <c r="A9037">
        <v>104945</v>
      </c>
      <c r="B9037">
        <v>903809</v>
      </c>
      <c r="C9037" s="32">
        <v>43072.475648148145</v>
      </c>
    </row>
    <row r="9038" spans="1:3">
      <c r="A9038">
        <v>630591</v>
      </c>
      <c r="B9038">
        <v>1320530</v>
      </c>
      <c r="C9038" s="32">
        <v>43071.538298611114</v>
      </c>
    </row>
    <row r="9039" spans="1:3">
      <c r="A9039">
        <v>985845</v>
      </c>
      <c r="B9039">
        <v>2640118</v>
      </c>
      <c r="C9039" s="32">
        <v>43071.969074074077</v>
      </c>
    </row>
    <row r="9040" spans="1:3">
      <c r="A9040">
        <v>610946</v>
      </c>
      <c r="B9040">
        <v>3579754</v>
      </c>
      <c r="C9040" s="32">
        <v>43071.612002314818</v>
      </c>
    </row>
    <row r="9041" spans="1:3">
      <c r="A9041">
        <v>262982</v>
      </c>
      <c r="B9041">
        <v>3002561</v>
      </c>
      <c r="C9041" s="32">
        <v>43071.346863425926</v>
      </c>
    </row>
    <row r="9042" spans="1:3">
      <c r="A9042">
        <v>236833</v>
      </c>
      <c r="B9042">
        <v>2520377</v>
      </c>
      <c r="C9042" s="32">
        <v>43072.613749999997</v>
      </c>
    </row>
    <row r="9043" spans="1:3">
      <c r="A9043">
        <v>634879</v>
      </c>
      <c r="B9043">
        <v>2735466</v>
      </c>
      <c r="C9043" s="32">
        <v>43072.573298611111</v>
      </c>
    </row>
    <row r="9044" spans="1:3">
      <c r="A9044">
        <v>39087</v>
      </c>
      <c r="B9044">
        <v>2926020</v>
      </c>
      <c r="C9044" s="32">
        <v>43070.515011574076</v>
      </c>
    </row>
    <row r="9045" spans="1:3">
      <c r="A9045">
        <v>23246</v>
      </c>
      <c r="B9045">
        <v>2939262</v>
      </c>
      <c r="C9045" s="32">
        <v>43072.074895833335</v>
      </c>
    </row>
    <row r="9046" spans="1:3">
      <c r="A9046">
        <v>1005674</v>
      </c>
      <c r="B9046">
        <v>3720767</v>
      </c>
      <c r="C9046" s="32">
        <v>43072.566412037035</v>
      </c>
    </row>
    <row r="9047" spans="1:3">
      <c r="A9047">
        <v>775144</v>
      </c>
      <c r="B9047">
        <v>3715096</v>
      </c>
      <c r="C9047" s="32">
        <v>43071.575833333336</v>
      </c>
    </row>
    <row r="9048" spans="1:3">
      <c r="A9048">
        <v>484809</v>
      </c>
      <c r="B9048">
        <v>4145813</v>
      </c>
      <c r="C9048" s="32">
        <v>43072.274282407408</v>
      </c>
    </row>
    <row r="9049" spans="1:3">
      <c r="A9049">
        <v>294148</v>
      </c>
      <c r="B9049">
        <v>4217906</v>
      </c>
      <c r="C9049" s="32">
        <v>43071.708784722221</v>
      </c>
    </row>
    <row r="9050" spans="1:3">
      <c r="A9050">
        <v>202235</v>
      </c>
      <c r="B9050">
        <v>2221025</v>
      </c>
      <c r="C9050" s="32">
        <v>43070.641180555554</v>
      </c>
    </row>
    <row r="9051" spans="1:3">
      <c r="A9051">
        <v>766838</v>
      </c>
      <c r="B9051">
        <v>4145813</v>
      </c>
      <c r="C9051" s="32">
        <v>43070.580289351848</v>
      </c>
    </row>
    <row r="9052" spans="1:3">
      <c r="A9052">
        <v>765006</v>
      </c>
      <c r="B9052">
        <v>4789432</v>
      </c>
      <c r="C9052" s="32">
        <v>43070.69703703704</v>
      </c>
    </row>
    <row r="9053" spans="1:3">
      <c r="A9053">
        <v>851622</v>
      </c>
      <c r="B9053">
        <v>3158249</v>
      </c>
      <c r="C9053" s="32">
        <v>43071.607071759259</v>
      </c>
    </row>
    <row r="9054" spans="1:3">
      <c r="A9054">
        <v>1003218</v>
      </c>
      <c r="B9054">
        <v>1633002</v>
      </c>
      <c r="C9054" s="32">
        <v>43072.035694444443</v>
      </c>
    </row>
    <row r="9055" spans="1:3">
      <c r="A9055">
        <v>186855</v>
      </c>
      <c r="B9055">
        <v>1813610</v>
      </c>
      <c r="C9055" s="32">
        <v>43072.575162037036</v>
      </c>
    </row>
    <row r="9056" spans="1:3">
      <c r="A9056">
        <v>876200</v>
      </c>
      <c r="B9056">
        <v>3747017</v>
      </c>
      <c r="C9056" s="32">
        <v>43072.170185185183</v>
      </c>
    </row>
    <row r="9057" spans="1:3">
      <c r="A9057">
        <v>427747</v>
      </c>
      <c r="B9057">
        <v>4284875</v>
      </c>
      <c r="C9057" s="32">
        <v>43072.200659722221</v>
      </c>
    </row>
    <row r="9058" spans="1:3">
      <c r="A9058">
        <v>970281</v>
      </c>
      <c r="B9058">
        <v>3933554</v>
      </c>
      <c r="C9058" s="32">
        <v>43071.917951388888</v>
      </c>
    </row>
    <row r="9059" spans="1:3">
      <c r="A9059">
        <v>408872</v>
      </c>
      <c r="B9059">
        <v>1299190</v>
      </c>
      <c r="C9059" s="32">
        <v>43071.666087962964</v>
      </c>
    </row>
    <row r="9060" spans="1:3">
      <c r="A9060">
        <v>964185</v>
      </c>
      <c r="B9060">
        <v>2520771</v>
      </c>
      <c r="C9060" s="32">
        <v>43070.255532407406</v>
      </c>
    </row>
    <row r="9061" spans="1:3">
      <c r="A9061">
        <v>731911</v>
      </c>
      <c r="B9061">
        <v>235534</v>
      </c>
      <c r="C9061" s="32">
        <v>43070.147523148145</v>
      </c>
    </row>
    <row r="9062" spans="1:3">
      <c r="A9062">
        <v>250155</v>
      </c>
      <c r="B9062">
        <v>901282</v>
      </c>
      <c r="C9062" s="32">
        <v>43070.899942129632</v>
      </c>
    </row>
    <row r="9063" spans="1:3">
      <c r="A9063">
        <v>652480</v>
      </c>
      <c r="B9063">
        <v>2982027</v>
      </c>
      <c r="C9063" s="32">
        <v>43072.609930555554</v>
      </c>
    </row>
    <row r="9064" spans="1:3">
      <c r="A9064">
        <v>145487</v>
      </c>
      <c r="B9064">
        <v>2590256</v>
      </c>
      <c r="C9064" s="32">
        <v>43072.559166666666</v>
      </c>
    </row>
    <row r="9065" spans="1:3">
      <c r="A9065">
        <v>133026</v>
      </c>
      <c r="B9065">
        <v>2297500</v>
      </c>
      <c r="C9065" s="32">
        <v>43072.610578703701</v>
      </c>
    </row>
    <row r="9066" spans="1:3">
      <c r="A9066">
        <v>790507</v>
      </c>
      <c r="B9066">
        <v>590997</v>
      </c>
      <c r="C9066" s="32">
        <v>43072.637488425928</v>
      </c>
    </row>
    <row r="9067" spans="1:3">
      <c r="A9067">
        <v>478740</v>
      </c>
      <c r="B9067">
        <v>1068933</v>
      </c>
      <c r="C9067" s="32">
        <v>43072.518900462965</v>
      </c>
    </row>
    <row r="9068" spans="1:3">
      <c r="A9068">
        <v>958468</v>
      </c>
      <c r="B9068">
        <v>4217906</v>
      </c>
      <c r="C9068" s="32">
        <v>43070.453541666669</v>
      </c>
    </row>
    <row r="9069" spans="1:3">
      <c r="A9069">
        <v>412739</v>
      </c>
      <c r="B9069">
        <v>2520771</v>
      </c>
      <c r="C9069" s="32">
        <v>43070.172731481478</v>
      </c>
    </row>
    <row r="9070" spans="1:3">
      <c r="A9070">
        <v>120249</v>
      </c>
      <c r="B9070">
        <v>4801426</v>
      </c>
      <c r="C9070" s="32">
        <v>43072.221747685187</v>
      </c>
    </row>
    <row r="9071" spans="1:3">
      <c r="A9071">
        <v>473247</v>
      </c>
      <c r="B9071">
        <v>2926020</v>
      </c>
      <c r="C9071" s="32">
        <v>43071.268877314818</v>
      </c>
    </row>
    <row r="9072" spans="1:3">
      <c r="A9072">
        <v>102582</v>
      </c>
      <c r="B9072">
        <v>3738615</v>
      </c>
      <c r="C9072" s="32">
        <v>43070.175543981481</v>
      </c>
    </row>
    <row r="9073" spans="1:3">
      <c r="A9073">
        <v>777647</v>
      </c>
      <c r="B9073">
        <v>1488813</v>
      </c>
      <c r="C9073" s="32">
        <v>43072.660578703704</v>
      </c>
    </row>
    <row r="9074" spans="1:3">
      <c r="A9074">
        <v>930742</v>
      </c>
      <c r="B9074">
        <v>1875258</v>
      </c>
      <c r="C9074" s="32">
        <v>43070.459710648145</v>
      </c>
    </row>
    <row r="9075" spans="1:3">
      <c r="A9075">
        <v>954048</v>
      </c>
      <c r="B9075">
        <v>3738615</v>
      </c>
      <c r="C9075" s="32">
        <v>43071.434108796297</v>
      </c>
    </row>
    <row r="9076" spans="1:3">
      <c r="A9076">
        <v>269292</v>
      </c>
      <c r="B9076">
        <v>2827444</v>
      </c>
      <c r="C9076" s="32">
        <v>43071.336550925924</v>
      </c>
    </row>
    <row r="9077" spans="1:3">
      <c r="A9077">
        <v>701229</v>
      </c>
      <c r="B9077">
        <v>235534</v>
      </c>
      <c r="C9077" s="32">
        <v>43071.498206018521</v>
      </c>
    </row>
    <row r="9078" spans="1:3">
      <c r="A9078">
        <v>655676</v>
      </c>
      <c r="B9078">
        <v>1888306</v>
      </c>
      <c r="C9078" s="32">
        <v>43071.09815972222</v>
      </c>
    </row>
    <row r="9079" spans="1:3">
      <c r="A9079">
        <v>967169</v>
      </c>
      <c r="B9079">
        <v>4170419</v>
      </c>
      <c r="C9079" s="32">
        <v>43070.307002314818</v>
      </c>
    </row>
    <row r="9080" spans="1:3">
      <c r="A9080">
        <v>334037</v>
      </c>
      <c r="B9080">
        <v>982926</v>
      </c>
      <c r="C9080" s="32">
        <v>43071.217627314814</v>
      </c>
    </row>
    <row r="9081" spans="1:3">
      <c r="A9081">
        <v>425408</v>
      </c>
      <c r="B9081">
        <v>2520377</v>
      </c>
      <c r="C9081" s="32">
        <v>43071.009976851848</v>
      </c>
    </row>
    <row r="9082" spans="1:3">
      <c r="A9082">
        <v>802152</v>
      </c>
      <c r="B9082">
        <v>3214361</v>
      </c>
      <c r="C9082" s="32">
        <v>43072.312581018516</v>
      </c>
    </row>
    <row r="9083" spans="1:3">
      <c r="A9083">
        <v>91691</v>
      </c>
      <c r="B9083">
        <v>5053508</v>
      </c>
      <c r="C9083" s="32">
        <v>43071.466145833336</v>
      </c>
    </row>
    <row r="9084" spans="1:3">
      <c r="A9084">
        <v>875936</v>
      </c>
      <c r="B9084">
        <v>1349561</v>
      </c>
      <c r="C9084" s="32">
        <v>43070.491620370369</v>
      </c>
    </row>
    <row r="9085" spans="1:3">
      <c r="A9085">
        <v>26037</v>
      </c>
      <c r="B9085">
        <v>1299190</v>
      </c>
      <c r="C9085" s="32">
        <v>43072.637928240743</v>
      </c>
    </row>
    <row r="9086" spans="1:3">
      <c r="A9086">
        <v>167875</v>
      </c>
      <c r="B9086">
        <v>2072473</v>
      </c>
      <c r="C9086" s="32">
        <v>43070.985775462963</v>
      </c>
    </row>
    <row r="9087" spans="1:3">
      <c r="A9087">
        <v>405961</v>
      </c>
      <c r="B9087">
        <v>4801426</v>
      </c>
      <c r="C9087" s="32">
        <v>43070.727650462963</v>
      </c>
    </row>
    <row r="9088" spans="1:3">
      <c r="A9088">
        <v>64332</v>
      </c>
      <c r="B9088">
        <v>1080785</v>
      </c>
      <c r="C9088" s="32">
        <v>43070.47078703704</v>
      </c>
    </row>
    <row r="9089" spans="1:3">
      <c r="A9089">
        <v>375242</v>
      </c>
      <c r="B9089">
        <v>4217906</v>
      </c>
      <c r="C9089" s="32">
        <v>43072.012060185189</v>
      </c>
    </row>
    <row r="9090" spans="1:3">
      <c r="A9090">
        <v>525937</v>
      </c>
      <c r="B9090">
        <v>982926</v>
      </c>
      <c r="C9090" s="32">
        <v>43071.631736111114</v>
      </c>
    </row>
    <row r="9091" spans="1:3">
      <c r="A9091">
        <v>1002086</v>
      </c>
      <c r="B9091">
        <v>2520377</v>
      </c>
      <c r="C9091" s="32">
        <v>43072.151134259257</v>
      </c>
    </row>
    <row r="9092" spans="1:3">
      <c r="A9092">
        <v>711141</v>
      </c>
      <c r="B9092">
        <v>1612623</v>
      </c>
      <c r="C9092" s="32">
        <v>43070.584733796299</v>
      </c>
    </row>
    <row r="9093" spans="1:3">
      <c r="A9093">
        <v>890821</v>
      </c>
      <c r="B9093">
        <v>2520771</v>
      </c>
      <c r="C9093" s="32">
        <v>43072.464421296296</v>
      </c>
    </row>
    <row r="9094" spans="1:3">
      <c r="A9094">
        <v>100991</v>
      </c>
      <c r="B9094">
        <v>4756105</v>
      </c>
      <c r="C9094" s="32">
        <v>43072.097800925927</v>
      </c>
    </row>
    <row r="9095" spans="1:3">
      <c r="A9095">
        <v>817899</v>
      </c>
      <c r="B9095">
        <v>994002</v>
      </c>
      <c r="C9095" s="32">
        <v>43071.665810185186</v>
      </c>
    </row>
    <row r="9096" spans="1:3">
      <c r="A9096">
        <v>839856</v>
      </c>
      <c r="B9096">
        <v>1080785</v>
      </c>
      <c r="C9096" s="32">
        <v>43070.919270833336</v>
      </c>
    </row>
    <row r="9097" spans="1:3">
      <c r="A9097">
        <v>980723</v>
      </c>
      <c r="B9097">
        <v>1320293</v>
      </c>
      <c r="C9097" s="32">
        <v>43072.102743055555</v>
      </c>
    </row>
    <row r="9098" spans="1:3">
      <c r="A9098">
        <v>493436</v>
      </c>
      <c r="B9098">
        <v>2735466</v>
      </c>
      <c r="C9098" s="32">
        <v>43071.062025462961</v>
      </c>
    </row>
    <row r="9099" spans="1:3">
      <c r="A9099">
        <v>730466</v>
      </c>
      <c r="B9099">
        <v>1973012</v>
      </c>
      <c r="C9099" s="32">
        <v>43071.641805555555</v>
      </c>
    </row>
    <row r="9100" spans="1:3">
      <c r="A9100">
        <v>296833</v>
      </c>
      <c r="B9100">
        <v>3299155</v>
      </c>
      <c r="C9100" s="32">
        <v>43072.566516203704</v>
      </c>
    </row>
    <row r="9101" spans="1:3">
      <c r="A9101">
        <v>10733</v>
      </c>
      <c r="B9101">
        <v>1320293</v>
      </c>
      <c r="C9101" s="32">
        <v>43071.669803240744</v>
      </c>
    </row>
    <row r="9102" spans="1:3">
      <c r="A9102">
        <v>871171</v>
      </c>
      <c r="B9102">
        <v>2572604</v>
      </c>
      <c r="C9102" s="32">
        <v>43071.191377314812</v>
      </c>
    </row>
    <row r="9103" spans="1:3">
      <c r="A9103">
        <v>218281</v>
      </c>
      <c r="B9103">
        <v>4801426</v>
      </c>
      <c r="C9103" s="32">
        <v>43072.215740740743</v>
      </c>
    </row>
    <row r="9104" spans="1:3">
      <c r="A9104">
        <v>236401</v>
      </c>
      <c r="B9104">
        <v>3790396</v>
      </c>
      <c r="C9104" s="32">
        <v>43071.028101851851</v>
      </c>
    </row>
    <row r="9105" spans="1:3">
      <c r="A9105">
        <v>233265</v>
      </c>
      <c r="B9105">
        <v>982926</v>
      </c>
      <c r="C9105" s="32">
        <v>43070.118946759256</v>
      </c>
    </row>
    <row r="9106" spans="1:3">
      <c r="A9106">
        <v>862051</v>
      </c>
      <c r="B9106">
        <v>2520377</v>
      </c>
      <c r="C9106" s="32">
        <v>43071.012314814812</v>
      </c>
    </row>
    <row r="9107" spans="1:3">
      <c r="A9107">
        <v>718058</v>
      </c>
      <c r="B9107">
        <v>3607361</v>
      </c>
      <c r="C9107" s="32">
        <v>43071.692013888889</v>
      </c>
    </row>
    <row r="9108" spans="1:3">
      <c r="A9108">
        <v>792857</v>
      </c>
      <c r="B9108">
        <v>4756105</v>
      </c>
      <c r="C9108" s="32">
        <v>43072.288148148145</v>
      </c>
    </row>
    <row r="9109" spans="1:3">
      <c r="A9109">
        <v>264302</v>
      </c>
      <c r="B9109">
        <v>2465336</v>
      </c>
      <c r="C9109" s="32">
        <v>43071.786643518521</v>
      </c>
    </row>
    <row r="9110" spans="1:3">
      <c r="A9110">
        <v>712220</v>
      </c>
      <c r="B9110">
        <v>3439012</v>
      </c>
      <c r="C9110" s="32">
        <v>43071.131423611114</v>
      </c>
    </row>
    <row r="9111" spans="1:3">
      <c r="A9111">
        <v>873545</v>
      </c>
      <c r="B9111">
        <v>965809</v>
      </c>
      <c r="C9111" s="32">
        <v>43071.733923611115</v>
      </c>
    </row>
    <row r="9112" spans="1:3">
      <c r="A9112">
        <v>230461</v>
      </c>
      <c r="B9112">
        <v>982926</v>
      </c>
      <c r="C9112" s="32">
        <v>43071.119143518517</v>
      </c>
    </row>
    <row r="9113" spans="1:3">
      <c r="A9113">
        <v>428321</v>
      </c>
      <c r="B9113">
        <v>2355072</v>
      </c>
      <c r="C9113" s="32">
        <v>43072.448113425926</v>
      </c>
    </row>
    <row r="9114" spans="1:3">
      <c r="A9114">
        <v>784871</v>
      </c>
      <c r="B9114">
        <v>2520377</v>
      </c>
      <c r="C9114" s="32">
        <v>43072.606979166667</v>
      </c>
    </row>
    <row r="9115" spans="1:3">
      <c r="A9115">
        <v>303530</v>
      </c>
      <c r="B9115">
        <v>4170419</v>
      </c>
      <c r="C9115" s="32">
        <v>43071.042025462964</v>
      </c>
    </row>
    <row r="9116" spans="1:3">
      <c r="A9116">
        <v>222121</v>
      </c>
      <c r="B9116">
        <v>2355072</v>
      </c>
      <c r="C9116" s="32">
        <v>43070.34447916667</v>
      </c>
    </row>
    <row r="9117" spans="1:3">
      <c r="A9117">
        <v>222410</v>
      </c>
      <c r="B9117">
        <v>4145813</v>
      </c>
      <c r="C9117" s="32">
        <v>43071.657083333332</v>
      </c>
    </row>
    <row r="9118" spans="1:3">
      <c r="A9118">
        <v>127567</v>
      </c>
      <c r="B9118">
        <v>2733371</v>
      </c>
      <c r="C9118" s="32">
        <v>43070.670810185184</v>
      </c>
    </row>
    <row r="9119" spans="1:3">
      <c r="A9119">
        <v>743849</v>
      </c>
      <c r="B9119">
        <v>235534</v>
      </c>
      <c r="C9119" s="32">
        <v>43071.086273148147</v>
      </c>
    </row>
    <row r="9120" spans="1:3">
      <c r="A9120">
        <v>883175</v>
      </c>
      <c r="B9120">
        <v>4339722</v>
      </c>
      <c r="C9120" s="32">
        <v>43071.339699074073</v>
      </c>
    </row>
    <row r="9121" spans="1:3">
      <c r="A9121">
        <v>759857</v>
      </c>
      <c r="B9121">
        <v>3645362</v>
      </c>
      <c r="C9121" s="32">
        <v>43072.633715277778</v>
      </c>
    </row>
    <row r="9122" spans="1:3">
      <c r="A9122">
        <v>732037</v>
      </c>
      <c r="B9122">
        <v>1281171</v>
      </c>
      <c r="C9122" s="32">
        <v>43071.141041666669</v>
      </c>
    </row>
    <row r="9123" spans="1:3">
      <c r="A9123">
        <v>993226</v>
      </c>
      <c r="B9123">
        <v>2520377</v>
      </c>
      <c r="C9123" s="32">
        <v>43070.445844907408</v>
      </c>
    </row>
    <row r="9124" spans="1:3">
      <c r="A9124">
        <v>152572</v>
      </c>
      <c r="B9124">
        <v>2462567</v>
      </c>
      <c r="C9124" s="32">
        <v>43070.139074074075</v>
      </c>
    </row>
    <row r="9125" spans="1:3">
      <c r="A9125">
        <v>553511</v>
      </c>
      <c r="B9125">
        <v>4181361</v>
      </c>
      <c r="C9125" s="32">
        <v>43069.677673611113</v>
      </c>
    </row>
    <row r="9126" spans="1:3">
      <c r="A9126">
        <v>705941</v>
      </c>
      <c r="B9126">
        <v>411153</v>
      </c>
      <c r="C9126" s="32">
        <v>43069.671087962961</v>
      </c>
    </row>
    <row r="9127" spans="1:3">
      <c r="A9127">
        <v>1005843</v>
      </c>
      <c r="B9127">
        <v>5071267</v>
      </c>
      <c r="C9127" s="32">
        <v>43071.410833333335</v>
      </c>
    </row>
    <row r="9128" spans="1:3">
      <c r="A9128">
        <v>193982</v>
      </c>
      <c r="B9128">
        <v>1299190</v>
      </c>
      <c r="C9128" s="32">
        <v>43070.23946759259</v>
      </c>
    </row>
    <row r="9129" spans="1:3">
      <c r="A9129">
        <v>712229</v>
      </c>
      <c r="B9129">
        <v>2926020</v>
      </c>
      <c r="C9129" s="32">
        <v>43070.525995370372</v>
      </c>
    </row>
    <row r="9130" spans="1:3">
      <c r="A9130">
        <v>625220</v>
      </c>
      <c r="B9130">
        <v>1879194</v>
      </c>
      <c r="C9130" s="32">
        <v>43070.275462962964</v>
      </c>
    </row>
    <row r="9131" spans="1:3">
      <c r="A9131">
        <v>673162</v>
      </c>
      <c r="B9131">
        <v>5002819</v>
      </c>
      <c r="C9131" s="32">
        <v>43071.53025462963</v>
      </c>
    </row>
    <row r="9132" spans="1:3">
      <c r="A9132">
        <v>11181</v>
      </c>
      <c r="B9132">
        <v>4145813</v>
      </c>
      <c r="C9132" s="32">
        <v>43071.118888888886</v>
      </c>
    </row>
    <row r="9133" spans="1:3">
      <c r="A9133">
        <v>604205</v>
      </c>
      <c r="B9133">
        <v>1397912</v>
      </c>
      <c r="C9133" s="32">
        <v>43071.127581018518</v>
      </c>
    </row>
    <row r="9134" spans="1:3">
      <c r="A9134">
        <v>260</v>
      </c>
      <c r="B9134">
        <v>2878148</v>
      </c>
      <c r="C9134" s="32">
        <v>43070.458726851852</v>
      </c>
    </row>
    <row r="9135" spans="1:3">
      <c r="A9135">
        <v>291062</v>
      </c>
      <c r="B9135">
        <v>4756105</v>
      </c>
      <c r="C9135" s="32">
        <v>43071.504363425927</v>
      </c>
    </row>
    <row r="9136" spans="1:3">
      <c r="A9136">
        <v>44597</v>
      </c>
      <c r="B9136">
        <v>149192</v>
      </c>
      <c r="C9136" s="32">
        <v>43070.426724537036</v>
      </c>
    </row>
    <row r="9137" spans="1:3">
      <c r="A9137">
        <v>246884</v>
      </c>
      <c r="B9137">
        <v>1029459</v>
      </c>
      <c r="C9137" s="32">
        <v>43072.440428240741</v>
      </c>
    </row>
    <row r="9138" spans="1:3">
      <c r="A9138">
        <v>502944</v>
      </c>
      <c r="B9138">
        <v>3002561</v>
      </c>
      <c r="C9138" s="32">
        <v>43071.213912037034</v>
      </c>
    </row>
    <row r="9139" spans="1:3">
      <c r="A9139">
        <v>948142</v>
      </c>
      <c r="B9139">
        <v>2495340</v>
      </c>
      <c r="C9139" s="32">
        <v>43070.245185185187</v>
      </c>
    </row>
    <row r="9140" spans="1:3">
      <c r="A9140">
        <v>839206</v>
      </c>
      <c r="B9140">
        <v>4015257</v>
      </c>
      <c r="C9140" s="32">
        <v>43072.353958333333</v>
      </c>
    </row>
    <row r="9141" spans="1:3">
      <c r="A9141">
        <v>748118</v>
      </c>
      <c r="B9141">
        <v>4801426</v>
      </c>
      <c r="C9141" s="32">
        <v>43071.661597222221</v>
      </c>
    </row>
    <row r="9142" spans="1:3">
      <c r="A9142">
        <v>724130</v>
      </c>
      <c r="B9142">
        <v>3712511</v>
      </c>
      <c r="C9142" s="32">
        <v>43070.299340277779</v>
      </c>
    </row>
    <row r="9143" spans="1:3">
      <c r="A9143">
        <v>793877</v>
      </c>
      <c r="B9143">
        <v>4804883</v>
      </c>
      <c r="C9143" s="32">
        <v>43072.121874999997</v>
      </c>
    </row>
    <row r="9144" spans="1:3">
      <c r="A9144">
        <v>588112</v>
      </c>
      <c r="B9144">
        <v>4801426</v>
      </c>
      <c r="C9144" s="32">
        <v>43072.594328703701</v>
      </c>
    </row>
    <row r="9145" spans="1:3">
      <c r="A9145">
        <v>547354</v>
      </c>
      <c r="B9145">
        <v>1320293</v>
      </c>
      <c r="C9145" s="32">
        <v>43071.623171296298</v>
      </c>
    </row>
    <row r="9146" spans="1:3">
      <c r="A9146">
        <v>535166</v>
      </c>
      <c r="B9146">
        <v>2640118</v>
      </c>
      <c r="C9146" s="32">
        <v>43072.476354166669</v>
      </c>
    </row>
    <row r="9147" spans="1:3">
      <c r="A9147">
        <v>980713</v>
      </c>
      <c r="B9147">
        <v>2465336</v>
      </c>
      <c r="C9147" s="32">
        <v>43071.30505787037</v>
      </c>
    </row>
    <row r="9148" spans="1:3">
      <c r="A9148">
        <v>671162</v>
      </c>
      <c r="B9148">
        <v>3607361</v>
      </c>
      <c r="C9148" s="32">
        <v>43072.305706018517</v>
      </c>
    </row>
    <row r="9149" spans="1:3">
      <c r="A9149">
        <v>162198</v>
      </c>
      <c r="B9149">
        <v>4193511</v>
      </c>
      <c r="C9149" s="32">
        <v>43072.650555555556</v>
      </c>
    </row>
    <row r="9150" spans="1:3">
      <c r="A9150">
        <v>554463</v>
      </c>
      <c r="B9150">
        <v>4321796</v>
      </c>
      <c r="C9150" s="32">
        <v>43072.021631944444</v>
      </c>
    </row>
    <row r="9151" spans="1:3">
      <c r="A9151">
        <v>26718</v>
      </c>
      <c r="B9151">
        <v>4217906</v>
      </c>
      <c r="C9151" s="32">
        <v>43070.587534722225</v>
      </c>
    </row>
    <row r="9152" spans="1:3">
      <c r="A9152">
        <v>136612</v>
      </c>
      <c r="B9152">
        <v>1859277</v>
      </c>
      <c r="C9152" s="32">
        <v>43070.944953703707</v>
      </c>
    </row>
    <row r="9153" spans="1:3">
      <c r="A9153">
        <v>59847</v>
      </c>
      <c r="B9153">
        <v>2072473</v>
      </c>
      <c r="C9153" s="32">
        <v>43072.354074074072</v>
      </c>
    </row>
    <row r="9154" spans="1:3">
      <c r="A9154">
        <v>300873</v>
      </c>
      <c r="B9154">
        <v>4801426</v>
      </c>
      <c r="C9154" s="32">
        <v>43070.775902777779</v>
      </c>
    </row>
    <row r="9155" spans="1:3">
      <c r="A9155">
        <v>254632</v>
      </c>
      <c r="B9155">
        <v>634034</v>
      </c>
      <c r="C9155" s="32">
        <v>43069.797233796293</v>
      </c>
    </row>
    <row r="9156" spans="1:3">
      <c r="A9156">
        <v>521520</v>
      </c>
      <c r="B9156">
        <v>2751787</v>
      </c>
      <c r="C9156" s="32">
        <v>43070.133842592593</v>
      </c>
    </row>
    <row r="9157" spans="1:3">
      <c r="A9157">
        <v>85779</v>
      </c>
      <c r="B9157">
        <v>2520771</v>
      </c>
      <c r="C9157" s="32">
        <v>43071.412974537037</v>
      </c>
    </row>
    <row r="9158" spans="1:3">
      <c r="A9158">
        <v>959639</v>
      </c>
      <c r="B9158">
        <v>2459106</v>
      </c>
      <c r="C9158" s="32">
        <v>43071.967523148145</v>
      </c>
    </row>
    <row r="9159" spans="1:3">
      <c r="A9159">
        <v>827373</v>
      </c>
      <c r="B9159">
        <v>4284875</v>
      </c>
      <c r="C9159" s="32">
        <v>43070.484803240739</v>
      </c>
    </row>
    <row r="9160" spans="1:3">
      <c r="A9160">
        <v>169276</v>
      </c>
      <c r="B9160">
        <v>4376524</v>
      </c>
      <c r="C9160" s="32">
        <v>43071.330405092594</v>
      </c>
    </row>
    <row r="9161" spans="1:3">
      <c r="A9161">
        <v>264556</v>
      </c>
      <c r="B9161">
        <v>4756105</v>
      </c>
      <c r="C9161" s="32">
        <v>43071.63071759259</v>
      </c>
    </row>
    <row r="9162" spans="1:3">
      <c r="A9162">
        <v>375117</v>
      </c>
      <c r="B9162">
        <v>2013232</v>
      </c>
      <c r="C9162" s="32">
        <v>43071.355821759258</v>
      </c>
    </row>
    <row r="9163" spans="1:3">
      <c r="A9163">
        <v>464067</v>
      </c>
      <c r="B9163">
        <v>3102560</v>
      </c>
      <c r="C9163" s="32">
        <v>43072.66196759259</v>
      </c>
    </row>
    <row r="9164" spans="1:3">
      <c r="A9164">
        <v>647429</v>
      </c>
      <c r="B9164">
        <v>2131531</v>
      </c>
      <c r="C9164" s="32">
        <v>43070.66101851852</v>
      </c>
    </row>
    <row r="9165" spans="1:3">
      <c r="A9165">
        <v>751159</v>
      </c>
      <c r="B9165">
        <v>4244487</v>
      </c>
      <c r="C9165" s="32">
        <v>43071.603807870371</v>
      </c>
    </row>
    <row r="9166" spans="1:3">
      <c r="A9166">
        <v>626121</v>
      </c>
      <c r="B9166">
        <v>384755</v>
      </c>
      <c r="C9166" s="32">
        <v>43071.47320601852</v>
      </c>
    </row>
    <row r="9167" spans="1:3">
      <c r="A9167">
        <v>4335</v>
      </c>
      <c r="B9167">
        <v>2520377</v>
      </c>
      <c r="C9167" s="32">
        <v>43071.269479166665</v>
      </c>
    </row>
    <row r="9168" spans="1:3">
      <c r="A9168">
        <v>355698</v>
      </c>
      <c r="B9168">
        <v>1526856</v>
      </c>
      <c r="C9168" s="32">
        <v>43071.675312500003</v>
      </c>
    </row>
    <row r="9169" spans="1:3">
      <c r="A9169">
        <v>164548</v>
      </c>
      <c r="B9169">
        <v>4022701</v>
      </c>
      <c r="C9169" s="32">
        <v>43072.018599537034</v>
      </c>
    </row>
    <row r="9170" spans="1:3">
      <c r="A9170">
        <v>788229</v>
      </c>
      <c r="B9170">
        <v>2827444</v>
      </c>
      <c r="C9170" s="32">
        <v>43071.727546296293</v>
      </c>
    </row>
    <row r="9171" spans="1:3">
      <c r="A9171">
        <v>300179</v>
      </c>
      <c r="B9171">
        <v>2520377</v>
      </c>
      <c r="C9171" s="32">
        <v>43072.511284722219</v>
      </c>
    </row>
    <row r="9172" spans="1:3">
      <c r="A9172">
        <v>818988</v>
      </c>
      <c r="B9172">
        <v>2465336</v>
      </c>
      <c r="C9172" s="32">
        <v>43071.657719907409</v>
      </c>
    </row>
    <row r="9173" spans="1:3">
      <c r="A9173">
        <v>362013</v>
      </c>
      <c r="B9173">
        <v>4558987</v>
      </c>
      <c r="C9173" s="32">
        <v>43070.0546875</v>
      </c>
    </row>
    <row r="9174" spans="1:3">
      <c r="A9174">
        <v>641715</v>
      </c>
      <c r="B9174">
        <v>2739327</v>
      </c>
      <c r="C9174" s="32">
        <v>43071.455324074072</v>
      </c>
    </row>
    <row r="9175" spans="1:3">
      <c r="A9175">
        <v>665956</v>
      </c>
      <c r="B9175">
        <v>3738615</v>
      </c>
      <c r="C9175" s="32">
        <v>43070.963738425926</v>
      </c>
    </row>
    <row r="9176" spans="1:3">
      <c r="A9176">
        <v>335233</v>
      </c>
      <c r="B9176">
        <v>4022701</v>
      </c>
      <c r="C9176" s="32">
        <v>43072.539560185185</v>
      </c>
    </row>
    <row r="9177" spans="1:3">
      <c r="A9177">
        <v>120895</v>
      </c>
      <c r="B9177">
        <v>1048697</v>
      </c>
      <c r="C9177" s="32">
        <v>43072.554479166669</v>
      </c>
    </row>
    <row r="9178" spans="1:3">
      <c r="A9178">
        <v>813103</v>
      </c>
      <c r="B9178">
        <v>149192</v>
      </c>
      <c r="C9178" s="32">
        <v>43072.544363425928</v>
      </c>
    </row>
    <row r="9179" spans="1:3">
      <c r="A9179">
        <v>753406</v>
      </c>
      <c r="B9179">
        <v>4357323</v>
      </c>
      <c r="C9179" s="32">
        <v>43072.634421296294</v>
      </c>
    </row>
    <row r="9180" spans="1:3">
      <c r="A9180">
        <v>731187</v>
      </c>
      <c r="B9180">
        <v>4756105</v>
      </c>
      <c r="C9180" s="32">
        <v>43071.34474537037</v>
      </c>
    </row>
    <row r="9181" spans="1:3">
      <c r="A9181">
        <v>140329</v>
      </c>
      <c r="B9181">
        <v>1902453</v>
      </c>
      <c r="C9181" s="32">
        <v>43072.373749999999</v>
      </c>
    </row>
    <row r="9182" spans="1:3">
      <c r="A9182">
        <v>944273</v>
      </c>
      <c r="B9182">
        <v>4676764</v>
      </c>
      <c r="C9182" s="32">
        <v>43072.562175925923</v>
      </c>
    </row>
    <row r="9183" spans="1:3">
      <c r="A9183">
        <v>734769</v>
      </c>
      <c r="B9183">
        <v>1029459</v>
      </c>
      <c r="C9183" s="32">
        <v>43072.166342592594</v>
      </c>
    </row>
    <row r="9184" spans="1:3">
      <c r="A9184">
        <v>1001501</v>
      </c>
      <c r="B9184">
        <v>2885642</v>
      </c>
      <c r="C9184" s="32">
        <v>43071.091400462959</v>
      </c>
    </row>
    <row r="9185" spans="1:3">
      <c r="A9185">
        <v>122763</v>
      </c>
      <c r="B9185">
        <v>4173315</v>
      </c>
      <c r="C9185" s="32">
        <v>43071.299143518518</v>
      </c>
    </row>
    <row r="9186" spans="1:3">
      <c r="A9186">
        <v>194902</v>
      </c>
      <c r="B9186">
        <v>4869428</v>
      </c>
      <c r="C9186" s="32">
        <v>43072.521273148152</v>
      </c>
    </row>
    <row r="9187" spans="1:3">
      <c r="A9187">
        <v>569025</v>
      </c>
      <c r="B9187">
        <v>998114</v>
      </c>
      <c r="C9187" s="32">
        <v>43072.381365740737</v>
      </c>
    </row>
    <row r="9188" spans="1:3">
      <c r="A9188">
        <v>809847</v>
      </c>
      <c r="B9188">
        <v>982926</v>
      </c>
      <c r="C9188" s="32">
        <v>43071.522326388891</v>
      </c>
    </row>
    <row r="9189" spans="1:3">
      <c r="A9189">
        <v>931450</v>
      </c>
      <c r="B9189">
        <v>1724559</v>
      </c>
      <c r="C9189" s="32">
        <v>43070.626446759263</v>
      </c>
    </row>
    <row r="9190" spans="1:3">
      <c r="A9190">
        <v>177539</v>
      </c>
      <c r="B9190">
        <v>3407883</v>
      </c>
      <c r="C9190" s="32">
        <v>43071.48265046296</v>
      </c>
    </row>
    <row r="9191" spans="1:3">
      <c r="A9191">
        <v>450922</v>
      </c>
      <c r="B9191">
        <v>590997</v>
      </c>
      <c r="C9191" s="32">
        <v>43070.316574074073</v>
      </c>
    </row>
    <row r="9192" spans="1:3">
      <c r="A9192">
        <v>814536</v>
      </c>
      <c r="B9192">
        <v>3790396</v>
      </c>
      <c r="C9192" s="32">
        <v>43069.871064814812</v>
      </c>
    </row>
    <row r="9193" spans="1:3">
      <c r="A9193">
        <v>974279</v>
      </c>
      <c r="B9193">
        <v>883960</v>
      </c>
      <c r="C9193" s="32">
        <v>43070.704768518517</v>
      </c>
    </row>
    <row r="9194" spans="1:3">
      <c r="A9194">
        <v>419616</v>
      </c>
      <c r="B9194">
        <v>965809</v>
      </c>
      <c r="C9194" s="32">
        <v>43072.572106481479</v>
      </c>
    </row>
    <row r="9195" spans="1:3">
      <c r="A9195">
        <v>172453</v>
      </c>
      <c r="B9195">
        <v>4731191</v>
      </c>
      <c r="C9195" s="32">
        <v>43072.363356481481</v>
      </c>
    </row>
    <row r="9196" spans="1:3">
      <c r="A9196">
        <v>244601</v>
      </c>
      <c r="B9196">
        <v>3479353</v>
      </c>
      <c r="C9196" s="32">
        <v>43071.646724537037</v>
      </c>
    </row>
    <row r="9197" spans="1:3">
      <c r="A9197">
        <v>108408</v>
      </c>
      <c r="B9197">
        <v>2465336</v>
      </c>
      <c r="C9197" s="32">
        <v>43070.651550925926</v>
      </c>
    </row>
    <row r="9198" spans="1:3">
      <c r="A9198">
        <v>920469</v>
      </c>
      <c r="B9198">
        <v>3496816</v>
      </c>
      <c r="C9198" s="32">
        <v>43070.509699074071</v>
      </c>
    </row>
    <row r="9199" spans="1:3">
      <c r="A9199">
        <v>1008975</v>
      </c>
      <c r="B9199">
        <v>605882</v>
      </c>
      <c r="C9199" s="32">
        <v>43072.011666666665</v>
      </c>
    </row>
    <row r="9200" spans="1:3">
      <c r="A9200">
        <v>54842</v>
      </c>
      <c r="B9200">
        <v>2297500</v>
      </c>
      <c r="C9200" s="32">
        <v>43071.426608796297</v>
      </c>
    </row>
    <row r="9201" spans="1:3">
      <c r="A9201">
        <v>454744</v>
      </c>
      <c r="B9201">
        <v>2640118</v>
      </c>
      <c r="C9201" s="32">
        <v>43072.043900462966</v>
      </c>
    </row>
    <row r="9202" spans="1:3">
      <c r="A9202">
        <v>585605</v>
      </c>
      <c r="B9202">
        <v>3724091</v>
      </c>
      <c r="C9202" s="32">
        <v>43069.834328703706</v>
      </c>
    </row>
    <row r="9203" spans="1:3">
      <c r="A9203">
        <v>466356</v>
      </c>
      <c r="B9203">
        <v>3796207</v>
      </c>
      <c r="C9203" s="32">
        <v>43072.036226851851</v>
      </c>
    </row>
    <row r="9204" spans="1:3">
      <c r="A9204">
        <v>948724</v>
      </c>
      <c r="B9204">
        <v>4069500</v>
      </c>
      <c r="C9204" s="32">
        <v>43072.116724537038</v>
      </c>
    </row>
    <row r="9205" spans="1:3">
      <c r="A9205">
        <v>107864</v>
      </c>
      <c r="B9205">
        <v>3209590</v>
      </c>
      <c r="C9205" s="32">
        <v>43072.364525462966</v>
      </c>
    </row>
    <row r="9206" spans="1:3">
      <c r="A9206">
        <v>543939</v>
      </c>
      <c r="B9206">
        <v>4801426</v>
      </c>
      <c r="C9206" s="32">
        <v>43070.175682870373</v>
      </c>
    </row>
    <row r="9207" spans="1:3">
      <c r="A9207">
        <v>242136</v>
      </c>
      <c r="B9207">
        <v>1056899</v>
      </c>
      <c r="C9207" s="32">
        <v>43072.220879629633</v>
      </c>
    </row>
    <row r="9208" spans="1:3">
      <c r="A9208">
        <v>607898</v>
      </c>
      <c r="B9208">
        <v>4145813</v>
      </c>
      <c r="C9208" s="32">
        <v>43071.471979166665</v>
      </c>
    </row>
    <row r="9209" spans="1:3">
      <c r="A9209">
        <v>909789</v>
      </c>
      <c r="B9209">
        <v>3876855</v>
      </c>
      <c r="C9209" s="32">
        <v>43070.48673611111</v>
      </c>
    </row>
    <row r="9210" spans="1:3">
      <c r="A9210">
        <v>23236</v>
      </c>
      <c r="B9210">
        <v>4357323</v>
      </c>
      <c r="C9210" s="32">
        <v>43071.019328703704</v>
      </c>
    </row>
    <row r="9211" spans="1:3">
      <c r="A9211">
        <v>887366</v>
      </c>
      <c r="B9211">
        <v>4145813</v>
      </c>
      <c r="C9211" s="32">
        <v>43070.949131944442</v>
      </c>
    </row>
    <row r="9212" spans="1:3">
      <c r="A9212">
        <v>183493</v>
      </c>
      <c r="B9212">
        <v>3975787</v>
      </c>
      <c r="C9212" s="32">
        <v>43071.289224537039</v>
      </c>
    </row>
    <row r="9213" spans="1:3">
      <c r="A9213">
        <v>82933</v>
      </c>
      <c r="B9213">
        <v>570735</v>
      </c>
      <c r="C9213" s="32">
        <v>43072.483344907407</v>
      </c>
    </row>
    <row r="9214" spans="1:3">
      <c r="A9214">
        <v>464701</v>
      </c>
      <c r="B9214">
        <v>669762</v>
      </c>
      <c r="C9214" s="32">
        <v>43072.048252314817</v>
      </c>
    </row>
    <row r="9215" spans="1:3">
      <c r="A9215">
        <v>1010421</v>
      </c>
      <c r="B9215">
        <v>3425243</v>
      </c>
      <c r="C9215" s="32">
        <v>43071.364120370374</v>
      </c>
    </row>
    <row r="9216" spans="1:3">
      <c r="A9216">
        <v>104121</v>
      </c>
      <c r="B9216">
        <v>1320293</v>
      </c>
      <c r="C9216" s="32">
        <v>43070.724687499998</v>
      </c>
    </row>
    <row r="9217" spans="1:3">
      <c r="A9217">
        <v>185268</v>
      </c>
      <c r="B9217">
        <v>2195789</v>
      </c>
      <c r="C9217" s="32">
        <v>43072.380428240744</v>
      </c>
    </row>
    <row r="9218" spans="1:3">
      <c r="A9218">
        <v>217991</v>
      </c>
      <c r="B9218">
        <v>4672807</v>
      </c>
      <c r="C9218" s="32">
        <v>43071.520555555559</v>
      </c>
    </row>
    <row r="9219" spans="1:3">
      <c r="A9219">
        <v>161984</v>
      </c>
      <c r="B9219">
        <v>3042444</v>
      </c>
      <c r="C9219" s="32">
        <v>43071.54619212963</v>
      </c>
    </row>
    <row r="9220" spans="1:3">
      <c r="A9220">
        <v>317379</v>
      </c>
      <c r="B9220">
        <v>4901188</v>
      </c>
      <c r="C9220" s="32">
        <v>43071.680937500001</v>
      </c>
    </row>
    <row r="9221" spans="1:3">
      <c r="A9221">
        <v>681581</v>
      </c>
      <c r="B9221">
        <v>3738615</v>
      </c>
      <c r="C9221" s="32">
        <v>43069.669016203705</v>
      </c>
    </row>
    <row r="9222" spans="1:3">
      <c r="A9222">
        <v>179749</v>
      </c>
      <c r="B9222">
        <v>1792277</v>
      </c>
      <c r="C9222" s="32">
        <v>43072.305532407408</v>
      </c>
    </row>
    <row r="9223" spans="1:3">
      <c r="A9223">
        <v>138697</v>
      </c>
      <c r="B9223">
        <v>4801426</v>
      </c>
      <c r="C9223" s="32">
        <v>43071.521192129629</v>
      </c>
    </row>
    <row r="9224" spans="1:3">
      <c r="A9224">
        <v>238663</v>
      </c>
      <c r="B9224">
        <v>3381583</v>
      </c>
      <c r="C9224" s="32">
        <v>43071.544490740744</v>
      </c>
    </row>
    <row r="9225" spans="1:3">
      <c r="A9225">
        <v>954055</v>
      </c>
      <c r="B9225">
        <v>3118167</v>
      </c>
      <c r="C9225" s="32">
        <v>43070.4925</v>
      </c>
    </row>
    <row r="9226" spans="1:3">
      <c r="A9226">
        <v>152700</v>
      </c>
      <c r="B9226">
        <v>2033408</v>
      </c>
      <c r="C9226" s="32">
        <v>43071.576284722221</v>
      </c>
    </row>
    <row r="9227" spans="1:3">
      <c r="A9227">
        <v>389732</v>
      </c>
      <c r="B9227">
        <v>2433095</v>
      </c>
      <c r="C9227" s="32">
        <v>43071.694490740738</v>
      </c>
    </row>
    <row r="9228" spans="1:3">
      <c r="A9228">
        <v>695562</v>
      </c>
      <c r="B9228">
        <v>2540093</v>
      </c>
      <c r="C9228" s="32">
        <v>43071.317928240744</v>
      </c>
    </row>
    <row r="9229" spans="1:3">
      <c r="A9229">
        <v>969108</v>
      </c>
      <c r="B9229">
        <v>5012555</v>
      </c>
      <c r="C9229" s="32">
        <v>43072.488981481481</v>
      </c>
    </row>
    <row r="9230" spans="1:3">
      <c r="A9230">
        <v>868994</v>
      </c>
      <c r="B9230">
        <v>2038530</v>
      </c>
      <c r="C9230" s="32">
        <v>43071.15388888889</v>
      </c>
    </row>
    <row r="9231" spans="1:3">
      <c r="A9231">
        <v>69590</v>
      </c>
      <c r="B9231">
        <v>4135836</v>
      </c>
      <c r="C9231" s="32">
        <v>43071.318796296298</v>
      </c>
    </row>
    <row r="9232" spans="1:3">
      <c r="A9232">
        <v>220330</v>
      </c>
      <c r="B9232">
        <v>235534</v>
      </c>
      <c r="C9232" s="32">
        <v>43070.913981481484</v>
      </c>
    </row>
    <row r="9233" spans="1:3">
      <c r="A9233">
        <v>900057</v>
      </c>
      <c r="B9233">
        <v>3985610</v>
      </c>
      <c r="C9233" s="32">
        <v>43071.627500000002</v>
      </c>
    </row>
    <row r="9234" spans="1:3">
      <c r="A9234">
        <v>233763</v>
      </c>
      <c r="B9234">
        <v>2520377</v>
      </c>
      <c r="C9234" s="32">
        <v>43071.361354166664</v>
      </c>
    </row>
    <row r="9235" spans="1:3">
      <c r="A9235">
        <v>199617</v>
      </c>
      <c r="B9235">
        <v>4708262</v>
      </c>
      <c r="C9235" s="32">
        <v>43070.029456018521</v>
      </c>
    </row>
    <row r="9236" spans="1:3">
      <c r="A9236">
        <v>94213</v>
      </c>
      <c r="B9236">
        <v>4339722</v>
      </c>
      <c r="C9236" s="32">
        <v>43072.496018518519</v>
      </c>
    </row>
    <row r="9237" spans="1:3">
      <c r="A9237">
        <v>511954</v>
      </c>
      <c r="B9237">
        <v>2920476</v>
      </c>
      <c r="C9237" s="32">
        <v>43070.034930555557</v>
      </c>
    </row>
    <row r="9238" spans="1:3">
      <c r="A9238">
        <v>573259</v>
      </c>
      <c r="B9238">
        <v>1859277</v>
      </c>
      <c r="C9238" s="32">
        <v>43070.007754629631</v>
      </c>
    </row>
    <row r="9239" spans="1:3">
      <c r="A9239">
        <v>591254</v>
      </c>
      <c r="B9239">
        <v>4145813</v>
      </c>
      <c r="C9239" s="32">
        <v>43072.125914351855</v>
      </c>
    </row>
    <row r="9240" spans="1:3">
      <c r="A9240">
        <v>970934</v>
      </c>
      <c r="B9240">
        <v>88462</v>
      </c>
      <c r="C9240" s="32">
        <v>43072.528032407405</v>
      </c>
    </row>
    <row r="9241" spans="1:3">
      <c r="A9241">
        <v>869726</v>
      </c>
      <c r="B9241">
        <v>4684862</v>
      </c>
      <c r="C9241" s="32">
        <v>43071.580081018517</v>
      </c>
    </row>
    <row r="9242" spans="1:3">
      <c r="A9242">
        <v>212087</v>
      </c>
      <c r="B9242">
        <v>3607361</v>
      </c>
      <c r="C9242" s="32">
        <v>43072.605486111112</v>
      </c>
    </row>
    <row r="9243" spans="1:3">
      <c r="A9243">
        <v>121885</v>
      </c>
      <c r="B9243">
        <v>4756105</v>
      </c>
      <c r="C9243" s="32">
        <v>43071.084479166668</v>
      </c>
    </row>
    <row r="9244" spans="1:3">
      <c r="A9244">
        <v>131622</v>
      </c>
      <c r="B9244">
        <v>3738615</v>
      </c>
      <c r="C9244" s="32">
        <v>43070.573969907404</v>
      </c>
    </row>
    <row r="9245" spans="1:3">
      <c r="A9245">
        <v>571013</v>
      </c>
      <c r="B9245">
        <v>2640118</v>
      </c>
      <c r="C9245" s="32">
        <v>43071.986620370371</v>
      </c>
    </row>
    <row r="9246" spans="1:3">
      <c r="A9246">
        <v>822041</v>
      </c>
      <c r="B9246">
        <v>2520377</v>
      </c>
      <c r="C9246" s="32">
        <v>43071.306041666663</v>
      </c>
    </row>
    <row r="9247" spans="1:3">
      <c r="A9247">
        <v>588112</v>
      </c>
      <c r="B9247">
        <v>3002561</v>
      </c>
      <c r="C9247" s="32">
        <v>43072.578946759262</v>
      </c>
    </row>
    <row r="9248" spans="1:3">
      <c r="A9248">
        <v>476170</v>
      </c>
      <c r="B9248">
        <v>4756105</v>
      </c>
      <c r="C9248" s="32">
        <v>43071.625231481485</v>
      </c>
    </row>
    <row r="9249" spans="1:3">
      <c r="A9249">
        <v>447296</v>
      </c>
      <c r="B9249">
        <v>2452793</v>
      </c>
      <c r="C9249" s="32">
        <v>43072.087025462963</v>
      </c>
    </row>
    <row r="9250" spans="1:3">
      <c r="A9250">
        <v>303120</v>
      </c>
      <c r="B9250">
        <v>1320293</v>
      </c>
      <c r="C9250" s="32">
        <v>43072.298263888886</v>
      </c>
    </row>
    <row r="9251" spans="1:3">
      <c r="A9251">
        <v>401919</v>
      </c>
      <c r="B9251">
        <v>2667323</v>
      </c>
      <c r="C9251" s="32">
        <v>43072.084710648145</v>
      </c>
    </row>
    <row r="9252" spans="1:3">
      <c r="A9252">
        <v>571013</v>
      </c>
      <c r="B9252">
        <v>3738615</v>
      </c>
      <c r="C9252" s="32">
        <v>43071.995983796296</v>
      </c>
    </row>
    <row r="9253" spans="1:3">
      <c r="A9253">
        <v>493984</v>
      </c>
      <c r="B9253">
        <v>2355072</v>
      </c>
      <c r="C9253" s="32">
        <v>43071.58085648148</v>
      </c>
    </row>
    <row r="9254" spans="1:3">
      <c r="A9254">
        <v>925533</v>
      </c>
      <c r="B9254">
        <v>3776866</v>
      </c>
      <c r="C9254" s="32">
        <v>43072.634201388886</v>
      </c>
    </row>
    <row r="9255" spans="1:3">
      <c r="A9255">
        <v>182626</v>
      </c>
      <c r="B9255">
        <v>3645362</v>
      </c>
      <c r="C9255" s="32">
        <v>43071.210173611114</v>
      </c>
    </row>
    <row r="9256" spans="1:3">
      <c r="A9256">
        <v>811877</v>
      </c>
      <c r="B9256">
        <v>4801426</v>
      </c>
      <c r="C9256" s="32">
        <v>43072.579456018517</v>
      </c>
    </row>
    <row r="9257" spans="1:3">
      <c r="A9257">
        <v>254332</v>
      </c>
      <c r="B9257">
        <v>4145813</v>
      </c>
      <c r="C9257" s="32">
        <v>43072.571574074071</v>
      </c>
    </row>
    <row r="9258" spans="1:3">
      <c r="A9258">
        <v>277861</v>
      </c>
      <c r="B9258">
        <v>2290623</v>
      </c>
      <c r="C9258" s="32">
        <v>43072.602268518516</v>
      </c>
    </row>
    <row r="9259" spans="1:3">
      <c r="A9259">
        <v>352851</v>
      </c>
      <c r="B9259">
        <v>4756105</v>
      </c>
      <c r="C9259" s="32">
        <v>43072.592893518522</v>
      </c>
    </row>
    <row r="9260" spans="1:3">
      <c r="A9260">
        <v>493986</v>
      </c>
      <c r="B9260">
        <v>1216617</v>
      </c>
      <c r="C9260" s="32">
        <v>43072.2421875</v>
      </c>
    </row>
    <row r="9261" spans="1:3">
      <c r="A9261">
        <v>752017</v>
      </c>
      <c r="B9261">
        <v>2578647</v>
      </c>
      <c r="C9261" s="32">
        <v>43072.554560185185</v>
      </c>
    </row>
    <row r="9262" spans="1:3">
      <c r="A9262">
        <v>995114</v>
      </c>
      <c r="B9262">
        <v>1231891</v>
      </c>
      <c r="C9262" s="32">
        <v>43072.025590277779</v>
      </c>
    </row>
    <row r="9263" spans="1:3">
      <c r="A9263">
        <v>237663</v>
      </c>
      <c r="B9263">
        <v>2520771</v>
      </c>
      <c r="C9263" s="32">
        <v>43070.616319444445</v>
      </c>
    </row>
    <row r="9264" spans="1:3">
      <c r="A9264">
        <v>832736</v>
      </c>
      <c r="B9264">
        <v>1080785</v>
      </c>
      <c r="C9264" s="32">
        <v>43072.036724537036</v>
      </c>
    </row>
    <row r="9265" spans="1:3">
      <c r="A9265">
        <v>950615</v>
      </c>
      <c r="B9265">
        <v>1464116</v>
      </c>
      <c r="C9265" s="32">
        <v>43070.569363425922</v>
      </c>
    </row>
    <row r="9266" spans="1:3">
      <c r="A9266">
        <v>673262</v>
      </c>
      <c r="B9266">
        <v>2440115</v>
      </c>
      <c r="C9266" s="32">
        <v>43071.206759259258</v>
      </c>
    </row>
    <row r="9267" spans="1:3">
      <c r="A9267">
        <v>279274</v>
      </c>
      <c r="B9267">
        <v>2465336</v>
      </c>
      <c r="C9267" s="32">
        <v>43070.093148148146</v>
      </c>
    </row>
    <row r="9268" spans="1:3">
      <c r="A9268">
        <v>537172</v>
      </c>
      <c r="B9268">
        <v>4801426</v>
      </c>
      <c r="C9268" s="32">
        <v>43070.465694444443</v>
      </c>
    </row>
    <row r="9269" spans="1:3">
      <c r="A9269">
        <v>900496</v>
      </c>
      <c r="B9269">
        <v>1464116</v>
      </c>
      <c r="C9269" s="32">
        <v>43072.087743055556</v>
      </c>
    </row>
    <row r="9270" spans="1:3">
      <c r="A9270">
        <v>817725</v>
      </c>
      <c r="B9270">
        <v>801221</v>
      </c>
      <c r="C9270" s="32">
        <v>43071.250358796293</v>
      </c>
    </row>
    <row r="9271" spans="1:3">
      <c r="A9271">
        <v>65029</v>
      </c>
      <c r="B9271">
        <v>4145813</v>
      </c>
      <c r="C9271" s="32">
        <v>43070.999803240738</v>
      </c>
    </row>
    <row r="9272" spans="1:3">
      <c r="A9272">
        <v>609342</v>
      </c>
      <c r="B9272">
        <v>2578647</v>
      </c>
      <c r="C9272" s="32">
        <v>43071.036168981482</v>
      </c>
    </row>
    <row r="9273" spans="1:3">
      <c r="A9273">
        <v>843274</v>
      </c>
      <c r="B9273">
        <v>4022701</v>
      </c>
      <c r="C9273" s="32">
        <v>43071.338310185187</v>
      </c>
    </row>
    <row r="9274" spans="1:3">
      <c r="A9274">
        <v>15752</v>
      </c>
      <c r="B9274">
        <v>1884322</v>
      </c>
      <c r="C9274" s="32">
        <v>43071.524699074071</v>
      </c>
    </row>
    <row r="9275" spans="1:3">
      <c r="A9275">
        <v>214924</v>
      </c>
      <c r="B9275">
        <v>3608477</v>
      </c>
      <c r="C9275" s="32">
        <v>43070.730127314811</v>
      </c>
    </row>
    <row r="9276" spans="1:3">
      <c r="A9276">
        <v>944281</v>
      </c>
      <c r="B9276">
        <v>3848953</v>
      </c>
      <c r="C9276" s="32">
        <v>43071.510775462964</v>
      </c>
    </row>
    <row r="9277" spans="1:3">
      <c r="A9277">
        <v>1852</v>
      </c>
      <c r="B9277">
        <v>154040</v>
      </c>
      <c r="C9277" s="32">
        <v>43071.002800925926</v>
      </c>
    </row>
    <row r="9278" spans="1:3">
      <c r="A9278">
        <v>519770</v>
      </c>
      <c r="B9278">
        <v>982926</v>
      </c>
      <c r="C9278" s="32">
        <v>43071.123912037037</v>
      </c>
    </row>
    <row r="9279" spans="1:3">
      <c r="A9279">
        <v>51929</v>
      </c>
      <c r="B9279">
        <v>1929875</v>
      </c>
      <c r="C9279" s="32">
        <v>43072.587048611109</v>
      </c>
    </row>
    <row r="9280" spans="1:3">
      <c r="A9280">
        <v>648770</v>
      </c>
      <c r="B9280">
        <v>866301</v>
      </c>
      <c r="C9280" s="32">
        <v>43070.608599537038</v>
      </c>
    </row>
    <row r="9281" spans="1:3">
      <c r="A9281">
        <v>560902</v>
      </c>
      <c r="B9281">
        <v>2834771</v>
      </c>
      <c r="C9281" s="32">
        <v>43072.178807870368</v>
      </c>
    </row>
    <row r="9282" spans="1:3">
      <c r="A9282">
        <v>418720</v>
      </c>
      <c r="B9282">
        <v>5063620</v>
      </c>
      <c r="C9282" s="32">
        <v>43071.313298611109</v>
      </c>
    </row>
    <row r="9283" spans="1:3">
      <c r="A9283">
        <v>35119</v>
      </c>
      <c r="B9283">
        <v>3975787</v>
      </c>
      <c r="C9283" s="32">
        <v>43072.080960648149</v>
      </c>
    </row>
    <row r="9284" spans="1:3">
      <c r="A9284">
        <v>666626</v>
      </c>
      <c r="B9284">
        <v>4170419</v>
      </c>
      <c r="C9284" s="32">
        <v>43071.53020833333</v>
      </c>
    </row>
    <row r="9285" spans="1:3">
      <c r="A9285">
        <v>58555</v>
      </c>
      <c r="B9285">
        <v>3398567</v>
      </c>
      <c r="C9285" s="32">
        <v>43072.199490740742</v>
      </c>
    </row>
    <row r="9286" spans="1:3">
      <c r="A9286">
        <v>472301</v>
      </c>
      <c r="B9286">
        <v>405755</v>
      </c>
      <c r="C9286" s="32">
        <v>43070.425729166665</v>
      </c>
    </row>
    <row r="9287" spans="1:3">
      <c r="A9287">
        <v>736003</v>
      </c>
      <c r="B9287">
        <v>1349561</v>
      </c>
      <c r="C9287" s="32">
        <v>43071.56454861111</v>
      </c>
    </row>
    <row r="9288" spans="1:3">
      <c r="A9288">
        <v>56822</v>
      </c>
      <c r="B9288">
        <v>3002561</v>
      </c>
      <c r="C9288" s="32">
        <v>43071.821412037039</v>
      </c>
    </row>
    <row r="9289" spans="1:3">
      <c r="A9289">
        <v>355504</v>
      </c>
      <c r="B9289">
        <v>2891408</v>
      </c>
      <c r="C9289" s="32">
        <v>43071.606388888889</v>
      </c>
    </row>
    <row r="9290" spans="1:3">
      <c r="A9290">
        <v>744526</v>
      </c>
      <c r="B9290">
        <v>2735466</v>
      </c>
      <c r="C9290" s="32">
        <v>43072.180023148147</v>
      </c>
    </row>
    <row r="9291" spans="1:3">
      <c r="A9291">
        <v>930021</v>
      </c>
      <c r="B9291">
        <v>1320293</v>
      </c>
      <c r="C9291" s="32">
        <v>43070.77952546296</v>
      </c>
    </row>
    <row r="9292" spans="1:3">
      <c r="A9292">
        <v>66325</v>
      </c>
      <c r="B9292">
        <v>4583884</v>
      </c>
      <c r="C9292" s="32">
        <v>43072.556840277779</v>
      </c>
    </row>
    <row r="9293" spans="1:3">
      <c r="A9293">
        <v>468177</v>
      </c>
      <c r="B9293">
        <v>4181361</v>
      </c>
      <c r="C9293" s="32">
        <v>43071.559074074074</v>
      </c>
    </row>
    <row r="9294" spans="1:3">
      <c r="A9294">
        <v>71445</v>
      </c>
      <c r="B9294">
        <v>5013760</v>
      </c>
      <c r="C9294" s="32">
        <v>43070.053287037037</v>
      </c>
    </row>
    <row r="9295" spans="1:3">
      <c r="A9295">
        <v>957062</v>
      </c>
      <c r="B9295">
        <v>2672762</v>
      </c>
      <c r="C9295" s="32">
        <v>43071.065092592595</v>
      </c>
    </row>
    <row r="9296" spans="1:3">
      <c r="A9296">
        <v>585880</v>
      </c>
      <c r="B9296">
        <v>3924783</v>
      </c>
      <c r="C9296" s="32">
        <v>43071.561967592592</v>
      </c>
    </row>
    <row r="9297" spans="1:3">
      <c r="A9297">
        <v>45760</v>
      </c>
      <c r="B9297">
        <v>4801426</v>
      </c>
      <c r="C9297" s="32">
        <v>43072.197870370372</v>
      </c>
    </row>
    <row r="9298" spans="1:3">
      <c r="A9298">
        <v>362824</v>
      </c>
      <c r="B9298">
        <v>2982027</v>
      </c>
      <c r="C9298" s="32">
        <v>43070.167615740742</v>
      </c>
    </row>
    <row r="9299" spans="1:3">
      <c r="A9299">
        <v>63508</v>
      </c>
      <c r="B9299">
        <v>4676764</v>
      </c>
      <c r="C9299" s="32">
        <v>43072.62809027778</v>
      </c>
    </row>
    <row r="9300" spans="1:3">
      <c r="A9300">
        <v>337879</v>
      </c>
      <c r="B9300">
        <v>2629787</v>
      </c>
      <c r="C9300" s="32">
        <v>43072.659189814818</v>
      </c>
    </row>
    <row r="9301" spans="1:3">
      <c r="A9301">
        <v>495290</v>
      </c>
      <c r="B9301">
        <v>861104</v>
      </c>
      <c r="C9301" s="32">
        <v>43071.342719907407</v>
      </c>
    </row>
    <row r="9302" spans="1:3">
      <c r="A9302">
        <v>549338</v>
      </c>
      <c r="B9302">
        <v>58498</v>
      </c>
      <c r="C9302" s="32">
        <v>43071.174837962964</v>
      </c>
    </row>
    <row r="9303" spans="1:3">
      <c r="A9303">
        <v>628260</v>
      </c>
      <c r="B9303">
        <v>4357323</v>
      </c>
      <c r="C9303" s="32">
        <v>43072.328252314815</v>
      </c>
    </row>
    <row r="9304" spans="1:3">
      <c r="A9304">
        <v>762222</v>
      </c>
      <c r="B9304">
        <v>3909718</v>
      </c>
      <c r="C9304" s="32">
        <v>43070.235833333332</v>
      </c>
    </row>
    <row r="9305" spans="1:3">
      <c r="A9305">
        <v>284358</v>
      </c>
      <c r="B9305">
        <v>1046047</v>
      </c>
      <c r="C9305" s="32">
        <v>43070.160196759258</v>
      </c>
    </row>
    <row r="9306" spans="1:3">
      <c r="A9306">
        <v>506656</v>
      </c>
      <c r="B9306">
        <v>2862133</v>
      </c>
      <c r="C9306" s="32">
        <v>43071.324942129628</v>
      </c>
    </row>
    <row r="9307" spans="1:3">
      <c r="A9307">
        <v>767781</v>
      </c>
      <c r="B9307">
        <v>3208959</v>
      </c>
      <c r="C9307" s="32">
        <v>43072.100057870368</v>
      </c>
    </row>
    <row r="9308" spans="1:3">
      <c r="A9308">
        <v>511626</v>
      </c>
      <c r="B9308">
        <v>3102419</v>
      </c>
      <c r="C9308" s="32">
        <v>43071.089467592596</v>
      </c>
    </row>
    <row r="9309" spans="1:3">
      <c r="A9309">
        <v>596843</v>
      </c>
      <c r="B9309">
        <v>4756105</v>
      </c>
      <c r="C9309" s="32">
        <v>43071.303101851852</v>
      </c>
    </row>
    <row r="9310" spans="1:3">
      <c r="A9310">
        <v>152393</v>
      </c>
      <c r="B9310">
        <v>4869428</v>
      </c>
      <c r="C9310" s="32">
        <v>43072.218784722223</v>
      </c>
    </row>
    <row r="9311" spans="1:3">
      <c r="A9311">
        <v>347108</v>
      </c>
      <c r="B9311">
        <v>4169506</v>
      </c>
      <c r="C9311" s="32">
        <v>43070.641412037039</v>
      </c>
    </row>
    <row r="9312" spans="1:3">
      <c r="A9312">
        <v>671167</v>
      </c>
      <c r="B9312">
        <v>4558987</v>
      </c>
      <c r="C9312" s="32">
        <v>43072.541458333333</v>
      </c>
    </row>
    <row r="9313" spans="1:3">
      <c r="A9313">
        <v>751892</v>
      </c>
      <c r="B9313">
        <v>3381583</v>
      </c>
      <c r="C9313" s="32">
        <v>43072.610844907409</v>
      </c>
    </row>
    <row r="9314" spans="1:3">
      <c r="A9314">
        <v>186418</v>
      </c>
      <c r="B9314">
        <v>4756105</v>
      </c>
      <c r="C9314" s="32">
        <v>43072.58792824074</v>
      </c>
    </row>
    <row r="9315" spans="1:3">
      <c r="A9315">
        <v>737204</v>
      </c>
      <c r="B9315">
        <v>2465336</v>
      </c>
      <c r="C9315" s="32">
        <v>43071.135451388887</v>
      </c>
    </row>
    <row r="9316" spans="1:3">
      <c r="A9316">
        <v>802766</v>
      </c>
      <c r="B9316">
        <v>4690421</v>
      </c>
      <c r="C9316" s="32">
        <v>43071.270844907405</v>
      </c>
    </row>
    <row r="9317" spans="1:3">
      <c r="A9317">
        <v>478834</v>
      </c>
      <c r="B9317">
        <v>2355072</v>
      </c>
      <c r="C9317" s="32">
        <v>43071.557743055557</v>
      </c>
    </row>
    <row r="9318" spans="1:3">
      <c r="A9318">
        <v>21089</v>
      </c>
      <c r="B9318">
        <v>4015257</v>
      </c>
      <c r="C9318" s="32">
        <v>43072.614745370367</v>
      </c>
    </row>
    <row r="9319" spans="1:3">
      <c r="A9319">
        <v>611160</v>
      </c>
      <c r="B9319">
        <v>2465336</v>
      </c>
      <c r="C9319" s="32">
        <v>43070.593576388892</v>
      </c>
    </row>
    <row r="9320" spans="1:3">
      <c r="A9320">
        <v>614729</v>
      </c>
      <c r="B9320">
        <v>3407883</v>
      </c>
      <c r="C9320" s="32">
        <v>43071.712164351855</v>
      </c>
    </row>
    <row r="9321" spans="1:3">
      <c r="A9321">
        <v>242673</v>
      </c>
      <c r="B9321">
        <v>2096639</v>
      </c>
      <c r="C9321" s="32">
        <v>43069.71125</v>
      </c>
    </row>
    <row r="9322" spans="1:3">
      <c r="A9322">
        <v>411210</v>
      </c>
      <c r="B9322">
        <v>381850</v>
      </c>
      <c r="C9322" s="32">
        <v>43070.667037037034</v>
      </c>
    </row>
    <row r="9323" spans="1:3">
      <c r="A9323">
        <v>698506</v>
      </c>
      <c r="B9323">
        <v>2595793</v>
      </c>
      <c r="C9323" s="32">
        <v>43071.385740740741</v>
      </c>
    </row>
    <row r="9324" spans="1:3">
      <c r="A9324">
        <v>1012315</v>
      </c>
      <c r="B9324">
        <v>4756105</v>
      </c>
      <c r="C9324" s="32">
        <v>43070.604143518518</v>
      </c>
    </row>
    <row r="9325" spans="1:3">
      <c r="A9325">
        <v>262064</v>
      </c>
      <c r="B9325">
        <v>3336019</v>
      </c>
      <c r="C9325" s="32">
        <v>43071.43482638889</v>
      </c>
    </row>
    <row r="9326" spans="1:3">
      <c r="A9326">
        <v>189078</v>
      </c>
      <c r="B9326">
        <v>1009182</v>
      </c>
      <c r="C9326" s="32">
        <v>43072.266770833332</v>
      </c>
    </row>
    <row r="9327" spans="1:3">
      <c r="A9327">
        <v>252488</v>
      </c>
      <c r="B9327">
        <v>2578647</v>
      </c>
      <c r="C9327" s="32">
        <v>43072.559490740743</v>
      </c>
    </row>
    <row r="9328" spans="1:3">
      <c r="A9328">
        <v>874443</v>
      </c>
      <c r="B9328">
        <v>4398560</v>
      </c>
      <c r="C9328" s="32">
        <v>43071.253136574072</v>
      </c>
    </row>
    <row r="9329" spans="1:3">
      <c r="A9329">
        <v>904890</v>
      </c>
      <c r="B9329">
        <v>4145813</v>
      </c>
      <c r="C9329" s="32">
        <v>43070.569062499999</v>
      </c>
    </row>
    <row r="9330" spans="1:3">
      <c r="A9330">
        <v>669669</v>
      </c>
      <c r="B9330">
        <v>4181361</v>
      </c>
      <c r="C9330" s="32">
        <v>43071.192766203705</v>
      </c>
    </row>
    <row r="9331" spans="1:3">
      <c r="A9331">
        <v>293279</v>
      </c>
      <c r="B9331">
        <v>4801426</v>
      </c>
      <c r="C9331" s="32">
        <v>43071.649884259263</v>
      </c>
    </row>
    <row r="9332" spans="1:3">
      <c r="A9332">
        <v>674931</v>
      </c>
      <c r="B9332">
        <v>883960</v>
      </c>
      <c r="C9332" s="32">
        <v>43071.511736111112</v>
      </c>
    </row>
    <row r="9333" spans="1:3">
      <c r="A9333">
        <v>647204</v>
      </c>
      <c r="B9333">
        <v>4339722</v>
      </c>
      <c r="C9333" s="32">
        <v>43071.16747685185</v>
      </c>
    </row>
    <row r="9334" spans="1:3">
      <c r="A9334">
        <v>254807</v>
      </c>
      <c r="B9334">
        <v>4145813</v>
      </c>
      <c r="C9334" s="32">
        <v>43070.058611111112</v>
      </c>
    </row>
    <row r="9335" spans="1:3">
      <c r="A9335">
        <v>83724</v>
      </c>
      <c r="B9335">
        <v>4082778</v>
      </c>
      <c r="C9335" s="32">
        <v>43071.950173611112</v>
      </c>
    </row>
    <row r="9336" spans="1:3">
      <c r="A9336">
        <v>224168</v>
      </c>
      <c r="B9336">
        <v>1467750</v>
      </c>
      <c r="C9336" s="32">
        <v>43071.091516203705</v>
      </c>
    </row>
    <row r="9337" spans="1:3">
      <c r="A9337">
        <v>500489</v>
      </c>
      <c r="B9337">
        <v>235534</v>
      </c>
      <c r="C9337" s="32">
        <v>43070.615231481483</v>
      </c>
    </row>
    <row r="9338" spans="1:3">
      <c r="A9338">
        <v>160697</v>
      </c>
      <c r="B9338">
        <v>4801426</v>
      </c>
      <c r="C9338" s="32">
        <v>43069.963761574072</v>
      </c>
    </row>
    <row r="9339" spans="1:3">
      <c r="A9339">
        <v>95525</v>
      </c>
      <c r="B9339">
        <v>2925160</v>
      </c>
      <c r="C9339" s="32">
        <v>43070.282013888886</v>
      </c>
    </row>
    <row r="9340" spans="1:3">
      <c r="A9340">
        <v>130949</v>
      </c>
      <c r="B9340">
        <v>3002561</v>
      </c>
      <c r="C9340" s="32">
        <v>43072.173449074071</v>
      </c>
    </row>
    <row r="9341" spans="1:3">
      <c r="A9341">
        <v>752323</v>
      </c>
      <c r="B9341">
        <v>2735466</v>
      </c>
      <c r="C9341" s="32">
        <v>43071.667175925926</v>
      </c>
    </row>
    <row r="9342" spans="1:3">
      <c r="A9342">
        <v>121089</v>
      </c>
      <c r="B9342">
        <v>4813803</v>
      </c>
      <c r="C9342" s="32">
        <v>43071.711782407408</v>
      </c>
    </row>
    <row r="9343" spans="1:3">
      <c r="A9343">
        <v>59809</v>
      </c>
      <c r="B9343">
        <v>2735466</v>
      </c>
      <c r="C9343" s="32">
        <v>43070.513425925928</v>
      </c>
    </row>
    <row r="9344" spans="1:3">
      <c r="A9344">
        <v>168251</v>
      </c>
      <c r="B9344">
        <v>2293367</v>
      </c>
      <c r="C9344" s="32">
        <v>43070.654907407406</v>
      </c>
    </row>
    <row r="9345" spans="1:3">
      <c r="A9345">
        <v>354992</v>
      </c>
      <c r="B9345">
        <v>2465336</v>
      </c>
      <c r="C9345" s="32">
        <v>43072.620937500003</v>
      </c>
    </row>
    <row r="9346" spans="1:3">
      <c r="A9346">
        <v>499093</v>
      </c>
      <c r="B9346">
        <v>450756</v>
      </c>
      <c r="C9346" s="32">
        <v>43070.609189814815</v>
      </c>
    </row>
    <row r="9347" spans="1:3">
      <c r="A9347">
        <v>601672</v>
      </c>
      <c r="B9347">
        <v>4145813</v>
      </c>
      <c r="C9347" s="32">
        <v>43070.704571759263</v>
      </c>
    </row>
    <row r="9348" spans="1:3">
      <c r="A9348">
        <v>332743</v>
      </c>
      <c r="B9348">
        <v>4643350</v>
      </c>
      <c r="C9348" s="32">
        <v>43072.553148148145</v>
      </c>
    </row>
    <row r="9349" spans="1:3">
      <c r="A9349">
        <v>128454</v>
      </c>
      <c r="B9349">
        <v>982926</v>
      </c>
      <c r="C9349" s="32">
        <v>43069.789895833332</v>
      </c>
    </row>
    <row r="9350" spans="1:3">
      <c r="A9350">
        <v>502111</v>
      </c>
      <c r="B9350">
        <v>1464116</v>
      </c>
      <c r="C9350" s="32">
        <v>43071.567824074074</v>
      </c>
    </row>
    <row r="9351" spans="1:3">
      <c r="A9351">
        <v>238960</v>
      </c>
      <c r="B9351">
        <v>84264</v>
      </c>
      <c r="C9351" s="32">
        <v>43070.509004629632</v>
      </c>
    </row>
    <row r="9352" spans="1:3">
      <c r="A9352">
        <v>239441</v>
      </c>
      <c r="B9352">
        <v>2321441</v>
      </c>
      <c r="C9352" s="32">
        <v>43072.099131944444</v>
      </c>
    </row>
    <row r="9353" spans="1:3">
      <c r="A9353">
        <v>628696</v>
      </c>
      <c r="B9353">
        <v>4244487</v>
      </c>
      <c r="C9353" s="32">
        <v>43070.52983796296</v>
      </c>
    </row>
    <row r="9354" spans="1:3">
      <c r="A9354">
        <v>51239</v>
      </c>
      <c r="B9354">
        <v>2520377</v>
      </c>
      <c r="C9354" s="32">
        <v>43072.666550925926</v>
      </c>
    </row>
    <row r="9355" spans="1:3">
      <c r="A9355">
        <v>474915</v>
      </c>
      <c r="B9355">
        <v>285583</v>
      </c>
      <c r="C9355" s="32">
        <v>43072.616689814815</v>
      </c>
    </row>
    <row r="9356" spans="1:3">
      <c r="A9356">
        <v>359861</v>
      </c>
      <c r="B9356">
        <v>2316980</v>
      </c>
      <c r="C9356" s="32">
        <v>43072.636018518519</v>
      </c>
    </row>
    <row r="9357" spans="1:3">
      <c r="A9357">
        <v>576488</v>
      </c>
      <c r="B9357">
        <v>4801426</v>
      </c>
      <c r="C9357" s="32">
        <v>43072.180856481478</v>
      </c>
    </row>
    <row r="9358" spans="1:3">
      <c r="A9358">
        <v>468009</v>
      </c>
      <c r="B9358">
        <v>4756105</v>
      </c>
      <c r="C9358" s="32">
        <v>43070.509317129632</v>
      </c>
    </row>
    <row r="9359" spans="1:3">
      <c r="A9359">
        <v>622214</v>
      </c>
      <c r="B9359">
        <v>2735466</v>
      </c>
      <c r="C9359" s="32">
        <v>43072.60565972222</v>
      </c>
    </row>
    <row r="9360" spans="1:3">
      <c r="A9360">
        <v>829975</v>
      </c>
      <c r="B9360">
        <v>3645362</v>
      </c>
      <c r="C9360" s="32">
        <v>43070.719201388885</v>
      </c>
    </row>
    <row r="9361" spans="1:3">
      <c r="A9361">
        <v>194227</v>
      </c>
      <c r="B9361">
        <v>305253</v>
      </c>
      <c r="C9361" s="32">
        <v>43071.623101851852</v>
      </c>
    </row>
    <row r="9362" spans="1:3">
      <c r="A9362">
        <v>222755</v>
      </c>
      <c r="B9362">
        <v>4358294</v>
      </c>
      <c r="C9362" s="32">
        <v>43072.28398148148</v>
      </c>
    </row>
    <row r="9363" spans="1:3">
      <c r="A9363">
        <v>578226</v>
      </c>
      <c r="B9363">
        <v>4145813</v>
      </c>
      <c r="C9363" s="32">
        <v>43071.689733796295</v>
      </c>
    </row>
    <row r="9364" spans="1:3">
      <c r="A9364">
        <v>735315</v>
      </c>
      <c r="B9364">
        <v>3607361</v>
      </c>
      <c r="C9364" s="32">
        <v>43070.653865740744</v>
      </c>
    </row>
    <row r="9365" spans="1:3">
      <c r="A9365">
        <v>581574</v>
      </c>
      <c r="B9365">
        <v>1320293</v>
      </c>
      <c r="C9365" s="32">
        <v>43072.458796296298</v>
      </c>
    </row>
    <row r="9366" spans="1:3">
      <c r="A9366">
        <v>730332</v>
      </c>
      <c r="B9366">
        <v>3844144</v>
      </c>
      <c r="C9366" s="32">
        <v>43072.598113425927</v>
      </c>
    </row>
    <row r="9367" spans="1:3">
      <c r="A9367">
        <v>354757</v>
      </c>
      <c r="B9367">
        <v>3848953</v>
      </c>
      <c r="C9367" s="32">
        <v>43071.589189814818</v>
      </c>
    </row>
    <row r="9368" spans="1:3">
      <c r="A9368">
        <v>861959</v>
      </c>
      <c r="B9368">
        <v>1080785</v>
      </c>
      <c r="C9368" s="32">
        <v>43070.368275462963</v>
      </c>
    </row>
    <row r="9369" spans="1:3">
      <c r="A9369">
        <v>483409</v>
      </c>
      <c r="B9369">
        <v>338646</v>
      </c>
      <c r="C9369" s="32">
        <v>43072.459270833337</v>
      </c>
    </row>
    <row r="9370" spans="1:3">
      <c r="A9370">
        <v>471037</v>
      </c>
      <c r="B9370">
        <v>3299155</v>
      </c>
      <c r="C9370" s="32">
        <v>43071.534317129626</v>
      </c>
    </row>
    <row r="9371" spans="1:3">
      <c r="A9371">
        <v>117209</v>
      </c>
      <c r="B9371">
        <v>4217906</v>
      </c>
      <c r="C9371" s="32">
        <v>43070.780219907407</v>
      </c>
    </row>
    <row r="9372" spans="1:3">
      <c r="A9372">
        <v>786696</v>
      </c>
      <c r="B9372">
        <v>4801426</v>
      </c>
      <c r="C9372" s="32">
        <v>43071.82849537037</v>
      </c>
    </row>
    <row r="9373" spans="1:3">
      <c r="A9373">
        <v>106787</v>
      </c>
      <c r="B9373">
        <v>1320293</v>
      </c>
      <c r="C9373" s="32">
        <v>43072.52071759259</v>
      </c>
    </row>
    <row r="9374" spans="1:3">
      <c r="A9374">
        <v>631109</v>
      </c>
      <c r="B9374">
        <v>1020087</v>
      </c>
      <c r="C9374" s="32">
        <v>43070.640127314815</v>
      </c>
    </row>
    <row r="9375" spans="1:3">
      <c r="A9375">
        <v>725452</v>
      </c>
      <c r="B9375">
        <v>4882154</v>
      </c>
      <c r="C9375" s="32">
        <v>43071.225115740737</v>
      </c>
    </row>
    <row r="9376" spans="1:3">
      <c r="A9376">
        <v>857084</v>
      </c>
      <c r="B9376">
        <v>4321796</v>
      </c>
      <c r="C9376" s="32">
        <v>43070.363611111112</v>
      </c>
    </row>
    <row r="9377" spans="1:3">
      <c r="A9377">
        <v>402112</v>
      </c>
      <c r="B9377">
        <v>285583</v>
      </c>
      <c r="C9377" s="32">
        <v>43072.406064814815</v>
      </c>
    </row>
    <row r="9378" spans="1:3">
      <c r="A9378">
        <v>864232</v>
      </c>
      <c r="B9378">
        <v>4789674</v>
      </c>
      <c r="C9378" s="32">
        <v>43070.654074074075</v>
      </c>
    </row>
    <row r="9379" spans="1:3">
      <c r="A9379">
        <v>828163</v>
      </c>
      <c r="B9379">
        <v>238434</v>
      </c>
      <c r="C9379" s="32">
        <v>43070.520474537036</v>
      </c>
    </row>
    <row r="9380" spans="1:3">
      <c r="A9380">
        <v>69192</v>
      </c>
      <c r="B9380">
        <v>1464116</v>
      </c>
      <c r="C9380" s="32">
        <v>43070.615034722221</v>
      </c>
    </row>
    <row r="9381" spans="1:3">
      <c r="A9381">
        <v>465613</v>
      </c>
      <c r="B9381">
        <v>4789432</v>
      </c>
      <c r="C9381" s="32">
        <v>43070.639479166668</v>
      </c>
    </row>
    <row r="9382" spans="1:3">
      <c r="A9382">
        <v>674249</v>
      </c>
      <c r="B9382">
        <v>3800818</v>
      </c>
      <c r="C9382" s="32">
        <v>43070.446423611109</v>
      </c>
    </row>
    <row r="9383" spans="1:3">
      <c r="A9383">
        <v>693066</v>
      </c>
      <c r="B9383">
        <v>2465336</v>
      </c>
      <c r="C9383" s="32">
        <v>43072.348611111112</v>
      </c>
    </row>
    <row r="9384" spans="1:3">
      <c r="A9384">
        <v>965293</v>
      </c>
      <c r="B9384">
        <v>3118167</v>
      </c>
      <c r="C9384" s="32">
        <v>43070.622523148151</v>
      </c>
    </row>
    <row r="9385" spans="1:3">
      <c r="A9385">
        <v>491363</v>
      </c>
      <c r="B9385">
        <v>846990</v>
      </c>
      <c r="C9385" s="32">
        <v>43071.352349537039</v>
      </c>
    </row>
    <row r="9386" spans="1:3">
      <c r="A9386">
        <v>445741</v>
      </c>
      <c r="B9386">
        <v>2321441</v>
      </c>
      <c r="C9386" s="32">
        <v>43071.583692129629</v>
      </c>
    </row>
    <row r="9387" spans="1:3">
      <c r="A9387">
        <v>962496</v>
      </c>
      <c r="B9387">
        <v>4756105</v>
      </c>
      <c r="C9387" s="32">
        <v>43072.188692129632</v>
      </c>
    </row>
    <row r="9388" spans="1:3">
      <c r="A9388">
        <v>377727</v>
      </c>
      <c r="B9388">
        <v>2640118</v>
      </c>
      <c r="C9388" s="32">
        <v>43071.638877314814</v>
      </c>
    </row>
    <row r="9389" spans="1:3">
      <c r="A9389">
        <v>463824</v>
      </c>
      <c r="B9389">
        <v>2926020</v>
      </c>
      <c r="C9389" s="32">
        <v>43070.431238425925</v>
      </c>
    </row>
    <row r="9390" spans="1:3">
      <c r="A9390">
        <v>329881</v>
      </c>
      <c r="B9390">
        <v>1474371</v>
      </c>
      <c r="C9390" s="32">
        <v>43070.666400462964</v>
      </c>
    </row>
    <row r="9391" spans="1:3">
      <c r="A9391">
        <v>546833</v>
      </c>
      <c r="B9391">
        <v>2465336</v>
      </c>
      <c r="C9391" s="32">
        <v>43072.502442129633</v>
      </c>
    </row>
    <row r="9392" spans="1:3">
      <c r="A9392">
        <v>432797</v>
      </c>
      <c r="B9392">
        <v>3160684</v>
      </c>
      <c r="C9392" s="32">
        <v>43070.230300925927</v>
      </c>
    </row>
    <row r="9393" spans="1:3">
      <c r="A9393">
        <v>266798</v>
      </c>
      <c r="B9393">
        <v>3607361</v>
      </c>
      <c r="C9393" s="32">
        <v>43070.001851851855</v>
      </c>
    </row>
    <row r="9394" spans="1:3">
      <c r="A9394">
        <v>928693</v>
      </c>
      <c r="B9394">
        <v>4643350</v>
      </c>
      <c r="C9394" s="32">
        <v>43071.422893518517</v>
      </c>
    </row>
    <row r="9395" spans="1:3">
      <c r="A9395">
        <v>834663</v>
      </c>
      <c r="B9395">
        <v>2920476</v>
      </c>
      <c r="C9395" s="32">
        <v>43070.118275462963</v>
      </c>
    </row>
    <row r="9396" spans="1:3">
      <c r="A9396">
        <v>94494</v>
      </c>
      <c r="B9396">
        <v>4181361</v>
      </c>
      <c r="C9396" s="32">
        <v>43072.391157407408</v>
      </c>
    </row>
    <row r="9397" spans="1:3">
      <c r="A9397">
        <v>343197</v>
      </c>
      <c r="B9397">
        <v>2038530</v>
      </c>
      <c r="C9397" s="32">
        <v>43071.576574074075</v>
      </c>
    </row>
    <row r="9398" spans="1:3">
      <c r="A9398">
        <v>171944</v>
      </c>
      <c r="B9398">
        <v>3002561</v>
      </c>
      <c r="C9398" s="32">
        <v>43072.660613425927</v>
      </c>
    </row>
    <row r="9399" spans="1:3">
      <c r="A9399">
        <v>1001030</v>
      </c>
      <c r="B9399">
        <v>1464116</v>
      </c>
      <c r="C9399" s="32">
        <v>43072.602314814816</v>
      </c>
    </row>
    <row r="9400" spans="1:3">
      <c r="A9400">
        <v>695668</v>
      </c>
      <c r="B9400">
        <v>2945933</v>
      </c>
      <c r="C9400" s="32">
        <v>43070.222199074073</v>
      </c>
    </row>
    <row r="9401" spans="1:3">
      <c r="A9401">
        <v>776699</v>
      </c>
      <c r="B9401">
        <v>4022701</v>
      </c>
      <c r="C9401" s="32">
        <v>43070.225682870368</v>
      </c>
    </row>
    <row r="9402" spans="1:3">
      <c r="A9402">
        <v>185967</v>
      </c>
      <c r="B9402">
        <v>238434</v>
      </c>
      <c r="C9402" s="32">
        <v>43070.039664351854</v>
      </c>
    </row>
    <row r="9403" spans="1:3">
      <c r="A9403">
        <v>88060</v>
      </c>
      <c r="B9403">
        <v>4181361</v>
      </c>
      <c r="C9403" s="32">
        <v>43070.323773148149</v>
      </c>
    </row>
    <row r="9404" spans="1:3">
      <c r="A9404">
        <v>427753</v>
      </c>
      <c r="B9404">
        <v>4244487</v>
      </c>
      <c r="C9404" s="32">
        <v>43072.51116898148</v>
      </c>
    </row>
    <row r="9405" spans="1:3">
      <c r="A9405">
        <v>869924</v>
      </c>
      <c r="B9405">
        <v>1158475</v>
      </c>
      <c r="C9405" s="32">
        <v>43070.854398148149</v>
      </c>
    </row>
    <row r="9406" spans="1:3">
      <c r="A9406">
        <v>421871</v>
      </c>
      <c r="B9406">
        <v>4181361</v>
      </c>
      <c r="C9406" s="32">
        <v>43070.532071759262</v>
      </c>
    </row>
    <row r="9407" spans="1:3">
      <c r="A9407">
        <v>134393</v>
      </c>
      <c r="B9407">
        <v>739426</v>
      </c>
      <c r="C9407" s="32">
        <v>43071.168240740742</v>
      </c>
    </row>
    <row r="9408" spans="1:3">
      <c r="A9408">
        <v>251602</v>
      </c>
      <c r="B9408">
        <v>3607361</v>
      </c>
      <c r="C9408" s="32">
        <v>43071.505057870374</v>
      </c>
    </row>
    <row r="9409" spans="1:3">
      <c r="A9409">
        <v>400798</v>
      </c>
      <c r="B9409">
        <v>982926</v>
      </c>
      <c r="C9409" s="32">
        <v>43072.543692129628</v>
      </c>
    </row>
    <row r="9410" spans="1:3">
      <c r="A9410">
        <v>245730</v>
      </c>
      <c r="B9410">
        <v>4217906</v>
      </c>
      <c r="C9410" s="32">
        <v>43072.134479166663</v>
      </c>
    </row>
    <row r="9411" spans="1:3">
      <c r="A9411">
        <v>617772</v>
      </c>
      <c r="B9411">
        <v>4801426</v>
      </c>
      <c r="C9411" s="32">
        <v>43071.625509259262</v>
      </c>
    </row>
    <row r="9412" spans="1:3">
      <c r="A9412">
        <v>11098</v>
      </c>
      <c r="B9412">
        <v>2925160</v>
      </c>
      <c r="C9412" s="32">
        <v>43072.288541666669</v>
      </c>
    </row>
    <row r="9413" spans="1:3">
      <c r="A9413">
        <v>292677</v>
      </c>
      <c r="B9413">
        <v>5071267</v>
      </c>
      <c r="C9413" s="32">
        <v>43072.316527777781</v>
      </c>
    </row>
    <row r="9414" spans="1:3">
      <c r="A9414">
        <v>635461</v>
      </c>
      <c r="B9414">
        <v>1958275</v>
      </c>
      <c r="C9414" s="32">
        <v>43071.659016203703</v>
      </c>
    </row>
    <row r="9415" spans="1:3">
      <c r="A9415">
        <v>656606</v>
      </c>
      <c r="B9415">
        <v>2827444</v>
      </c>
      <c r="C9415" s="32">
        <v>43072.528969907406</v>
      </c>
    </row>
    <row r="9416" spans="1:3">
      <c r="A9416">
        <v>774929</v>
      </c>
      <c r="B9416">
        <v>3002561</v>
      </c>
      <c r="C9416" s="32">
        <v>43071.617245370369</v>
      </c>
    </row>
    <row r="9417" spans="1:3">
      <c r="A9417">
        <v>673157</v>
      </c>
      <c r="B9417">
        <v>2465336</v>
      </c>
      <c r="C9417" s="32">
        <v>43071.20208333333</v>
      </c>
    </row>
    <row r="9418" spans="1:3">
      <c r="A9418">
        <v>811151</v>
      </c>
      <c r="B9418">
        <v>4145813</v>
      </c>
      <c r="C9418" s="32">
        <v>43071.592731481483</v>
      </c>
    </row>
    <row r="9419" spans="1:3">
      <c r="A9419">
        <v>276343</v>
      </c>
      <c r="B9419">
        <v>3189162</v>
      </c>
      <c r="C9419" s="32">
        <v>43072.201979166668</v>
      </c>
    </row>
    <row r="9420" spans="1:3">
      <c r="A9420">
        <v>834943</v>
      </c>
      <c r="B9420">
        <v>1575622</v>
      </c>
      <c r="C9420" s="32">
        <v>43070.514282407406</v>
      </c>
    </row>
    <row r="9421" spans="1:3">
      <c r="A9421">
        <v>837038</v>
      </c>
      <c r="B9421">
        <v>1783423</v>
      </c>
      <c r="C9421" s="32">
        <v>43070.114305555559</v>
      </c>
    </row>
    <row r="9422" spans="1:3">
      <c r="A9422">
        <v>808963</v>
      </c>
      <c r="B9422">
        <v>339305</v>
      </c>
      <c r="C9422" s="32">
        <v>43071.639953703707</v>
      </c>
    </row>
    <row r="9423" spans="1:3">
      <c r="A9423">
        <v>301346</v>
      </c>
      <c r="B9423">
        <v>4756105</v>
      </c>
      <c r="C9423" s="32">
        <v>43072.550856481481</v>
      </c>
    </row>
    <row r="9424" spans="1:3">
      <c r="A9424">
        <v>334276</v>
      </c>
      <c r="B9424">
        <v>2578647</v>
      </c>
      <c r="C9424" s="32">
        <v>43072.257569444446</v>
      </c>
    </row>
    <row r="9425" spans="1:3">
      <c r="A9425">
        <v>446996</v>
      </c>
      <c r="B9425">
        <v>3645362</v>
      </c>
      <c r="C9425" s="32">
        <v>43070.738981481481</v>
      </c>
    </row>
    <row r="9426" spans="1:3">
      <c r="A9426">
        <v>462123</v>
      </c>
      <c r="B9426">
        <v>1575622</v>
      </c>
      <c r="C9426" s="32">
        <v>43071.099745370368</v>
      </c>
    </row>
    <row r="9427" spans="1:3">
      <c r="A9427">
        <v>371616</v>
      </c>
      <c r="B9427">
        <v>2735466</v>
      </c>
      <c r="C9427" s="32">
        <v>43070.637488425928</v>
      </c>
    </row>
    <row r="9428" spans="1:3">
      <c r="A9428">
        <v>119637</v>
      </c>
      <c r="B9428">
        <v>2985553</v>
      </c>
      <c r="C9428" s="32">
        <v>43070.494942129626</v>
      </c>
    </row>
    <row r="9429" spans="1:3">
      <c r="A9429">
        <v>494147</v>
      </c>
      <c r="B9429">
        <v>1061857</v>
      </c>
      <c r="C9429" s="32">
        <v>43069.990833333337</v>
      </c>
    </row>
    <row r="9430" spans="1:3">
      <c r="A9430">
        <v>613144</v>
      </c>
      <c r="B9430">
        <v>737184</v>
      </c>
      <c r="C9430" s="32">
        <v>43070.966331018521</v>
      </c>
    </row>
    <row r="9431" spans="1:3">
      <c r="A9431">
        <v>79590</v>
      </c>
      <c r="B9431">
        <v>149192</v>
      </c>
      <c r="C9431" s="32">
        <v>43072.386817129627</v>
      </c>
    </row>
    <row r="9432" spans="1:3">
      <c r="A9432">
        <v>764597</v>
      </c>
      <c r="B9432">
        <v>4170419</v>
      </c>
      <c r="C9432" s="32">
        <v>43071.733437499999</v>
      </c>
    </row>
    <row r="9433" spans="1:3">
      <c r="A9433">
        <v>1010964</v>
      </c>
      <c r="B9433">
        <v>154040</v>
      </c>
      <c r="C9433" s="32">
        <v>43070.882361111115</v>
      </c>
    </row>
    <row r="9434" spans="1:3">
      <c r="A9434">
        <v>445284</v>
      </c>
      <c r="B9434">
        <v>982926</v>
      </c>
      <c r="C9434" s="32">
        <v>43071.440451388888</v>
      </c>
    </row>
    <row r="9435" spans="1:3">
      <c r="A9435">
        <v>331063</v>
      </c>
      <c r="B9435">
        <v>2735466</v>
      </c>
      <c r="C9435" s="32">
        <v>43072.213634259257</v>
      </c>
    </row>
    <row r="9436" spans="1:3">
      <c r="A9436">
        <v>468009</v>
      </c>
      <c r="B9436">
        <v>405755</v>
      </c>
      <c r="C9436" s="32">
        <v>43071.57435185185</v>
      </c>
    </row>
    <row r="9437" spans="1:3">
      <c r="A9437">
        <v>697136</v>
      </c>
      <c r="B9437">
        <v>3776866</v>
      </c>
      <c r="C9437" s="32">
        <v>43071.172812500001</v>
      </c>
    </row>
    <row r="9438" spans="1:3">
      <c r="A9438">
        <v>311627</v>
      </c>
      <c r="B9438">
        <v>801221</v>
      </c>
      <c r="C9438" s="32">
        <v>43071.311331018522</v>
      </c>
    </row>
    <row r="9439" spans="1:3">
      <c r="A9439">
        <v>405936</v>
      </c>
      <c r="B9439">
        <v>4988911</v>
      </c>
      <c r="C9439" s="32">
        <v>43071.542175925926</v>
      </c>
    </row>
    <row r="9440" spans="1:3">
      <c r="A9440">
        <v>214549</v>
      </c>
      <c r="B9440">
        <v>4145813</v>
      </c>
      <c r="C9440" s="32">
        <v>43070.913368055553</v>
      </c>
    </row>
    <row r="9441" spans="1:3">
      <c r="A9441">
        <v>434287</v>
      </c>
      <c r="B9441">
        <v>1447685</v>
      </c>
      <c r="C9441" s="32">
        <v>43070.205914351849</v>
      </c>
    </row>
    <row r="9442" spans="1:3">
      <c r="A9442">
        <v>540209</v>
      </c>
      <c r="B9442">
        <v>2640118</v>
      </c>
      <c r="C9442" s="32">
        <v>43072.639108796298</v>
      </c>
    </row>
    <row r="9443" spans="1:3">
      <c r="A9443">
        <v>439059</v>
      </c>
      <c r="B9443">
        <v>3849096</v>
      </c>
      <c r="C9443" s="32">
        <v>43070.637291666666</v>
      </c>
    </row>
    <row r="9444" spans="1:3">
      <c r="A9444">
        <v>919611</v>
      </c>
      <c r="B9444">
        <v>4098232</v>
      </c>
      <c r="C9444" s="32">
        <v>43072.6016087963</v>
      </c>
    </row>
    <row r="9445" spans="1:3">
      <c r="A9445">
        <v>308878</v>
      </c>
      <c r="B9445">
        <v>1320293</v>
      </c>
      <c r="C9445" s="32">
        <v>43070.578043981484</v>
      </c>
    </row>
    <row r="9446" spans="1:3">
      <c r="A9446">
        <v>132518</v>
      </c>
      <c r="B9446">
        <v>2640118</v>
      </c>
      <c r="C9446" s="32">
        <v>43070.58289351852</v>
      </c>
    </row>
    <row r="9447" spans="1:3">
      <c r="A9447">
        <v>192143</v>
      </c>
      <c r="B9447">
        <v>2259994</v>
      </c>
      <c r="C9447" s="32">
        <v>43072.555</v>
      </c>
    </row>
    <row r="9448" spans="1:3">
      <c r="A9448">
        <v>112751</v>
      </c>
      <c r="B9448">
        <v>3160926</v>
      </c>
      <c r="C9448" s="32">
        <v>43071.531921296293</v>
      </c>
    </row>
    <row r="9449" spans="1:3">
      <c r="A9449">
        <v>716103</v>
      </c>
      <c r="B9449">
        <v>1528701</v>
      </c>
      <c r="C9449" s="32">
        <v>43071.915659722225</v>
      </c>
    </row>
    <row r="9450" spans="1:3">
      <c r="A9450">
        <v>721260</v>
      </c>
      <c r="B9450">
        <v>4606718</v>
      </c>
      <c r="C9450" s="32">
        <v>43071.502453703702</v>
      </c>
    </row>
    <row r="9451" spans="1:3">
      <c r="A9451">
        <v>656875</v>
      </c>
      <c r="B9451">
        <v>982926</v>
      </c>
      <c r="C9451" s="32">
        <v>43070.078530092593</v>
      </c>
    </row>
    <row r="9452" spans="1:3">
      <c r="A9452">
        <v>674081</v>
      </c>
      <c r="B9452">
        <v>2578647</v>
      </c>
      <c r="C9452" s="32">
        <v>43071.307025462964</v>
      </c>
    </row>
    <row r="9453" spans="1:3">
      <c r="A9453">
        <v>758094</v>
      </c>
      <c r="B9453">
        <v>2626421</v>
      </c>
      <c r="C9453" s="32">
        <v>43071.578182870369</v>
      </c>
    </row>
    <row r="9454" spans="1:3">
      <c r="A9454">
        <v>752966</v>
      </c>
      <c r="B9454">
        <v>1881956</v>
      </c>
      <c r="C9454" s="32">
        <v>43070.221516203703</v>
      </c>
    </row>
    <row r="9455" spans="1:3">
      <c r="A9455">
        <v>209067</v>
      </c>
      <c r="B9455">
        <v>4756105</v>
      </c>
      <c r="C9455" s="32">
        <v>43071.929918981485</v>
      </c>
    </row>
    <row r="9456" spans="1:3">
      <c r="A9456">
        <v>568584</v>
      </c>
      <c r="B9456">
        <v>4217906</v>
      </c>
      <c r="C9456" s="32">
        <v>43070.454189814816</v>
      </c>
    </row>
    <row r="9457" spans="1:3">
      <c r="A9457">
        <v>423657</v>
      </c>
      <c r="B9457">
        <v>4756105</v>
      </c>
      <c r="C9457" s="32">
        <v>43071.630706018521</v>
      </c>
    </row>
    <row r="9458" spans="1:3">
      <c r="A9458">
        <v>808275</v>
      </c>
      <c r="B9458">
        <v>2459106</v>
      </c>
      <c r="C9458" s="32">
        <v>43072.023159722223</v>
      </c>
    </row>
    <row r="9459" spans="1:3">
      <c r="A9459">
        <v>1017896</v>
      </c>
      <c r="B9459">
        <v>238434</v>
      </c>
      <c r="C9459" s="32">
        <v>43071.629872685182</v>
      </c>
    </row>
    <row r="9460" spans="1:3">
      <c r="A9460">
        <v>50148</v>
      </c>
      <c r="B9460">
        <v>4643350</v>
      </c>
      <c r="C9460" s="32">
        <v>43071.505127314813</v>
      </c>
    </row>
    <row r="9461" spans="1:3">
      <c r="A9461">
        <v>772396</v>
      </c>
      <c r="B9461">
        <v>3607361</v>
      </c>
      <c r="C9461" s="32">
        <v>43071.326874999999</v>
      </c>
    </row>
    <row r="9462" spans="1:3">
      <c r="A9462">
        <v>832002</v>
      </c>
      <c r="B9462">
        <v>4145813</v>
      </c>
      <c r="C9462" s="32">
        <v>43070.513599537036</v>
      </c>
    </row>
    <row r="9463" spans="1:3">
      <c r="A9463">
        <v>5502</v>
      </c>
      <c r="B9463">
        <v>4756105</v>
      </c>
      <c r="C9463" s="32">
        <v>43070.69903935185</v>
      </c>
    </row>
    <row r="9464" spans="1:3">
      <c r="A9464">
        <v>727300</v>
      </c>
      <c r="B9464">
        <v>1419417</v>
      </c>
      <c r="C9464" s="32">
        <v>43070.581701388888</v>
      </c>
    </row>
    <row r="9465" spans="1:3">
      <c r="A9465">
        <v>337886</v>
      </c>
      <c r="B9465">
        <v>1879194</v>
      </c>
      <c r="C9465" s="32">
        <v>43072.109930555554</v>
      </c>
    </row>
    <row r="9466" spans="1:3">
      <c r="A9466">
        <v>567373</v>
      </c>
      <c r="B9466">
        <v>3774512</v>
      </c>
      <c r="C9466" s="32">
        <v>43072.100891203707</v>
      </c>
    </row>
    <row r="9467" spans="1:3">
      <c r="A9467">
        <v>525886</v>
      </c>
      <c r="B9467">
        <v>3607361</v>
      </c>
      <c r="C9467" s="32">
        <v>43072.594722222224</v>
      </c>
    </row>
    <row r="9468" spans="1:3">
      <c r="A9468">
        <v>644436</v>
      </c>
      <c r="B9468">
        <v>4282651</v>
      </c>
      <c r="C9468" s="32">
        <v>43070.61478009259</v>
      </c>
    </row>
    <row r="9469" spans="1:3">
      <c r="A9469">
        <v>786038</v>
      </c>
      <c r="B9469">
        <v>1859277</v>
      </c>
      <c r="C9469" s="32">
        <v>43072.594652777778</v>
      </c>
    </row>
    <row r="9470" spans="1:3">
      <c r="A9470">
        <v>630624</v>
      </c>
      <c r="B9470">
        <v>2352202</v>
      </c>
      <c r="C9470" s="32">
        <v>43072.567106481481</v>
      </c>
    </row>
    <row r="9471" spans="1:3">
      <c r="A9471">
        <v>685713</v>
      </c>
      <c r="B9471">
        <v>2885642</v>
      </c>
      <c r="C9471" s="32">
        <v>43070.20989583333</v>
      </c>
    </row>
    <row r="9472" spans="1:3">
      <c r="A9472">
        <v>377746</v>
      </c>
      <c r="B9472">
        <v>1548278</v>
      </c>
      <c r="C9472" s="32">
        <v>43070.526400462964</v>
      </c>
    </row>
    <row r="9473" spans="1:3">
      <c r="A9473">
        <v>454986</v>
      </c>
      <c r="B9473">
        <v>3604509</v>
      </c>
      <c r="C9473" s="32">
        <v>43069.967164351852</v>
      </c>
    </row>
    <row r="9474" spans="1:3">
      <c r="A9474">
        <v>873341</v>
      </c>
      <c r="B9474">
        <v>3398567</v>
      </c>
      <c r="C9474" s="32">
        <v>43071.564143518517</v>
      </c>
    </row>
    <row r="9475" spans="1:3">
      <c r="A9475">
        <v>527660</v>
      </c>
      <c r="B9475">
        <v>285583</v>
      </c>
      <c r="C9475" s="32">
        <v>43070.924317129633</v>
      </c>
    </row>
    <row r="9476" spans="1:3">
      <c r="A9476">
        <v>833412</v>
      </c>
      <c r="B9476">
        <v>154040</v>
      </c>
      <c r="C9476" s="32">
        <v>43072.423692129632</v>
      </c>
    </row>
    <row r="9477" spans="1:3">
      <c r="A9477">
        <v>407109</v>
      </c>
      <c r="B9477">
        <v>3738615</v>
      </c>
      <c r="C9477" s="32">
        <v>43071.219699074078</v>
      </c>
    </row>
    <row r="9478" spans="1:3">
      <c r="A9478">
        <v>642716</v>
      </c>
      <c r="B9478">
        <v>965809</v>
      </c>
      <c r="C9478" s="32">
        <v>43071.565138888887</v>
      </c>
    </row>
    <row r="9479" spans="1:3">
      <c r="A9479">
        <v>891930</v>
      </c>
      <c r="B9479">
        <v>4756105</v>
      </c>
      <c r="C9479" s="32">
        <v>43070.582604166666</v>
      </c>
    </row>
    <row r="9480" spans="1:3">
      <c r="A9480">
        <v>675398</v>
      </c>
      <c r="B9480">
        <v>4069500</v>
      </c>
      <c r="C9480" s="32">
        <v>43072.474641203706</v>
      </c>
    </row>
    <row r="9481" spans="1:3">
      <c r="A9481">
        <v>906251</v>
      </c>
      <c r="B9481">
        <v>3354571</v>
      </c>
      <c r="C9481" s="32">
        <v>43071.039305555554</v>
      </c>
    </row>
    <row r="9482" spans="1:3">
      <c r="A9482">
        <v>658390</v>
      </c>
      <c r="B9482">
        <v>4145813</v>
      </c>
      <c r="C9482" s="32">
        <v>43072.59920138889</v>
      </c>
    </row>
    <row r="9483" spans="1:3">
      <c r="A9483">
        <v>894229</v>
      </c>
      <c r="B9483">
        <v>4181361</v>
      </c>
      <c r="C9483" s="32">
        <v>43072.524872685186</v>
      </c>
    </row>
    <row r="9484" spans="1:3">
      <c r="A9484">
        <v>878747</v>
      </c>
      <c r="B9484">
        <v>4801426</v>
      </c>
      <c r="C9484" s="32">
        <v>43070.03334490741</v>
      </c>
    </row>
    <row r="9485" spans="1:3">
      <c r="A9485">
        <v>681161</v>
      </c>
      <c r="B9485">
        <v>1216617</v>
      </c>
      <c r="C9485" s="32">
        <v>43071.609282407408</v>
      </c>
    </row>
    <row r="9486" spans="1:3">
      <c r="A9486">
        <v>306123</v>
      </c>
      <c r="B9486">
        <v>983613</v>
      </c>
      <c r="C9486" s="32">
        <v>43071.34579861111</v>
      </c>
    </row>
    <row r="9487" spans="1:3">
      <c r="A9487">
        <v>556872</v>
      </c>
      <c r="B9487">
        <v>4731191</v>
      </c>
      <c r="C9487" s="32">
        <v>43072.598726851851</v>
      </c>
    </row>
    <row r="9488" spans="1:3">
      <c r="A9488">
        <v>555913</v>
      </c>
      <c r="B9488">
        <v>1320293</v>
      </c>
      <c r="C9488" s="32">
        <v>43071.569837962961</v>
      </c>
    </row>
    <row r="9489" spans="1:3">
      <c r="A9489">
        <v>432363</v>
      </c>
      <c r="B9489">
        <v>2096639</v>
      </c>
      <c r="C9489" s="32">
        <v>43071.061608796299</v>
      </c>
    </row>
    <row r="9490" spans="1:3">
      <c r="A9490">
        <v>849220</v>
      </c>
      <c r="B9490">
        <v>1879194</v>
      </c>
      <c r="C9490" s="32">
        <v>43071.627210648148</v>
      </c>
    </row>
    <row r="9491" spans="1:3">
      <c r="A9491">
        <v>708134</v>
      </c>
      <c r="B9491">
        <v>2520377</v>
      </c>
      <c r="C9491" s="32">
        <v>43069.816180555557</v>
      </c>
    </row>
    <row r="9492" spans="1:3">
      <c r="A9492">
        <v>755557</v>
      </c>
      <c r="B9492">
        <v>570735</v>
      </c>
      <c r="C9492" s="32">
        <v>43069.666956018518</v>
      </c>
    </row>
    <row r="9493" spans="1:3">
      <c r="A9493">
        <v>98053</v>
      </c>
      <c r="B9493">
        <v>3768664</v>
      </c>
      <c r="C9493" s="32">
        <v>43070.278391203705</v>
      </c>
    </row>
    <row r="9494" spans="1:3">
      <c r="A9494">
        <v>716323</v>
      </c>
      <c r="B9494">
        <v>4242717</v>
      </c>
      <c r="C9494" s="32">
        <v>43072.547835648147</v>
      </c>
    </row>
    <row r="9495" spans="1:3">
      <c r="A9495">
        <v>691174</v>
      </c>
      <c r="B9495">
        <v>4801426</v>
      </c>
      <c r="C9495" s="32">
        <v>43071.984074074076</v>
      </c>
    </row>
    <row r="9496" spans="1:3">
      <c r="A9496">
        <v>772410</v>
      </c>
      <c r="B9496">
        <v>2885642</v>
      </c>
      <c r="C9496" s="32">
        <v>43070.29146990741</v>
      </c>
    </row>
    <row r="9497" spans="1:3">
      <c r="A9497">
        <v>312797</v>
      </c>
      <c r="B9497">
        <v>982926</v>
      </c>
      <c r="C9497" s="32">
        <v>43072.506874999999</v>
      </c>
    </row>
    <row r="9498" spans="1:3">
      <c r="A9498">
        <v>324956</v>
      </c>
      <c r="B9498">
        <v>1320293</v>
      </c>
      <c r="C9498" s="32">
        <v>43071.950960648152</v>
      </c>
    </row>
    <row r="9499" spans="1:3">
      <c r="A9499">
        <v>528896</v>
      </c>
      <c r="B9499">
        <v>4643350</v>
      </c>
      <c r="C9499" s="32">
        <v>43072.483634259261</v>
      </c>
    </row>
    <row r="9500" spans="1:3">
      <c r="A9500">
        <v>950037</v>
      </c>
      <c r="B9500">
        <v>4558987</v>
      </c>
      <c r="C9500" s="32">
        <v>43071.273611111108</v>
      </c>
    </row>
    <row r="9501" spans="1:3">
      <c r="A9501">
        <v>609614</v>
      </c>
      <c r="B9501">
        <v>2355072</v>
      </c>
      <c r="C9501" s="32">
        <v>43072.259282407409</v>
      </c>
    </row>
    <row r="9502" spans="1:3">
      <c r="A9502">
        <v>136842</v>
      </c>
      <c r="B9502">
        <v>1061857</v>
      </c>
      <c r="C9502" s="32">
        <v>43071.668553240743</v>
      </c>
    </row>
    <row r="9503" spans="1:3">
      <c r="A9503">
        <v>438825</v>
      </c>
      <c r="B9503">
        <v>4436461</v>
      </c>
      <c r="C9503" s="32">
        <v>43070.337650462963</v>
      </c>
    </row>
    <row r="9504" spans="1:3">
      <c r="A9504">
        <v>348852</v>
      </c>
      <c r="B9504">
        <v>2495340</v>
      </c>
      <c r="C9504" s="32">
        <v>43071.579363425924</v>
      </c>
    </row>
    <row r="9505" spans="1:3">
      <c r="A9505">
        <v>310485</v>
      </c>
      <c r="B9505">
        <v>4170419</v>
      </c>
      <c r="C9505" s="32">
        <v>43070.659525462965</v>
      </c>
    </row>
    <row r="9506" spans="1:3">
      <c r="A9506">
        <v>242193</v>
      </c>
      <c r="B9506">
        <v>965809</v>
      </c>
      <c r="C9506" s="32">
        <v>43072.627615740741</v>
      </c>
    </row>
    <row r="9507" spans="1:3">
      <c r="A9507">
        <v>328</v>
      </c>
      <c r="B9507">
        <v>4217906</v>
      </c>
      <c r="C9507" s="32">
        <v>43072.261157407411</v>
      </c>
    </row>
    <row r="9508" spans="1:3">
      <c r="A9508">
        <v>546022</v>
      </c>
      <c r="B9508">
        <v>2520377</v>
      </c>
      <c r="C9508" s="32">
        <v>43071.09165509259</v>
      </c>
    </row>
    <row r="9509" spans="1:3">
      <c r="A9509">
        <v>593134</v>
      </c>
      <c r="B9509">
        <v>886203</v>
      </c>
      <c r="C9509" s="32">
        <v>43071.603032407409</v>
      </c>
    </row>
    <row r="9510" spans="1:3">
      <c r="A9510">
        <v>204959</v>
      </c>
      <c r="B9510">
        <v>4519460</v>
      </c>
      <c r="C9510" s="32">
        <v>43070.240937499999</v>
      </c>
    </row>
    <row r="9511" spans="1:3">
      <c r="A9511">
        <v>177161</v>
      </c>
      <c r="B9511">
        <v>1299190</v>
      </c>
      <c r="C9511" s="32">
        <v>43072.008576388886</v>
      </c>
    </row>
    <row r="9512" spans="1:3">
      <c r="A9512">
        <v>241515</v>
      </c>
      <c r="B9512">
        <v>3102419</v>
      </c>
      <c r="C9512" s="32">
        <v>43069.837418981479</v>
      </c>
    </row>
    <row r="9513" spans="1:3">
      <c r="A9513">
        <v>630864</v>
      </c>
      <c r="B9513">
        <v>2462567</v>
      </c>
      <c r="C9513" s="32">
        <v>43072.093993055554</v>
      </c>
    </row>
    <row r="9514" spans="1:3">
      <c r="A9514">
        <v>581186</v>
      </c>
      <c r="B9514">
        <v>4217906</v>
      </c>
      <c r="C9514" s="32">
        <v>43071.388344907406</v>
      </c>
    </row>
    <row r="9515" spans="1:3">
      <c r="A9515">
        <v>1006684</v>
      </c>
      <c r="B9515">
        <v>5028877</v>
      </c>
      <c r="C9515" s="32">
        <v>43072.494317129633</v>
      </c>
    </row>
    <row r="9516" spans="1:3">
      <c r="A9516">
        <v>912793</v>
      </c>
      <c r="B9516">
        <v>1320293</v>
      </c>
      <c r="C9516" s="32">
        <v>43072.598425925928</v>
      </c>
    </row>
    <row r="9517" spans="1:3">
      <c r="A9517">
        <v>86667</v>
      </c>
      <c r="B9517">
        <v>4756105</v>
      </c>
      <c r="C9517" s="32">
        <v>43070.543587962966</v>
      </c>
    </row>
    <row r="9518" spans="1:3">
      <c r="A9518">
        <v>393507</v>
      </c>
      <c r="B9518">
        <v>796856</v>
      </c>
      <c r="C9518" s="32">
        <v>43072.15483796296</v>
      </c>
    </row>
    <row r="9519" spans="1:3">
      <c r="A9519">
        <v>643265</v>
      </c>
      <c r="B9519">
        <v>2885642</v>
      </c>
      <c r="C9519" s="32">
        <v>43071.597141203703</v>
      </c>
    </row>
    <row r="9520" spans="1:3">
      <c r="A9520">
        <v>888816</v>
      </c>
      <c r="B9520">
        <v>3607361</v>
      </c>
      <c r="C9520" s="32">
        <v>43072.373796296299</v>
      </c>
    </row>
    <row r="9521" spans="1:3">
      <c r="A9521">
        <v>707390</v>
      </c>
      <c r="B9521">
        <v>2640118</v>
      </c>
      <c r="C9521" s="32">
        <v>43072.559328703705</v>
      </c>
    </row>
    <row r="9522" spans="1:3">
      <c r="A9522">
        <v>1006366</v>
      </c>
      <c r="B9522">
        <v>2355072</v>
      </c>
      <c r="C9522" s="32">
        <v>43071.394999999997</v>
      </c>
    </row>
    <row r="9523" spans="1:3">
      <c r="A9523">
        <v>986189</v>
      </c>
      <c r="B9523">
        <v>3566034</v>
      </c>
      <c r="C9523" s="32">
        <v>43071.873784722222</v>
      </c>
    </row>
    <row r="9524" spans="1:3">
      <c r="A9524">
        <v>302963</v>
      </c>
      <c r="B9524">
        <v>1464116</v>
      </c>
      <c r="C9524" s="32">
        <v>43072.021932870368</v>
      </c>
    </row>
    <row r="9525" spans="1:3">
      <c r="A9525">
        <v>518061</v>
      </c>
      <c r="B9525">
        <v>982926</v>
      </c>
      <c r="C9525" s="32">
        <v>43071.483576388891</v>
      </c>
    </row>
    <row r="9526" spans="1:3">
      <c r="A9526">
        <v>28856</v>
      </c>
      <c r="B9526">
        <v>886203</v>
      </c>
      <c r="C9526" s="32">
        <v>43071.299791666665</v>
      </c>
    </row>
    <row r="9527" spans="1:3">
      <c r="A9527">
        <v>767171</v>
      </c>
      <c r="B9527">
        <v>2612425</v>
      </c>
      <c r="C9527" s="32">
        <v>43072.109432870369</v>
      </c>
    </row>
    <row r="9528" spans="1:3">
      <c r="A9528">
        <v>759615</v>
      </c>
      <c r="B9528">
        <v>753984</v>
      </c>
      <c r="C9528" s="32">
        <v>43072.409918981481</v>
      </c>
    </row>
    <row r="9529" spans="1:3">
      <c r="A9529">
        <v>890560</v>
      </c>
      <c r="B9529">
        <v>4145813</v>
      </c>
      <c r="C9529" s="32">
        <v>43072.617476851854</v>
      </c>
    </row>
    <row r="9530" spans="1:3">
      <c r="A9530">
        <v>457258</v>
      </c>
      <c r="B9530">
        <v>238434</v>
      </c>
      <c r="C9530" s="32">
        <v>43071.325023148151</v>
      </c>
    </row>
    <row r="9531" spans="1:3">
      <c r="A9531">
        <v>25616</v>
      </c>
      <c r="B9531">
        <v>1724559</v>
      </c>
      <c r="C9531" s="32">
        <v>43072.15185185185</v>
      </c>
    </row>
    <row r="9532" spans="1:3">
      <c r="A9532">
        <v>120087</v>
      </c>
      <c r="B9532">
        <v>2735466</v>
      </c>
      <c r="C9532" s="32">
        <v>43072.562094907407</v>
      </c>
    </row>
    <row r="9533" spans="1:3">
      <c r="A9533">
        <v>632059</v>
      </c>
      <c r="B9533">
        <v>1080785</v>
      </c>
      <c r="C9533" s="32">
        <v>43072.53738425926</v>
      </c>
    </row>
    <row r="9534" spans="1:3">
      <c r="A9534">
        <v>680062</v>
      </c>
      <c r="B9534">
        <v>2735466</v>
      </c>
      <c r="C9534" s="32">
        <v>43072.642256944448</v>
      </c>
    </row>
    <row r="9535" spans="1:3">
      <c r="A9535">
        <v>436497</v>
      </c>
      <c r="B9535">
        <v>2520377</v>
      </c>
      <c r="C9535" s="32">
        <v>43070.161030092589</v>
      </c>
    </row>
    <row r="9536" spans="1:3">
      <c r="A9536">
        <v>52805</v>
      </c>
      <c r="B9536">
        <v>883960</v>
      </c>
      <c r="C9536" s="32">
        <v>43071.505659722221</v>
      </c>
    </row>
    <row r="9537" spans="1:3">
      <c r="A9537">
        <v>75030</v>
      </c>
      <c r="B9537">
        <v>2520377</v>
      </c>
      <c r="C9537" s="32">
        <v>43070.6877662037</v>
      </c>
    </row>
    <row r="9538" spans="1:3">
      <c r="A9538">
        <v>457954</v>
      </c>
      <c r="B9538">
        <v>2438773</v>
      </c>
      <c r="C9538" s="32">
        <v>43071.198587962965</v>
      </c>
    </row>
    <row r="9539" spans="1:3">
      <c r="A9539">
        <v>92066</v>
      </c>
      <c r="B9539">
        <v>3607361</v>
      </c>
      <c r="C9539" s="32">
        <v>43072.353726851848</v>
      </c>
    </row>
    <row r="9540" spans="1:3">
      <c r="A9540">
        <v>484950</v>
      </c>
      <c r="B9540">
        <v>2640118</v>
      </c>
      <c r="C9540" s="32">
        <v>43071.894004629627</v>
      </c>
    </row>
    <row r="9541" spans="1:3">
      <c r="A9541">
        <v>581669</v>
      </c>
      <c r="B9541">
        <v>2489066</v>
      </c>
      <c r="C9541" s="32">
        <v>43071.091435185182</v>
      </c>
    </row>
    <row r="9542" spans="1:3">
      <c r="A9542">
        <v>925948</v>
      </c>
      <c r="B9542">
        <v>570735</v>
      </c>
      <c r="C9542" s="32">
        <v>43071.641192129631</v>
      </c>
    </row>
    <row r="9543" spans="1:3">
      <c r="A9543">
        <v>431118</v>
      </c>
      <c r="B9543">
        <v>1299190</v>
      </c>
      <c r="C9543" s="32">
        <v>43072.005960648145</v>
      </c>
    </row>
    <row r="9544" spans="1:3">
      <c r="A9544">
        <v>721629</v>
      </c>
      <c r="B9544">
        <v>154040</v>
      </c>
      <c r="C9544" s="32">
        <v>43072.535590277781</v>
      </c>
    </row>
    <row r="9545" spans="1:3">
      <c r="A9545">
        <v>600653</v>
      </c>
      <c r="B9545">
        <v>4606718</v>
      </c>
      <c r="C9545" s="32">
        <v>43071.094340277778</v>
      </c>
    </row>
    <row r="9546" spans="1:3">
      <c r="A9546">
        <v>965501</v>
      </c>
      <c r="B9546">
        <v>4069500</v>
      </c>
      <c r="C9546" s="32">
        <v>43071.565416666665</v>
      </c>
    </row>
    <row r="9547" spans="1:3">
      <c r="A9547">
        <v>307216</v>
      </c>
      <c r="B9547">
        <v>149192</v>
      </c>
      <c r="C9547" s="32">
        <v>43072.285069444442</v>
      </c>
    </row>
    <row r="9548" spans="1:3">
      <c r="A9548">
        <v>457882</v>
      </c>
      <c r="B9548">
        <v>753984</v>
      </c>
      <c r="C9548" s="32">
        <v>43072.072905092595</v>
      </c>
    </row>
    <row r="9549" spans="1:3">
      <c r="A9549">
        <v>852494</v>
      </c>
      <c r="B9549">
        <v>3299155</v>
      </c>
      <c r="C9549" s="32">
        <v>43071.292858796296</v>
      </c>
    </row>
    <row r="9550" spans="1:3">
      <c r="A9550">
        <v>766412</v>
      </c>
      <c r="B9550">
        <v>4801426</v>
      </c>
      <c r="C9550" s="32">
        <v>43071.194814814815</v>
      </c>
    </row>
    <row r="9551" spans="1:3">
      <c r="A9551">
        <v>10560</v>
      </c>
      <c r="B9551">
        <v>4238377</v>
      </c>
      <c r="C9551" s="32">
        <v>43071.344907407409</v>
      </c>
    </row>
    <row r="9552" spans="1:3">
      <c r="A9552">
        <v>86977</v>
      </c>
      <c r="B9552">
        <v>2858794</v>
      </c>
      <c r="C9552" s="32">
        <v>43070.536319444444</v>
      </c>
    </row>
    <row r="9553" spans="1:3">
      <c r="A9553">
        <v>192115</v>
      </c>
      <c r="B9553">
        <v>3102419</v>
      </c>
      <c r="C9553" s="32">
        <v>43072.382581018515</v>
      </c>
    </row>
    <row r="9554" spans="1:3">
      <c r="A9554">
        <v>1004098</v>
      </c>
      <c r="B9554">
        <v>801221</v>
      </c>
      <c r="C9554" s="32">
        <v>43069.69021990741</v>
      </c>
    </row>
    <row r="9555" spans="1:3">
      <c r="A9555">
        <v>817426</v>
      </c>
      <c r="B9555">
        <v>4756105</v>
      </c>
      <c r="C9555" s="32">
        <v>43071.534629629627</v>
      </c>
    </row>
    <row r="9556" spans="1:3">
      <c r="A9556">
        <v>1008995</v>
      </c>
      <c r="B9556">
        <v>2892802</v>
      </c>
      <c r="C9556" s="32">
        <v>43070.347557870373</v>
      </c>
    </row>
    <row r="9557" spans="1:3">
      <c r="A9557">
        <v>463970</v>
      </c>
      <c r="B9557">
        <v>982926</v>
      </c>
      <c r="C9557" s="32">
        <v>43071.284074074072</v>
      </c>
    </row>
    <row r="9558" spans="1:3">
      <c r="A9558">
        <v>607391</v>
      </c>
      <c r="B9558">
        <v>1061857</v>
      </c>
      <c r="C9558" s="32">
        <v>43072.478622685187</v>
      </c>
    </row>
    <row r="9559" spans="1:3">
      <c r="A9559">
        <v>398647</v>
      </c>
      <c r="B9559">
        <v>3015852</v>
      </c>
      <c r="C9559" s="32">
        <v>43071.154328703706</v>
      </c>
    </row>
    <row r="9560" spans="1:3">
      <c r="A9560">
        <v>485326</v>
      </c>
      <c r="B9560">
        <v>1575622</v>
      </c>
      <c r="C9560" s="32">
        <v>43071.094131944446</v>
      </c>
    </row>
    <row r="9561" spans="1:3">
      <c r="A9561">
        <v>985555</v>
      </c>
      <c r="B9561">
        <v>2735466</v>
      </c>
      <c r="C9561" s="32">
        <v>43071.054884259262</v>
      </c>
    </row>
    <row r="9562" spans="1:3">
      <c r="A9562">
        <v>385267</v>
      </c>
      <c r="B9562">
        <v>4244487</v>
      </c>
      <c r="C9562" s="32">
        <v>43071.527187500003</v>
      </c>
    </row>
    <row r="9563" spans="1:3">
      <c r="A9563">
        <v>35851</v>
      </c>
      <c r="B9563">
        <v>3607361</v>
      </c>
      <c r="C9563" s="32">
        <v>43070.432349537034</v>
      </c>
    </row>
    <row r="9564" spans="1:3">
      <c r="A9564">
        <v>317976</v>
      </c>
      <c r="B9564">
        <v>149192</v>
      </c>
      <c r="C9564" s="32">
        <v>43072.449652777781</v>
      </c>
    </row>
    <row r="9565" spans="1:3">
      <c r="A9565">
        <v>323772</v>
      </c>
      <c r="B9565">
        <v>4022701</v>
      </c>
      <c r="C9565" s="32">
        <v>43070.288368055553</v>
      </c>
    </row>
    <row r="9566" spans="1:3">
      <c r="A9566">
        <v>132434</v>
      </c>
      <c r="B9566">
        <v>3604509</v>
      </c>
      <c r="C9566" s="32">
        <v>43072.324155092596</v>
      </c>
    </row>
    <row r="9567" spans="1:3">
      <c r="A9567">
        <v>578664</v>
      </c>
      <c r="B9567">
        <v>4993094</v>
      </c>
      <c r="C9567" s="32">
        <v>43072.651770833334</v>
      </c>
    </row>
    <row r="9568" spans="1:3">
      <c r="A9568">
        <v>917910</v>
      </c>
      <c r="B9568">
        <v>874415</v>
      </c>
      <c r="C9568" s="32">
        <v>43072.623182870368</v>
      </c>
    </row>
    <row r="9569" spans="1:3">
      <c r="A9569">
        <v>98099</v>
      </c>
      <c r="B9569">
        <v>149192</v>
      </c>
      <c r="C9569" s="32">
        <v>43070.022997685184</v>
      </c>
    </row>
    <row r="9570" spans="1:3">
      <c r="A9570">
        <v>144799</v>
      </c>
      <c r="B9570">
        <v>2355072</v>
      </c>
      <c r="C9570" s="32">
        <v>43072.653645833336</v>
      </c>
    </row>
    <row r="9571" spans="1:3">
      <c r="A9571">
        <v>503221</v>
      </c>
      <c r="B9571">
        <v>1722855</v>
      </c>
      <c r="C9571" s="32">
        <v>43070.627418981479</v>
      </c>
    </row>
    <row r="9572" spans="1:3">
      <c r="A9572">
        <v>321777</v>
      </c>
      <c r="B9572">
        <v>2640118</v>
      </c>
      <c r="C9572" s="32">
        <v>43070.158506944441</v>
      </c>
    </row>
    <row r="9573" spans="1:3">
      <c r="A9573">
        <v>596750</v>
      </c>
      <c r="B9573">
        <v>4801426</v>
      </c>
      <c r="C9573" s="32">
        <v>43071.567881944444</v>
      </c>
    </row>
    <row r="9574" spans="1:3">
      <c r="A9574">
        <v>724724</v>
      </c>
      <c r="B9574">
        <v>4244487</v>
      </c>
      <c r="C9574" s="32">
        <v>43072.149837962963</v>
      </c>
    </row>
    <row r="9575" spans="1:3">
      <c r="A9575">
        <v>486976</v>
      </c>
      <c r="B9575">
        <v>4091042</v>
      </c>
      <c r="C9575" s="32">
        <v>43072.277638888889</v>
      </c>
    </row>
    <row r="9576" spans="1:3">
      <c r="A9576">
        <v>145087</v>
      </c>
      <c r="B9576">
        <v>3455617</v>
      </c>
      <c r="C9576" s="32">
        <v>43071.55395833333</v>
      </c>
    </row>
    <row r="9577" spans="1:3">
      <c r="A9577">
        <v>585365</v>
      </c>
      <c r="B9577">
        <v>4756105</v>
      </c>
      <c r="C9577" s="32">
        <v>43072.215844907405</v>
      </c>
    </row>
    <row r="9578" spans="1:3">
      <c r="A9578">
        <v>727355</v>
      </c>
      <c r="B9578">
        <v>4756105</v>
      </c>
      <c r="C9578" s="32">
        <v>43071.535879629628</v>
      </c>
    </row>
    <row r="9579" spans="1:3">
      <c r="A9579">
        <v>77758</v>
      </c>
      <c r="B9579">
        <v>72526</v>
      </c>
      <c r="C9579" s="32">
        <v>43072.483506944445</v>
      </c>
    </row>
    <row r="9580" spans="1:3">
      <c r="A9580">
        <v>592105</v>
      </c>
      <c r="B9580">
        <v>2558244</v>
      </c>
      <c r="C9580" s="32">
        <v>43071.712604166663</v>
      </c>
    </row>
    <row r="9581" spans="1:3">
      <c r="A9581">
        <v>836153</v>
      </c>
      <c r="B9581">
        <v>4756105</v>
      </c>
      <c r="C9581" s="32">
        <v>43070.082638888889</v>
      </c>
    </row>
    <row r="9582" spans="1:3">
      <c r="A9582">
        <v>457971</v>
      </c>
      <c r="B9582">
        <v>4919077</v>
      </c>
      <c r="C9582" s="32">
        <v>43070.92827546296</v>
      </c>
    </row>
    <row r="9583" spans="1:3">
      <c r="A9583">
        <v>398057</v>
      </c>
      <c r="B9583">
        <v>2520377</v>
      </c>
      <c r="C9583" s="32">
        <v>43071.545995370368</v>
      </c>
    </row>
    <row r="9584" spans="1:3">
      <c r="A9584">
        <v>160376</v>
      </c>
      <c r="B9584">
        <v>2528824</v>
      </c>
      <c r="C9584" s="32">
        <v>43070.564652777779</v>
      </c>
    </row>
    <row r="9585" spans="1:3">
      <c r="A9585">
        <v>354775</v>
      </c>
      <c r="B9585">
        <v>2355072</v>
      </c>
      <c r="C9585" s="32">
        <v>43072.57571759259</v>
      </c>
    </row>
    <row r="9586" spans="1:3">
      <c r="A9586">
        <v>604738</v>
      </c>
      <c r="B9586">
        <v>1943989</v>
      </c>
      <c r="C9586" s="32">
        <v>43070.471053240741</v>
      </c>
    </row>
    <row r="9587" spans="1:3">
      <c r="A9587">
        <v>773761</v>
      </c>
      <c r="B9587">
        <v>982926</v>
      </c>
      <c r="C9587" s="32">
        <v>43071.585370370369</v>
      </c>
    </row>
    <row r="9588" spans="1:3">
      <c r="A9588">
        <v>588897</v>
      </c>
      <c r="B9588">
        <v>886203</v>
      </c>
      <c r="C9588" s="32">
        <v>43072.621701388889</v>
      </c>
    </row>
    <row r="9589" spans="1:3">
      <c r="A9589">
        <v>830533</v>
      </c>
      <c r="B9589">
        <v>4294583</v>
      </c>
      <c r="C9589" s="32">
        <v>43070.519803240742</v>
      </c>
    </row>
    <row r="9590" spans="1:3">
      <c r="A9590">
        <v>44231</v>
      </c>
      <c r="B9590">
        <v>4517019</v>
      </c>
      <c r="C9590" s="32">
        <v>43071.349699074075</v>
      </c>
    </row>
    <row r="9591" spans="1:3">
      <c r="A9591">
        <v>790451</v>
      </c>
      <c r="B9591">
        <v>570735</v>
      </c>
      <c r="C9591" s="32">
        <v>43070.041550925926</v>
      </c>
    </row>
    <row r="9592" spans="1:3">
      <c r="A9592">
        <v>338238</v>
      </c>
      <c r="B9592">
        <v>3607361</v>
      </c>
      <c r="C9592" s="32">
        <v>43072.587175925924</v>
      </c>
    </row>
    <row r="9593" spans="1:3">
      <c r="A9593">
        <v>969395</v>
      </c>
      <c r="B9593">
        <v>4801426</v>
      </c>
      <c r="C9593" s="32">
        <v>43072.343668981484</v>
      </c>
    </row>
    <row r="9594" spans="1:3">
      <c r="A9594">
        <v>286179</v>
      </c>
      <c r="B9594">
        <v>1080785</v>
      </c>
      <c r="C9594" s="32">
        <v>43072.326909722222</v>
      </c>
    </row>
    <row r="9595" spans="1:3">
      <c r="A9595">
        <v>144623</v>
      </c>
      <c r="B9595">
        <v>883960</v>
      </c>
      <c r="C9595" s="32">
        <v>43070.219942129632</v>
      </c>
    </row>
    <row r="9596" spans="1:3">
      <c r="A9596">
        <v>949429</v>
      </c>
      <c r="B9596">
        <v>4145813</v>
      </c>
      <c r="C9596" s="32">
        <v>43070.605127314811</v>
      </c>
    </row>
    <row r="9597" spans="1:3">
      <c r="A9597">
        <v>728334</v>
      </c>
      <c r="B9597">
        <v>149192</v>
      </c>
      <c r="C9597" s="32">
        <v>43070.213275462964</v>
      </c>
    </row>
    <row r="9598" spans="1:3">
      <c r="A9598">
        <v>209502</v>
      </c>
      <c r="B9598">
        <v>2520377</v>
      </c>
      <c r="C9598" s="32">
        <v>43069.709745370368</v>
      </c>
    </row>
    <row r="9599" spans="1:3">
      <c r="A9599">
        <v>66149</v>
      </c>
      <c r="B9599">
        <v>1029459</v>
      </c>
      <c r="C9599" s="32">
        <v>43071.598101851851</v>
      </c>
    </row>
    <row r="9600" spans="1:3">
      <c r="A9600">
        <v>395180</v>
      </c>
      <c r="B9600">
        <v>982926</v>
      </c>
      <c r="C9600" s="32">
        <v>43072.574189814812</v>
      </c>
    </row>
    <row r="9601" spans="1:3">
      <c r="A9601">
        <v>550888</v>
      </c>
      <c r="B9601">
        <v>3002561</v>
      </c>
      <c r="C9601" s="32">
        <v>43070.408703703702</v>
      </c>
    </row>
    <row r="9602" spans="1:3">
      <c r="A9602">
        <v>453629</v>
      </c>
      <c r="B9602">
        <v>570735</v>
      </c>
      <c r="C9602" s="32">
        <v>43070.541342592594</v>
      </c>
    </row>
    <row r="9603" spans="1:3">
      <c r="A9603">
        <v>227293</v>
      </c>
      <c r="B9603">
        <v>4801426</v>
      </c>
      <c r="C9603" s="32">
        <v>43072.500277777777</v>
      </c>
    </row>
    <row r="9604" spans="1:3">
      <c r="A9604">
        <v>523073</v>
      </c>
      <c r="B9604">
        <v>4801426</v>
      </c>
      <c r="C9604" s="32">
        <v>43071.552939814814</v>
      </c>
    </row>
    <row r="9605" spans="1:3">
      <c r="A9605">
        <v>627499</v>
      </c>
      <c r="B9605">
        <v>922588</v>
      </c>
      <c r="C9605" s="32">
        <v>43072.248101851852</v>
      </c>
    </row>
    <row r="9606" spans="1:3">
      <c r="A9606">
        <v>651410</v>
      </c>
      <c r="B9606">
        <v>4217906</v>
      </c>
      <c r="C9606" s="32">
        <v>43072.624861111108</v>
      </c>
    </row>
    <row r="9607" spans="1:3">
      <c r="A9607">
        <v>610040</v>
      </c>
      <c r="B9607">
        <v>3081594</v>
      </c>
      <c r="C9607" s="32">
        <v>43071.6175</v>
      </c>
    </row>
    <row r="9608" spans="1:3">
      <c r="A9608">
        <v>1017485</v>
      </c>
      <c r="B9608">
        <v>722945</v>
      </c>
      <c r="C9608" s="32">
        <v>43070.523472222223</v>
      </c>
    </row>
    <row r="9609" spans="1:3">
      <c r="A9609">
        <v>173384</v>
      </c>
      <c r="B9609">
        <v>4163659</v>
      </c>
      <c r="C9609" s="32">
        <v>43070.136493055557</v>
      </c>
    </row>
    <row r="9610" spans="1:3">
      <c r="A9610">
        <v>125036</v>
      </c>
      <c r="B9610">
        <v>1029459</v>
      </c>
      <c r="C9610" s="32">
        <v>43069.996990740743</v>
      </c>
    </row>
    <row r="9611" spans="1:3">
      <c r="A9611">
        <v>775516</v>
      </c>
      <c r="B9611">
        <v>924708</v>
      </c>
      <c r="C9611" s="32">
        <v>43071.415648148148</v>
      </c>
    </row>
    <row r="9612" spans="1:3">
      <c r="A9612">
        <v>891641</v>
      </c>
      <c r="B9612">
        <v>1379146</v>
      </c>
      <c r="C9612" s="32">
        <v>43071.613298611112</v>
      </c>
    </row>
    <row r="9613" spans="1:3">
      <c r="A9613">
        <v>360999</v>
      </c>
      <c r="B9613">
        <v>4482419</v>
      </c>
      <c r="C9613" s="32">
        <v>43072.453159722223</v>
      </c>
    </row>
    <row r="9614" spans="1:3">
      <c r="A9614">
        <v>601737</v>
      </c>
      <c r="B9614">
        <v>4583884</v>
      </c>
      <c r="C9614" s="32">
        <v>43071.472500000003</v>
      </c>
    </row>
    <row r="9615" spans="1:3">
      <c r="A9615">
        <v>831459</v>
      </c>
      <c r="B9615">
        <v>2465336</v>
      </c>
      <c r="C9615" s="32">
        <v>43071.279976851853</v>
      </c>
    </row>
    <row r="9616" spans="1:3">
      <c r="A9616">
        <v>549042</v>
      </c>
      <c r="B9616">
        <v>3461823</v>
      </c>
      <c r="C9616" s="32">
        <v>43070.380555555559</v>
      </c>
    </row>
    <row r="9617" spans="1:3">
      <c r="A9617">
        <v>948183</v>
      </c>
      <c r="B9617">
        <v>2883724</v>
      </c>
      <c r="C9617" s="32">
        <v>43072.2034375</v>
      </c>
    </row>
    <row r="9618" spans="1:3">
      <c r="A9618">
        <v>769927</v>
      </c>
      <c r="B9618">
        <v>1548278</v>
      </c>
      <c r="C9618" s="32">
        <v>43071.71738425926</v>
      </c>
    </row>
    <row r="9619" spans="1:3">
      <c r="A9619">
        <v>817060</v>
      </c>
      <c r="B9619">
        <v>1288487</v>
      </c>
      <c r="C9619" s="32">
        <v>43070.540682870371</v>
      </c>
    </row>
    <row r="9620" spans="1:3">
      <c r="A9620">
        <v>821898</v>
      </c>
      <c r="B9620">
        <v>3607361</v>
      </c>
      <c r="C9620" s="32">
        <v>43071.64167824074</v>
      </c>
    </row>
    <row r="9621" spans="1:3">
      <c r="A9621">
        <v>920212</v>
      </c>
      <c r="B9621">
        <v>1349561</v>
      </c>
      <c r="C9621" s="32">
        <v>43071.137928240743</v>
      </c>
    </row>
    <row r="9622" spans="1:3">
      <c r="A9622">
        <v>699238</v>
      </c>
      <c r="B9622">
        <v>4181361</v>
      </c>
      <c r="C9622" s="32">
        <v>43070.698171296295</v>
      </c>
    </row>
    <row r="9623" spans="1:3">
      <c r="A9623">
        <v>574323</v>
      </c>
      <c r="B9623">
        <v>672001</v>
      </c>
      <c r="C9623" s="32">
        <v>43069.681967592594</v>
      </c>
    </row>
    <row r="9624" spans="1:3">
      <c r="A9624">
        <v>663937</v>
      </c>
      <c r="B9624">
        <v>4217906</v>
      </c>
      <c r="C9624" s="32">
        <v>43072.175416666665</v>
      </c>
    </row>
    <row r="9625" spans="1:3">
      <c r="A9625">
        <v>692551</v>
      </c>
      <c r="B9625">
        <v>1189158</v>
      </c>
      <c r="C9625" s="32">
        <v>43069.945902777778</v>
      </c>
    </row>
    <row r="9626" spans="1:3">
      <c r="A9626">
        <v>302250</v>
      </c>
      <c r="B9626">
        <v>4756105</v>
      </c>
      <c r="C9626" s="32">
        <v>43071.23128472222</v>
      </c>
    </row>
    <row r="9627" spans="1:3">
      <c r="A9627">
        <v>440616</v>
      </c>
      <c r="B9627">
        <v>3177877</v>
      </c>
      <c r="C9627" s="32">
        <v>43071.503067129626</v>
      </c>
    </row>
    <row r="9628" spans="1:3">
      <c r="A9628">
        <v>631773</v>
      </c>
      <c r="B9628">
        <v>982926</v>
      </c>
      <c r="C9628" s="32">
        <v>43070.798136574071</v>
      </c>
    </row>
    <row r="9629" spans="1:3">
      <c r="A9629">
        <v>116703</v>
      </c>
      <c r="B9629">
        <v>4217906</v>
      </c>
      <c r="C9629" s="32">
        <v>43072.14570601852</v>
      </c>
    </row>
    <row r="9630" spans="1:3">
      <c r="A9630">
        <v>521474</v>
      </c>
      <c r="B9630">
        <v>3430419</v>
      </c>
      <c r="C9630" s="32">
        <v>43072.653043981481</v>
      </c>
    </row>
    <row r="9631" spans="1:3">
      <c r="A9631">
        <v>931197</v>
      </c>
      <c r="B9631">
        <v>2352202</v>
      </c>
      <c r="C9631" s="32">
        <v>43072.608206018522</v>
      </c>
    </row>
    <row r="9632" spans="1:3">
      <c r="A9632">
        <v>827625</v>
      </c>
      <c r="B9632">
        <v>174239</v>
      </c>
      <c r="C9632" s="32">
        <v>43070.219872685186</v>
      </c>
    </row>
    <row r="9633" spans="1:3">
      <c r="A9633">
        <v>44231</v>
      </c>
      <c r="B9633">
        <v>181182</v>
      </c>
      <c r="C9633" s="32">
        <v>43071.341458333336</v>
      </c>
    </row>
    <row r="9634" spans="1:3">
      <c r="A9634">
        <v>678395</v>
      </c>
      <c r="B9634">
        <v>2479420</v>
      </c>
      <c r="C9634" s="32">
        <v>43071.520590277774</v>
      </c>
    </row>
    <row r="9635" spans="1:3">
      <c r="A9635">
        <v>340491</v>
      </c>
      <c r="B9635">
        <v>2885642</v>
      </c>
      <c r="C9635" s="32">
        <v>43071.182939814818</v>
      </c>
    </row>
    <row r="9636" spans="1:3">
      <c r="A9636">
        <v>380458</v>
      </c>
      <c r="B9636">
        <v>2982027</v>
      </c>
      <c r="C9636" s="32">
        <v>43071.543171296296</v>
      </c>
    </row>
    <row r="9637" spans="1:3">
      <c r="A9637">
        <v>868393</v>
      </c>
      <c r="B9637">
        <v>982926</v>
      </c>
      <c r="C9637" s="32">
        <v>43071.40353009259</v>
      </c>
    </row>
    <row r="9638" spans="1:3">
      <c r="A9638">
        <v>416079</v>
      </c>
      <c r="B9638">
        <v>149192</v>
      </c>
      <c r="C9638" s="32">
        <v>43070.723738425928</v>
      </c>
    </row>
    <row r="9639" spans="1:3">
      <c r="A9639">
        <v>195120</v>
      </c>
      <c r="B9639">
        <v>4379751</v>
      </c>
      <c r="C9639" s="32">
        <v>43071.649953703702</v>
      </c>
    </row>
    <row r="9640" spans="1:3">
      <c r="A9640">
        <v>350119</v>
      </c>
      <c r="B9640">
        <v>2885642</v>
      </c>
      <c r="C9640" s="32">
        <v>43071.266099537039</v>
      </c>
    </row>
    <row r="9641" spans="1:3">
      <c r="A9641">
        <v>427243</v>
      </c>
      <c r="B9641">
        <v>149192</v>
      </c>
      <c r="C9641" s="32">
        <v>43071.675081018519</v>
      </c>
    </row>
    <row r="9642" spans="1:3">
      <c r="A9642">
        <v>684588</v>
      </c>
      <c r="B9642">
        <v>4181361</v>
      </c>
      <c r="C9642" s="32">
        <v>43071.060613425929</v>
      </c>
    </row>
    <row r="9643" spans="1:3">
      <c r="A9643">
        <v>38788</v>
      </c>
      <c r="B9643">
        <v>941949</v>
      </c>
      <c r="C9643" s="32">
        <v>43070.365694444445</v>
      </c>
    </row>
    <row r="9644" spans="1:3">
      <c r="A9644">
        <v>237635</v>
      </c>
      <c r="B9644">
        <v>2939262</v>
      </c>
      <c r="C9644" s="32">
        <v>43070.721493055556</v>
      </c>
    </row>
    <row r="9645" spans="1:3">
      <c r="A9645">
        <v>307575</v>
      </c>
      <c r="B9645">
        <v>1265358</v>
      </c>
      <c r="C9645" s="32">
        <v>43071.364363425928</v>
      </c>
    </row>
    <row r="9646" spans="1:3">
      <c r="A9646">
        <v>859165</v>
      </c>
      <c r="B9646">
        <v>3607361</v>
      </c>
      <c r="C9646" s="32">
        <v>43071.202581018515</v>
      </c>
    </row>
    <row r="9647" spans="1:3">
      <c r="A9647">
        <v>956264</v>
      </c>
      <c r="B9647">
        <v>1884568</v>
      </c>
      <c r="C9647" s="32">
        <v>43072.620081018518</v>
      </c>
    </row>
    <row r="9648" spans="1:3">
      <c r="A9648">
        <v>510322</v>
      </c>
      <c r="B9648">
        <v>4612213</v>
      </c>
      <c r="C9648" s="32">
        <v>43070.592847222222</v>
      </c>
    </row>
    <row r="9649" spans="1:3">
      <c r="A9649">
        <v>636504</v>
      </c>
      <c r="B9649">
        <v>1320293</v>
      </c>
      <c r="C9649" s="32">
        <v>43071.50613425926</v>
      </c>
    </row>
    <row r="9650" spans="1:3">
      <c r="A9650">
        <v>987023</v>
      </c>
      <c r="B9650">
        <v>2640118</v>
      </c>
      <c r="C9650" s="32">
        <v>43070.650312500002</v>
      </c>
    </row>
    <row r="9651" spans="1:3">
      <c r="A9651">
        <v>99750</v>
      </c>
      <c r="B9651">
        <v>1320293</v>
      </c>
      <c r="C9651" s="32">
        <v>43070.992627314816</v>
      </c>
    </row>
    <row r="9652" spans="1:3">
      <c r="A9652">
        <v>551789</v>
      </c>
      <c r="B9652">
        <v>2520377</v>
      </c>
      <c r="C9652" s="32">
        <v>43071.463078703702</v>
      </c>
    </row>
    <row r="9653" spans="1:3">
      <c r="A9653">
        <v>1011430</v>
      </c>
      <c r="B9653">
        <v>2939262</v>
      </c>
      <c r="C9653" s="32">
        <v>43070.603437500002</v>
      </c>
    </row>
    <row r="9654" spans="1:3">
      <c r="A9654">
        <v>529258</v>
      </c>
      <c r="B9654">
        <v>791327</v>
      </c>
      <c r="C9654" s="32">
        <v>43072.532916666663</v>
      </c>
    </row>
    <row r="9655" spans="1:3">
      <c r="A9655">
        <v>574341</v>
      </c>
      <c r="B9655">
        <v>1722855</v>
      </c>
      <c r="C9655" s="32">
        <v>43072.544108796297</v>
      </c>
    </row>
    <row r="9656" spans="1:3">
      <c r="A9656">
        <v>42789</v>
      </c>
      <c r="B9656">
        <v>4181361</v>
      </c>
      <c r="C9656" s="32">
        <v>43071.552986111114</v>
      </c>
    </row>
    <row r="9657" spans="1:3">
      <c r="A9657">
        <v>446499</v>
      </c>
      <c r="B9657">
        <v>2982027</v>
      </c>
      <c r="C9657" s="32">
        <v>43072.576851851853</v>
      </c>
    </row>
    <row r="9658" spans="1:3">
      <c r="A9658">
        <v>637552</v>
      </c>
      <c r="B9658">
        <v>3790396</v>
      </c>
      <c r="C9658" s="32">
        <v>43071.636863425927</v>
      </c>
    </row>
    <row r="9659" spans="1:3">
      <c r="A9659">
        <v>712174</v>
      </c>
      <c r="B9659">
        <v>3189162</v>
      </c>
      <c r="C9659" s="32">
        <v>43071.18409722222</v>
      </c>
    </row>
    <row r="9660" spans="1:3">
      <c r="A9660">
        <v>837819</v>
      </c>
      <c r="B9660">
        <v>4789432</v>
      </c>
      <c r="C9660" s="32">
        <v>43070.233356481483</v>
      </c>
    </row>
    <row r="9661" spans="1:3">
      <c r="A9661">
        <v>40729</v>
      </c>
      <c r="B9661">
        <v>2256028</v>
      </c>
      <c r="C9661" s="32">
        <v>43070.477870370371</v>
      </c>
    </row>
    <row r="9662" spans="1:3">
      <c r="A9662">
        <v>792233</v>
      </c>
      <c r="B9662">
        <v>1338377</v>
      </c>
      <c r="C9662" s="32">
        <v>43070.446759259263</v>
      </c>
    </row>
    <row r="9663" spans="1:3">
      <c r="A9663">
        <v>216616</v>
      </c>
      <c r="B9663">
        <v>4901188</v>
      </c>
      <c r="C9663" s="32">
        <v>43071.529363425929</v>
      </c>
    </row>
    <row r="9664" spans="1:3">
      <c r="A9664">
        <v>483309</v>
      </c>
      <c r="B9664">
        <v>3738615</v>
      </c>
      <c r="C9664" s="32">
        <v>43071.597604166665</v>
      </c>
    </row>
    <row r="9665" spans="1:3">
      <c r="A9665">
        <v>827395</v>
      </c>
      <c r="B9665">
        <v>2293367</v>
      </c>
      <c r="C9665" s="32">
        <v>43070.647696759261</v>
      </c>
    </row>
    <row r="9666" spans="1:3">
      <c r="A9666">
        <v>522132</v>
      </c>
      <c r="B9666">
        <v>753984</v>
      </c>
      <c r="C9666" s="32">
        <v>43072.033101851855</v>
      </c>
    </row>
    <row r="9667" spans="1:3">
      <c r="A9667">
        <v>38576</v>
      </c>
      <c r="B9667">
        <v>3015852</v>
      </c>
      <c r="C9667" s="32">
        <v>43071.41300925926</v>
      </c>
    </row>
    <row r="9668" spans="1:3">
      <c r="A9668">
        <v>882448</v>
      </c>
      <c r="B9668">
        <v>4145813</v>
      </c>
      <c r="C9668" s="32">
        <v>43072.508680555555</v>
      </c>
    </row>
    <row r="9669" spans="1:3">
      <c r="A9669">
        <v>649243</v>
      </c>
      <c r="B9669">
        <v>2735466</v>
      </c>
      <c r="C9669" s="32">
        <v>43071.16170138889</v>
      </c>
    </row>
    <row r="9670" spans="1:3">
      <c r="A9670">
        <v>870644</v>
      </c>
      <c r="B9670">
        <v>3738615</v>
      </c>
      <c r="C9670" s="32">
        <v>43072.518414351849</v>
      </c>
    </row>
    <row r="9671" spans="1:3">
      <c r="A9671">
        <v>884819</v>
      </c>
      <c r="B9671">
        <v>569703</v>
      </c>
      <c r="C9671" s="32">
        <v>43071.241423611114</v>
      </c>
    </row>
    <row r="9672" spans="1:3">
      <c r="A9672">
        <v>118542</v>
      </c>
      <c r="B9672">
        <v>3962843</v>
      </c>
      <c r="C9672" s="32">
        <v>43072.586446759262</v>
      </c>
    </row>
    <row r="9673" spans="1:3">
      <c r="A9673">
        <v>351049</v>
      </c>
      <c r="B9673">
        <v>4756105</v>
      </c>
      <c r="C9673" s="32">
        <v>43072.098356481481</v>
      </c>
    </row>
    <row r="9674" spans="1:3">
      <c r="A9674">
        <v>605460</v>
      </c>
      <c r="B9674">
        <v>1850548</v>
      </c>
      <c r="C9674" s="32">
        <v>43070.428553240738</v>
      </c>
    </row>
    <row r="9675" spans="1:3">
      <c r="A9675">
        <v>271545</v>
      </c>
      <c r="B9675">
        <v>4462359</v>
      </c>
      <c r="C9675" s="32">
        <v>43070.557118055556</v>
      </c>
    </row>
    <row r="9676" spans="1:3">
      <c r="A9676">
        <v>566346</v>
      </c>
      <c r="B9676">
        <v>2939262</v>
      </c>
      <c r="C9676" s="32">
        <v>43070.197384259256</v>
      </c>
    </row>
    <row r="9677" spans="1:3">
      <c r="A9677">
        <v>712430</v>
      </c>
      <c r="B9677">
        <v>1080785</v>
      </c>
      <c r="C9677" s="32">
        <v>43070.360578703701</v>
      </c>
    </row>
    <row r="9678" spans="1:3">
      <c r="A9678">
        <v>751497</v>
      </c>
      <c r="B9678">
        <v>2154669</v>
      </c>
      <c r="C9678" s="32">
        <v>43071.978495370371</v>
      </c>
    </row>
    <row r="9679" spans="1:3">
      <c r="A9679">
        <v>753449</v>
      </c>
      <c r="B9679">
        <v>2129666</v>
      </c>
      <c r="C9679" s="32">
        <v>43072.51290509259</v>
      </c>
    </row>
    <row r="9680" spans="1:3">
      <c r="A9680">
        <v>144296</v>
      </c>
      <c r="B9680">
        <v>4170419</v>
      </c>
      <c r="C9680" s="32">
        <v>43071.110925925925</v>
      </c>
    </row>
    <row r="9681" spans="1:3">
      <c r="A9681">
        <v>49687</v>
      </c>
      <c r="B9681">
        <v>1299190</v>
      </c>
      <c r="C9681" s="32">
        <v>43071.435486111113</v>
      </c>
    </row>
    <row r="9682" spans="1:3">
      <c r="A9682">
        <v>529689</v>
      </c>
      <c r="B9682">
        <v>2640118</v>
      </c>
      <c r="C9682" s="32">
        <v>43071.629305555558</v>
      </c>
    </row>
    <row r="9683" spans="1:3">
      <c r="A9683">
        <v>770743</v>
      </c>
      <c r="B9683">
        <v>982926</v>
      </c>
      <c r="C9683" s="32">
        <v>43072.521215277775</v>
      </c>
    </row>
    <row r="9684" spans="1:3">
      <c r="A9684">
        <v>1015090</v>
      </c>
      <c r="B9684">
        <v>3209590</v>
      </c>
      <c r="C9684" s="32">
        <v>43072.449745370373</v>
      </c>
    </row>
    <row r="9685" spans="1:3">
      <c r="A9685">
        <v>166233</v>
      </c>
      <c r="B9685">
        <v>2520377</v>
      </c>
      <c r="C9685" s="32">
        <v>43071.567789351851</v>
      </c>
    </row>
    <row r="9686" spans="1:3">
      <c r="A9686">
        <v>528556</v>
      </c>
      <c r="B9686">
        <v>2217187</v>
      </c>
      <c r="C9686" s="32">
        <v>43072.310486111113</v>
      </c>
    </row>
    <row r="9687" spans="1:3">
      <c r="A9687">
        <v>755810</v>
      </c>
      <c r="B9687">
        <v>3607361</v>
      </c>
      <c r="C9687" s="32">
        <v>43071.722199074073</v>
      </c>
    </row>
    <row r="9688" spans="1:3">
      <c r="A9688">
        <v>89431</v>
      </c>
      <c r="B9688">
        <v>2640118</v>
      </c>
      <c r="C9688" s="32">
        <v>43071.238738425927</v>
      </c>
    </row>
    <row r="9689" spans="1:3">
      <c r="A9689">
        <v>382753</v>
      </c>
      <c r="B9689">
        <v>883960</v>
      </c>
      <c r="C9689" s="32">
        <v>43071.549884259257</v>
      </c>
    </row>
    <row r="9690" spans="1:3">
      <c r="A9690">
        <v>665191</v>
      </c>
      <c r="B9690">
        <v>4022701</v>
      </c>
      <c r="C9690" s="32">
        <v>43070.154270833336</v>
      </c>
    </row>
    <row r="9691" spans="1:3">
      <c r="A9691">
        <v>749847</v>
      </c>
      <c r="B9691">
        <v>3299155</v>
      </c>
      <c r="C9691" s="32">
        <v>43071.602800925924</v>
      </c>
    </row>
    <row r="9692" spans="1:3">
      <c r="A9692">
        <v>179076</v>
      </c>
      <c r="B9692">
        <v>4789432</v>
      </c>
      <c r="C9692" s="32">
        <v>43071.658356481479</v>
      </c>
    </row>
    <row r="9693" spans="1:3">
      <c r="A9693">
        <v>774368</v>
      </c>
      <c r="B9693">
        <v>2465336</v>
      </c>
      <c r="C9693" s="32">
        <v>43072.062060185184</v>
      </c>
    </row>
    <row r="9694" spans="1:3">
      <c r="A9694">
        <v>848327</v>
      </c>
      <c r="B9694">
        <v>4145813</v>
      </c>
      <c r="C9694" s="32">
        <v>43070.237233796295</v>
      </c>
    </row>
    <row r="9695" spans="1:3">
      <c r="A9695">
        <v>2593</v>
      </c>
      <c r="B9695">
        <v>4145813</v>
      </c>
      <c r="C9695" s="32">
        <v>43070.196782407409</v>
      </c>
    </row>
    <row r="9696" spans="1:3">
      <c r="A9696">
        <v>308808</v>
      </c>
      <c r="B9696">
        <v>4756105</v>
      </c>
      <c r="C9696" s="32">
        <v>43070.469305555554</v>
      </c>
    </row>
    <row r="9697" spans="1:3">
      <c r="A9697">
        <v>820212</v>
      </c>
      <c r="B9697">
        <v>3836451</v>
      </c>
      <c r="C9697" s="32">
        <v>43071.249988425923</v>
      </c>
    </row>
    <row r="9698" spans="1:3">
      <c r="A9698">
        <v>224509</v>
      </c>
      <c r="B9698">
        <v>2355072</v>
      </c>
      <c r="C9698" s="32">
        <v>43072.318576388891</v>
      </c>
    </row>
    <row r="9699" spans="1:3">
      <c r="A9699">
        <v>691317</v>
      </c>
      <c r="B9699">
        <v>1236409</v>
      </c>
      <c r="C9699" s="32">
        <v>43071.540798611109</v>
      </c>
    </row>
    <row r="9700" spans="1:3">
      <c r="A9700">
        <v>233472</v>
      </c>
      <c r="B9700">
        <v>2355072</v>
      </c>
      <c r="C9700" s="32">
        <v>43071.30128472222</v>
      </c>
    </row>
    <row r="9701" spans="1:3">
      <c r="A9701">
        <v>491194</v>
      </c>
      <c r="B9701">
        <v>2188684</v>
      </c>
      <c r="C9701" s="32">
        <v>43072.473287037035</v>
      </c>
    </row>
    <row r="9702" spans="1:3">
      <c r="A9702">
        <v>846478</v>
      </c>
      <c r="B9702">
        <v>3470850</v>
      </c>
      <c r="C9702" s="32">
        <v>43071.30363425926</v>
      </c>
    </row>
    <row r="9703" spans="1:3">
      <c r="A9703">
        <v>862149</v>
      </c>
      <c r="B9703">
        <v>4563628</v>
      </c>
      <c r="C9703" s="32">
        <v>43070.068298611113</v>
      </c>
    </row>
    <row r="9704" spans="1:3">
      <c r="A9704">
        <v>23451</v>
      </c>
      <c r="B9704">
        <v>2322253</v>
      </c>
      <c r="C9704" s="32">
        <v>43072.1325</v>
      </c>
    </row>
    <row r="9705" spans="1:3">
      <c r="A9705">
        <v>416160</v>
      </c>
      <c r="B9705">
        <v>3607361</v>
      </c>
      <c r="C9705" s="32">
        <v>43071.372175925928</v>
      </c>
    </row>
    <row r="9706" spans="1:3">
      <c r="A9706">
        <v>98505</v>
      </c>
      <c r="B9706">
        <v>3807763</v>
      </c>
      <c r="C9706" s="32">
        <v>43072.574571759258</v>
      </c>
    </row>
    <row r="9707" spans="1:3">
      <c r="A9707">
        <v>248926</v>
      </c>
      <c r="B9707">
        <v>4145813</v>
      </c>
      <c r="C9707" s="32">
        <v>43071.512141203704</v>
      </c>
    </row>
    <row r="9708" spans="1:3">
      <c r="A9708">
        <v>491499</v>
      </c>
      <c r="B9708">
        <v>3720767</v>
      </c>
      <c r="C9708" s="32">
        <v>43072.158217592594</v>
      </c>
    </row>
    <row r="9709" spans="1:3">
      <c r="A9709">
        <v>1013698</v>
      </c>
      <c r="B9709">
        <v>2920476</v>
      </c>
      <c r="C9709" s="32">
        <v>43070.679664351854</v>
      </c>
    </row>
    <row r="9710" spans="1:3">
      <c r="A9710">
        <v>1017481</v>
      </c>
      <c r="B9710">
        <v>4163659</v>
      </c>
      <c r="C9710" s="32">
        <v>43071.992152777777</v>
      </c>
    </row>
    <row r="9711" spans="1:3">
      <c r="A9711">
        <v>140119</v>
      </c>
      <c r="B9711">
        <v>4756105</v>
      </c>
      <c r="C9711" s="32">
        <v>43070.588206018518</v>
      </c>
    </row>
    <row r="9712" spans="1:3">
      <c r="A9712">
        <v>536431</v>
      </c>
      <c r="B9712">
        <v>1879194</v>
      </c>
      <c r="C9712" s="32">
        <v>43072.528796296298</v>
      </c>
    </row>
    <row r="9713" spans="1:3">
      <c r="A9713">
        <v>218679</v>
      </c>
      <c r="B9713">
        <v>3598912</v>
      </c>
      <c r="C9713" s="32">
        <v>43071.55678240741</v>
      </c>
    </row>
    <row r="9714" spans="1:3">
      <c r="A9714">
        <v>239274</v>
      </c>
      <c r="B9714">
        <v>4217906</v>
      </c>
      <c r="C9714" s="32">
        <v>43070.497708333336</v>
      </c>
    </row>
    <row r="9715" spans="1:3">
      <c r="A9715">
        <v>19911</v>
      </c>
      <c r="B9715">
        <v>2465336</v>
      </c>
      <c r="C9715" s="32">
        <v>43072.324930555558</v>
      </c>
    </row>
    <row r="9716" spans="1:3">
      <c r="A9716">
        <v>337941</v>
      </c>
      <c r="B9716">
        <v>2735466</v>
      </c>
      <c r="C9716" s="32">
        <v>43070.527326388888</v>
      </c>
    </row>
    <row r="9717" spans="1:3">
      <c r="A9717">
        <v>261832</v>
      </c>
      <c r="B9717">
        <v>1349561</v>
      </c>
      <c r="C9717" s="32">
        <v>43070.611006944448</v>
      </c>
    </row>
    <row r="9718" spans="1:3">
      <c r="A9718">
        <v>455244</v>
      </c>
      <c r="B9718">
        <v>4145813</v>
      </c>
      <c r="C9718" s="32">
        <v>43071.086481481485</v>
      </c>
    </row>
    <row r="9719" spans="1:3">
      <c r="A9719">
        <v>791469</v>
      </c>
      <c r="B9719">
        <v>3607361</v>
      </c>
      <c r="C9719" s="32">
        <v>43070.164884259262</v>
      </c>
    </row>
    <row r="9720" spans="1:3">
      <c r="A9720">
        <v>19379</v>
      </c>
      <c r="B9720">
        <v>4145813</v>
      </c>
      <c r="C9720" s="32">
        <v>43072.074699074074</v>
      </c>
    </row>
    <row r="9721" spans="1:3">
      <c r="A9721">
        <v>156136</v>
      </c>
      <c r="B9721">
        <v>3087458</v>
      </c>
      <c r="C9721" s="32">
        <v>43072.555520833332</v>
      </c>
    </row>
    <row r="9722" spans="1:3">
      <c r="A9722">
        <v>899578</v>
      </c>
      <c r="B9722">
        <v>2885642</v>
      </c>
      <c r="C9722" s="32">
        <v>43071.640474537038</v>
      </c>
    </row>
    <row r="9723" spans="1:3">
      <c r="A9723">
        <v>909869</v>
      </c>
      <c r="B9723">
        <v>3002561</v>
      </c>
      <c r="C9723" s="32">
        <v>43071.663599537038</v>
      </c>
    </row>
    <row r="9724" spans="1:3">
      <c r="A9724">
        <v>799183</v>
      </c>
      <c r="B9724">
        <v>4756105</v>
      </c>
      <c r="C9724" s="32">
        <v>43071.588090277779</v>
      </c>
    </row>
    <row r="9725" spans="1:3">
      <c r="A9725">
        <v>926677</v>
      </c>
      <c r="B9725">
        <v>4217906</v>
      </c>
      <c r="C9725" s="32">
        <v>43071.661412037036</v>
      </c>
    </row>
    <row r="9726" spans="1:3">
      <c r="A9726">
        <v>395743</v>
      </c>
      <c r="B9726">
        <v>4145813</v>
      </c>
      <c r="C9726" s="32">
        <v>43070.721261574072</v>
      </c>
    </row>
    <row r="9727" spans="1:3">
      <c r="A9727">
        <v>610924</v>
      </c>
      <c r="B9727">
        <v>1629035</v>
      </c>
      <c r="C9727" s="32">
        <v>43070.244247685187</v>
      </c>
    </row>
    <row r="9728" spans="1:3">
      <c r="A9728">
        <v>236230</v>
      </c>
      <c r="B9728">
        <v>4181361</v>
      </c>
      <c r="C9728" s="32">
        <v>43071.511412037034</v>
      </c>
    </row>
    <row r="9729" spans="1:3">
      <c r="A9729">
        <v>171978</v>
      </c>
      <c r="B9729">
        <v>3189162</v>
      </c>
      <c r="C9729" s="32">
        <v>43072.571192129632</v>
      </c>
    </row>
    <row r="9730" spans="1:3">
      <c r="A9730">
        <v>398508</v>
      </c>
      <c r="B9730">
        <v>570735</v>
      </c>
      <c r="C9730" s="32">
        <v>43070.531585648147</v>
      </c>
    </row>
    <row r="9731" spans="1:3">
      <c r="A9731">
        <v>463368</v>
      </c>
      <c r="B9731">
        <v>3607361</v>
      </c>
      <c r="C9731" s="32">
        <v>43069.932256944441</v>
      </c>
    </row>
    <row r="9732" spans="1:3">
      <c r="A9732">
        <v>746846</v>
      </c>
      <c r="B9732">
        <v>4357323</v>
      </c>
      <c r="C9732" s="32">
        <v>43071.562465277777</v>
      </c>
    </row>
    <row r="9733" spans="1:3">
      <c r="A9733">
        <v>230075</v>
      </c>
      <c r="B9733">
        <v>1320293</v>
      </c>
      <c r="C9733" s="32">
        <v>43071.138148148151</v>
      </c>
    </row>
    <row r="9734" spans="1:3">
      <c r="A9734">
        <v>530752</v>
      </c>
      <c r="B9734">
        <v>1349561</v>
      </c>
      <c r="C9734" s="32">
        <v>43071.630162037036</v>
      </c>
    </row>
    <row r="9735" spans="1:3">
      <c r="A9735">
        <v>1001693</v>
      </c>
      <c r="B9735">
        <v>5071267</v>
      </c>
      <c r="C9735" s="32">
        <v>43071.644930555558</v>
      </c>
    </row>
    <row r="9736" spans="1:3">
      <c r="A9736">
        <v>442371</v>
      </c>
      <c r="B9736">
        <v>4756105</v>
      </c>
      <c r="C9736" s="32">
        <v>43070.434560185182</v>
      </c>
    </row>
    <row r="9737" spans="1:3">
      <c r="A9737">
        <v>180794</v>
      </c>
      <c r="B9737">
        <v>411153</v>
      </c>
      <c r="C9737" s="32">
        <v>43070.527141203704</v>
      </c>
    </row>
    <row r="9738" spans="1:3">
      <c r="A9738">
        <v>78203</v>
      </c>
      <c r="B9738">
        <v>2982027</v>
      </c>
      <c r="C9738" s="32">
        <v>43071.65388888889</v>
      </c>
    </row>
    <row r="9739" spans="1:3">
      <c r="A9739">
        <v>124528</v>
      </c>
      <c r="B9739">
        <v>2355072</v>
      </c>
      <c r="C9739" s="32">
        <v>43071.235775462963</v>
      </c>
    </row>
    <row r="9740" spans="1:3">
      <c r="A9740">
        <v>198952</v>
      </c>
      <c r="B9740">
        <v>4756105</v>
      </c>
      <c r="C9740" s="32">
        <v>43072.65121527778</v>
      </c>
    </row>
    <row r="9741" spans="1:3">
      <c r="A9741">
        <v>449575</v>
      </c>
      <c r="B9741">
        <v>72526</v>
      </c>
      <c r="C9741" s="32">
        <v>43072.621863425928</v>
      </c>
    </row>
    <row r="9742" spans="1:3">
      <c r="A9742">
        <v>249769</v>
      </c>
      <c r="B9742">
        <v>4301450</v>
      </c>
      <c r="C9742" s="32">
        <v>43071.112314814818</v>
      </c>
    </row>
    <row r="9743" spans="1:3">
      <c r="A9743">
        <v>128487</v>
      </c>
      <c r="B9743">
        <v>1379146</v>
      </c>
      <c r="C9743" s="32">
        <v>43071.206192129626</v>
      </c>
    </row>
    <row r="9744" spans="1:3">
      <c r="A9744">
        <v>566731</v>
      </c>
      <c r="B9744">
        <v>4558987</v>
      </c>
      <c r="C9744" s="32">
        <v>43071.053055555552</v>
      </c>
    </row>
    <row r="9745" spans="1:3">
      <c r="A9745">
        <v>791672</v>
      </c>
      <c r="B9745">
        <v>235534</v>
      </c>
      <c r="C9745" s="32">
        <v>43071.034953703704</v>
      </c>
    </row>
    <row r="9746" spans="1:3">
      <c r="A9746">
        <v>732977</v>
      </c>
      <c r="B9746">
        <v>3065645</v>
      </c>
      <c r="C9746" s="32">
        <v>43072.59952546296</v>
      </c>
    </row>
    <row r="9747" spans="1:3">
      <c r="A9747">
        <v>302710</v>
      </c>
      <c r="B9747">
        <v>940822</v>
      </c>
      <c r="C9747" s="32">
        <v>43072.279942129629</v>
      </c>
    </row>
    <row r="9748" spans="1:3">
      <c r="A9748">
        <v>282209</v>
      </c>
      <c r="B9748">
        <v>1464116</v>
      </c>
      <c r="C9748" s="32">
        <v>43071.735092592593</v>
      </c>
    </row>
    <row r="9749" spans="1:3">
      <c r="A9749">
        <v>995781</v>
      </c>
      <c r="B9749">
        <v>4789432</v>
      </c>
      <c r="C9749" s="32">
        <v>43070.662499999999</v>
      </c>
    </row>
    <row r="9750" spans="1:3">
      <c r="A9750">
        <v>758627</v>
      </c>
      <c r="B9750">
        <v>4127459</v>
      </c>
      <c r="C9750" s="32">
        <v>43071.619212962964</v>
      </c>
    </row>
    <row r="9751" spans="1:3">
      <c r="A9751">
        <v>36840</v>
      </c>
      <c r="B9751">
        <v>3160926</v>
      </c>
      <c r="C9751" s="32">
        <v>43072.442245370374</v>
      </c>
    </row>
    <row r="9752" spans="1:3">
      <c r="A9752">
        <v>699006</v>
      </c>
      <c r="B9752">
        <v>4756105</v>
      </c>
      <c r="C9752" s="32">
        <v>43071.991423611114</v>
      </c>
    </row>
    <row r="9753" spans="1:3">
      <c r="A9753">
        <v>367764</v>
      </c>
      <c r="B9753">
        <v>965809</v>
      </c>
      <c r="C9753" s="32">
        <v>43072.287743055553</v>
      </c>
    </row>
    <row r="9754" spans="1:3">
      <c r="A9754">
        <v>109079</v>
      </c>
      <c r="B9754">
        <v>2520377</v>
      </c>
      <c r="C9754" s="32">
        <v>43072.620462962965</v>
      </c>
    </row>
    <row r="9755" spans="1:3">
      <c r="A9755">
        <v>206780</v>
      </c>
      <c r="B9755">
        <v>387302</v>
      </c>
      <c r="C9755" s="32">
        <v>43070.64298611111</v>
      </c>
    </row>
    <row r="9756" spans="1:3">
      <c r="A9756">
        <v>950676</v>
      </c>
      <c r="B9756">
        <v>2748804</v>
      </c>
      <c r="C9756" s="32">
        <v>43072.592418981483</v>
      </c>
    </row>
    <row r="9757" spans="1:3">
      <c r="A9757">
        <v>752380</v>
      </c>
      <c r="B9757">
        <v>3645362</v>
      </c>
      <c r="C9757" s="32">
        <v>43070.508796296293</v>
      </c>
    </row>
    <row r="9758" spans="1:3">
      <c r="A9758">
        <v>412907</v>
      </c>
      <c r="B9758">
        <v>965809</v>
      </c>
      <c r="C9758" s="32">
        <v>43072.57508101852</v>
      </c>
    </row>
    <row r="9759" spans="1:3">
      <c r="A9759">
        <v>856303</v>
      </c>
      <c r="B9759">
        <v>4145813</v>
      </c>
      <c r="C9759" s="32">
        <v>43071.163321759261</v>
      </c>
    </row>
    <row r="9760" spans="1:3">
      <c r="A9760">
        <v>771374</v>
      </c>
      <c r="B9760">
        <v>1397912</v>
      </c>
      <c r="C9760" s="32">
        <v>43072.562361111108</v>
      </c>
    </row>
    <row r="9761" spans="1:3">
      <c r="A9761">
        <v>841295</v>
      </c>
      <c r="B9761">
        <v>3738615</v>
      </c>
      <c r="C9761" s="32">
        <v>43071.550497685188</v>
      </c>
    </row>
    <row r="9762" spans="1:3">
      <c r="A9762">
        <v>913607</v>
      </c>
      <c r="B9762">
        <v>903809</v>
      </c>
      <c r="C9762" s="32">
        <v>43072.626446759263</v>
      </c>
    </row>
    <row r="9763" spans="1:3">
      <c r="A9763">
        <v>665798</v>
      </c>
      <c r="B9763">
        <v>3455617</v>
      </c>
      <c r="C9763" s="32">
        <v>43071.18681712963</v>
      </c>
    </row>
    <row r="9764" spans="1:3">
      <c r="A9764">
        <v>106433</v>
      </c>
      <c r="B9764">
        <v>4756105</v>
      </c>
      <c r="C9764" s="32">
        <v>43070.144201388888</v>
      </c>
    </row>
    <row r="9765" spans="1:3">
      <c r="A9765">
        <v>305769</v>
      </c>
      <c r="B9765">
        <v>2940518</v>
      </c>
      <c r="C9765" s="32">
        <v>43072.250625000001</v>
      </c>
    </row>
    <row r="9766" spans="1:3">
      <c r="A9766">
        <v>905116</v>
      </c>
      <c r="B9766">
        <v>2465336</v>
      </c>
      <c r="C9766" s="32">
        <v>43070.083472222221</v>
      </c>
    </row>
    <row r="9767" spans="1:3">
      <c r="A9767">
        <v>797419</v>
      </c>
      <c r="B9767">
        <v>4282670</v>
      </c>
      <c r="C9767" s="32">
        <v>43072.270983796298</v>
      </c>
    </row>
    <row r="9768" spans="1:3">
      <c r="A9768">
        <v>179471</v>
      </c>
      <c r="B9768">
        <v>2885642</v>
      </c>
      <c r="C9768" s="32">
        <v>43071.481111111112</v>
      </c>
    </row>
    <row r="9769" spans="1:3">
      <c r="A9769">
        <v>7618</v>
      </c>
      <c r="B9769">
        <v>1792277</v>
      </c>
      <c r="C9769" s="32">
        <v>43072.508819444447</v>
      </c>
    </row>
    <row r="9770" spans="1:3">
      <c r="A9770">
        <v>846967</v>
      </c>
      <c r="B9770">
        <v>2131531</v>
      </c>
      <c r="C9770" s="32">
        <v>43071.492280092592</v>
      </c>
    </row>
    <row r="9771" spans="1:3">
      <c r="A9771">
        <v>857630</v>
      </c>
      <c r="B9771">
        <v>3924783</v>
      </c>
      <c r="C9771" s="32">
        <v>43071.204236111109</v>
      </c>
    </row>
    <row r="9772" spans="1:3">
      <c r="A9772">
        <v>19206</v>
      </c>
      <c r="B9772">
        <v>3681810</v>
      </c>
      <c r="C9772" s="32">
        <v>43072.171388888892</v>
      </c>
    </row>
    <row r="9773" spans="1:3">
      <c r="A9773">
        <v>558933</v>
      </c>
      <c r="B9773">
        <v>1888306</v>
      </c>
      <c r="C9773" s="32">
        <v>43072.091805555552</v>
      </c>
    </row>
    <row r="9774" spans="1:3">
      <c r="A9774">
        <v>66608</v>
      </c>
      <c r="B9774">
        <v>750949</v>
      </c>
      <c r="C9774" s="32">
        <v>43071.607534722221</v>
      </c>
    </row>
    <row r="9775" spans="1:3">
      <c r="A9775">
        <v>395743</v>
      </c>
      <c r="B9775">
        <v>3002561</v>
      </c>
      <c r="C9775" s="32">
        <v>43070.705914351849</v>
      </c>
    </row>
    <row r="9776" spans="1:3">
      <c r="A9776">
        <v>55725</v>
      </c>
      <c r="B9776">
        <v>4449178</v>
      </c>
      <c r="C9776" s="32">
        <v>43070.614166666666</v>
      </c>
    </row>
    <row r="9777" spans="1:3">
      <c r="A9777">
        <v>932322</v>
      </c>
      <c r="B9777">
        <v>4238377</v>
      </c>
      <c r="C9777" s="32">
        <v>43070.492349537039</v>
      </c>
    </row>
    <row r="9778" spans="1:3">
      <c r="A9778">
        <v>198603</v>
      </c>
      <c r="B9778">
        <v>4145813</v>
      </c>
      <c r="C9778" s="32">
        <v>43070.533865740741</v>
      </c>
    </row>
    <row r="9779" spans="1:3">
      <c r="A9779">
        <v>213163</v>
      </c>
      <c r="B9779">
        <v>2520377</v>
      </c>
      <c r="C9779" s="32">
        <v>43072.561620370368</v>
      </c>
    </row>
    <row r="9780" spans="1:3">
      <c r="A9780">
        <v>273091</v>
      </c>
      <c r="B9780">
        <v>2945933</v>
      </c>
      <c r="C9780" s="32">
        <v>43071.645381944443</v>
      </c>
    </row>
    <row r="9781" spans="1:3">
      <c r="A9781">
        <v>67866</v>
      </c>
      <c r="B9781">
        <v>2939262</v>
      </c>
      <c r="C9781" s="32">
        <v>43072.535196759258</v>
      </c>
    </row>
    <row r="9782" spans="1:3">
      <c r="A9782">
        <v>737267</v>
      </c>
      <c r="B9782">
        <v>1312642</v>
      </c>
      <c r="C9782" s="32">
        <v>43070.551550925928</v>
      </c>
    </row>
    <row r="9783" spans="1:3">
      <c r="A9783">
        <v>377962</v>
      </c>
      <c r="B9783">
        <v>4145813</v>
      </c>
      <c r="C9783" s="32">
        <v>43070.973981481482</v>
      </c>
    </row>
    <row r="9784" spans="1:3">
      <c r="A9784">
        <v>630678</v>
      </c>
      <c r="B9784">
        <v>4181361</v>
      </c>
      <c r="C9784" s="32">
        <v>43071.885231481479</v>
      </c>
    </row>
    <row r="9785" spans="1:3">
      <c r="A9785">
        <v>62544</v>
      </c>
      <c r="B9785">
        <v>4756105</v>
      </c>
      <c r="C9785" s="32">
        <v>43071.252071759256</v>
      </c>
    </row>
    <row r="9786" spans="1:3">
      <c r="A9786">
        <v>477738</v>
      </c>
      <c r="B9786">
        <v>4606718</v>
      </c>
      <c r="C9786" s="32">
        <v>43072.575358796297</v>
      </c>
    </row>
    <row r="9787" spans="1:3">
      <c r="A9787">
        <v>959025</v>
      </c>
      <c r="B9787">
        <v>2736436</v>
      </c>
      <c r="C9787" s="32">
        <v>43069.697453703702</v>
      </c>
    </row>
    <row r="9788" spans="1:3">
      <c r="A9788">
        <v>18861</v>
      </c>
      <c r="B9788">
        <v>4801426</v>
      </c>
      <c r="C9788" s="32">
        <v>43071.187824074077</v>
      </c>
    </row>
    <row r="9789" spans="1:3">
      <c r="A9789">
        <v>705696</v>
      </c>
      <c r="B9789">
        <v>749692</v>
      </c>
      <c r="C9789" s="32">
        <v>43072.630648148152</v>
      </c>
    </row>
    <row r="9790" spans="1:3">
      <c r="A9790">
        <v>818467</v>
      </c>
      <c r="B9790">
        <v>4848899</v>
      </c>
      <c r="C9790" s="32">
        <v>43072.53224537037</v>
      </c>
    </row>
    <row r="9791" spans="1:3">
      <c r="A9791">
        <v>910421</v>
      </c>
      <c r="B9791">
        <v>2558244</v>
      </c>
      <c r="C9791" s="32">
        <v>43071.034907407404</v>
      </c>
    </row>
    <row r="9792" spans="1:3">
      <c r="A9792">
        <v>635914</v>
      </c>
      <c r="B9792">
        <v>4170419</v>
      </c>
      <c r="C9792" s="32">
        <v>43070.269421296296</v>
      </c>
    </row>
    <row r="9793" spans="1:3">
      <c r="A9793">
        <v>946570</v>
      </c>
      <c r="B9793">
        <v>3371868</v>
      </c>
      <c r="C9793" s="32">
        <v>43070.315405092595</v>
      </c>
    </row>
    <row r="9794" spans="1:3">
      <c r="A9794">
        <v>517295</v>
      </c>
      <c r="B9794">
        <v>4589142</v>
      </c>
      <c r="C9794" s="32">
        <v>43070.270381944443</v>
      </c>
    </row>
    <row r="9795" spans="1:3">
      <c r="A9795">
        <v>448038</v>
      </c>
      <c r="B9795">
        <v>3407883</v>
      </c>
      <c r="C9795" s="32">
        <v>43071.00240740741</v>
      </c>
    </row>
    <row r="9796" spans="1:3">
      <c r="A9796">
        <v>385650</v>
      </c>
      <c r="B9796">
        <v>2735466</v>
      </c>
      <c r="C9796" s="32">
        <v>43070.51939814815</v>
      </c>
    </row>
    <row r="9797" spans="1:3">
      <c r="A9797">
        <v>534157</v>
      </c>
      <c r="B9797">
        <v>3787157</v>
      </c>
      <c r="C9797" s="32">
        <v>43070.968981481485</v>
      </c>
    </row>
    <row r="9798" spans="1:3">
      <c r="A9798">
        <v>220419</v>
      </c>
      <c r="B9798">
        <v>3607361</v>
      </c>
      <c r="C9798" s="32">
        <v>43072.325266203705</v>
      </c>
    </row>
    <row r="9799" spans="1:3">
      <c r="A9799">
        <v>469948</v>
      </c>
      <c r="B9799">
        <v>4244487</v>
      </c>
      <c r="C9799" s="32">
        <v>43070.147511574076</v>
      </c>
    </row>
    <row r="9800" spans="1:3">
      <c r="A9800">
        <v>599794</v>
      </c>
      <c r="B9800">
        <v>883960</v>
      </c>
      <c r="C9800" s="32">
        <v>43071.62358796296</v>
      </c>
    </row>
    <row r="9801" spans="1:3">
      <c r="A9801">
        <v>335626</v>
      </c>
      <c r="B9801">
        <v>903809</v>
      </c>
      <c r="C9801" s="32">
        <v>43072.363865740743</v>
      </c>
    </row>
    <row r="9802" spans="1:3">
      <c r="A9802">
        <v>761316</v>
      </c>
      <c r="B9802">
        <v>2520377</v>
      </c>
      <c r="C9802" s="32">
        <v>43071.026979166665</v>
      </c>
    </row>
    <row r="9803" spans="1:3">
      <c r="A9803">
        <v>753812</v>
      </c>
      <c r="B9803">
        <v>4048584</v>
      </c>
      <c r="C9803" s="32">
        <v>43071.570439814815</v>
      </c>
    </row>
    <row r="9804" spans="1:3">
      <c r="A9804">
        <v>615443</v>
      </c>
      <c r="B9804">
        <v>3681810</v>
      </c>
      <c r="C9804" s="32">
        <v>43071.068402777775</v>
      </c>
    </row>
    <row r="9805" spans="1:3">
      <c r="A9805">
        <v>135623</v>
      </c>
      <c r="B9805">
        <v>4690421</v>
      </c>
      <c r="C9805" s="32">
        <v>43070.870636574073</v>
      </c>
    </row>
    <row r="9806" spans="1:3">
      <c r="A9806">
        <v>559007</v>
      </c>
      <c r="B9806">
        <v>2640118</v>
      </c>
      <c r="C9806" s="32">
        <v>43071.403657407405</v>
      </c>
    </row>
    <row r="9807" spans="1:3">
      <c r="A9807">
        <v>323182</v>
      </c>
      <c r="B9807">
        <v>4357323</v>
      </c>
      <c r="C9807" s="32">
        <v>43070.531342592592</v>
      </c>
    </row>
    <row r="9808" spans="1:3">
      <c r="A9808">
        <v>577500</v>
      </c>
      <c r="B9808">
        <v>4159072</v>
      </c>
      <c r="C9808" s="32">
        <v>43072.20584490741</v>
      </c>
    </row>
    <row r="9809" spans="1:3">
      <c r="A9809">
        <v>68905</v>
      </c>
      <c r="B9809">
        <v>2465336</v>
      </c>
      <c r="C9809" s="32">
        <v>43070.640104166669</v>
      </c>
    </row>
    <row r="9810" spans="1:3">
      <c r="A9810">
        <v>484586</v>
      </c>
      <c r="B9810">
        <v>4756105</v>
      </c>
      <c r="C9810" s="32">
        <v>43072.217175925929</v>
      </c>
    </row>
    <row r="9811" spans="1:3">
      <c r="A9811">
        <v>240371</v>
      </c>
      <c r="B9811">
        <v>2131531</v>
      </c>
      <c r="C9811" s="32">
        <v>43071.606446759259</v>
      </c>
    </row>
    <row r="9812" spans="1:3">
      <c r="A9812">
        <v>428619</v>
      </c>
      <c r="B9812">
        <v>1575622</v>
      </c>
      <c r="C9812" s="32">
        <v>43070.631840277776</v>
      </c>
    </row>
    <row r="9813" spans="1:3">
      <c r="A9813">
        <v>708866</v>
      </c>
      <c r="B9813">
        <v>344833</v>
      </c>
      <c r="C9813" s="32">
        <v>43071.139120370368</v>
      </c>
    </row>
    <row r="9814" spans="1:3">
      <c r="A9814">
        <v>665193</v>
      </c>
      <c r="B9814">
        <v>5007081</v>
      </c>
      <c r="C9814" s="32">
        <v>43070.637939814813</v>
      </c>
    </row>
    <row r="9815" spans="1:3">
      <c r="A9815">
        <v>100331</v>
      </c>
      <c r="B9815">
        <v>4756105</v>
      </c>
      <c r="C9815" s="32">
        <v>43071.459618055553</v>
      </c>
    </row>
    <row r="9816" spans="1:3">
      <c r="A9816">
        <v>407089</v>
      </c>
      <c r="B9816">
        <v>4801426</v>
      </c>
      <c r="C9816" s="32">
        <v>43070.641134259262</v>
      </c>
    </row>
    <row r="9817" spans="1:3">
      <c r="A9817">
        <v>556032</v>
      </c>
      <c r="B9817">
        <v>344833</v>
      </c>
      <c r="C9817" s="32">
        <v>43070.934016203704</v>
      </c>
    </row>
    <row r="9818" spans="1:3">
      <c r="A9818">
        <v>10543</v>
      </c>
      <c r="B9818">
        <v>3607361</v>
      </c>
      <c r="C9818" s="32">
        <v>43070.580370370371</v>
      </c>
    </row>
    <row r="9819" spans="1:3">
      <c r="A9819">
        <v>877649</v>
      </c>
      <c r="B9819">
        <v>285583</v>
      </c>
      <c r="C9819" s="32">
        <v>43069.997847222221</v>
      </c>
    </row>
    <row r="9820" spans="1:3">
      <c r="A9820">
        <v>576690</v>
      </c>
      <c r="B9820">
        <v>1051370</v>
      </c>
      <c r="C9820" s="32">
        <v>43072.454525462963</v>
      </c>
    </row>
    <row r="9821" spans="1:3">
      <c r="A9821">
        <v>717386</v>
      </c>
      <c r="B9821">
        <v>876318</v>
      </c>
      <c r="C9821" s="32">
        <v>43070.067719907405</v>
      </c>
    </row>
    <row r="9822" spans="1:3">
      <c r="A9822">
        <v>107729</v>
      </c>
      <c r="B9822">
        <v>4643350</v>
      </c>
      <c r="C9822" s="32">
        <v>43072.517581018517</v>
      </c>
    </row>
    <row r="9823" spans="1:3">
      <c r="A9823">
        <v>317119</v>
      </c>
      <c r="B9823">
        <v>3607361</v>
      </c>
      <c r="C9823" s="32">
        <v>43072.163344907407</v>
      </c>
    </row>
    <row r="9824" spans="1:3">
      <c r="A9824">
        <v>597972</v>
      </c>
      <c r="B9824">
        <v>4181361</v>
      </c>
      <c r="C9824" s="32">
        <v>43070.641585648147</v>
      </c>
    </row>
    <row r="9825" spans="1:3">
      <c r="A9825">
        <v>478259</v>
      </c>
      <c r="B9825">
        <v>4643350</v>
      </c>
      <c r="C9825" s="32">
        <v>43071.226423611108</v>
      </c>
    </row>
    <row r="9826" spans="1:3">
      <c r="A9826">
        <v>276225</v>
      </c>
      <c r="B9826">
        <v>982926</v>
      </c>
      <c r="C9826" s="32">
        <v>43072.595937500002</v>
      </c>
    </row>
    <row r="9827" spans="1:3">
      <c r="A9827">
        <v>713515</v>
      </c>
      <c r="B9827">
        <v>4801426</v>
      </c>
      <c r="C9827" s="32">
        <v>43072.150300925925</v>
      </c>
    </row>
    <row r="9828" spans="1:3">
      <c r="A9828">
        <v>615498</v>
      </c>
      <c r="B9828">
        <v>2885642</v>
      </c>
      <c r="C9828" s="32">
        <v>43071.515381944446</v>
      </c>
    </row>
    <row r="9829" spans="1:3">
      <c r="A9829">
        <v>294148</v>
      </c>
      <c r="B9829">
        <v>1575622</v>
      </c>
      <c r="C9829" s="32">
        <v>43070.576041666667</v>
      </c>
    </row>
    <row r="9830" spans="1:3">
      <c r="A9830">
        <v>337207</v>
      </c>
      <c r="B9830">
        <v>957119</v>
      </c>
      <c r="C9830" s="32">
        <v>43070.569212962961</v>
      </c>
    </row>
    <row r="9831" spans="1:3">
      <c r="A9831">
        <v>58268</v>
      </c>
      <c r="B9831">
        <v>4756105</v>
      </c>
      <c r="C9831" s="32">
        <v>43071.560081018521</v>
      </c>
    </row>
    <row r="9832" spans="1:3">
      <c r="A9832">
        <v>886493</v>
      </c>
      <c r="B9832">
        <v>1320293</v>
      </c>
      <c r="C9832" s="32">
        <v>43072.611678240741</v>
      </c>
    </row>
    <row r="9833" spans="1:3">
      <c r="A9833">
        <v>836633</v>
      </c>
      <c r="B9833">
        <v>2355072</v>
      </c>
      <c r="C9833" s="32">
        <v>43070.638622685183</v>
      </c>
    </row>
    <row r="9834" spans="1:3">
      <c r="A9834">
        <v>222474</v>
      </c>
      <c r="B9834">
        <v>2131531</v>
      </c>
      <c r="C9834" s="32">
        <v>43070.261655092596</v>
      </c>
    </row>
    <row r="9835" spans="1:3">
      <c r="A9835">
        <v>159892</v>
      </c>
      <c r="B9835">
        <v>4217906</v>
      </c>
      <c r="C9835" s="32">
        <v>43070.516261574077</v>
      </c>
    </row>
    <row r="9836" spans="1:3">
      <c r="A9836">
        <v>932789</v>
      </c>
      <c r="B9836">
        <v>1080785</v>
      </c>
      <c r="C9836" s="32">
        <v>43071.372002314813</v>
      </c>
    </row>
    <row r="9837" spans="1:3">
      <c r="A9837">
        <v>415542</v>
      </c>
      <c r="B9837">
        <v>1464116</v>
      </c>
      <c r="C9837" s="32">
        <v>43071.673437500001</v>
      </c>
    </row>
    <row r="9838" spans="1:3">
      <c r="A9838">
        <v>623134</v>
      </c>
      <c r="B9838">
        <v>3962843</v>
      </c>
      <c r="C9838" s="32">
        <v>43072.491168981483</v>
      </c>
    </row>
    <row r="9839" spans="1:3">
      <c r="A9839">
        <v>868096</v>
      </c>
      <c r="B9839">
        <v>245312</v>
      </c>
      <c r="C9839" s="32">
        <v>43071.702893518515</v>
      </c>
    </row>
    <row r="9840" spans="1:3">
      <c r="A9840">
        <v>159601</v>
      </c>
      <c r="B9840">
        <v>1320293</v>
      </c>
      <c r="C9840" s="32">
        <v>43071.235046296293</v>
      </c>
    </row>
    <row r="9841" spans="1:3">
      <c r="A9841">
        <v>162608</v>
      </c>
      <c r="B9841">
        <v>886708</v>
      </c>
      <c r="C9841" s="32">
        <v>43070.558576388888</v>
      </c>
    </row>
    <row r="9842" spans="1:3">
      <c r="A9842">
        <v>969773</v>
      </c>
      <c r="B9842">
        <v>3015852</v>
      </c>
      <c r="C9842" s="32">
        <v>43070.092546296299</v>
      </c>
    </row>
    <row r="9843" spans="1:3">
      <c r="A9843">
        <v>142198</v>
      </c>
      <c r="B9843">
        <v>750949</v>
      </c>
      <c r="C9843" s="32">
        <v>43072.155844907407</v>
      </c>
    </row>
    <row r="9844" spans="1:3">
      <c r="A9844">
        <v>38570</v>
      </c>
      <c r="B9844">
        <v>405755</v>
      </c>
      <c r="C9844" s="32">
        <v>43071.472326388888</v>
      </c>
    </row>
    <row r="9845" spans="1:3">
      <c r="A9845">
        <v>140755</v>
      </c>
      <c r="B9845">
        <v>4181361</v>
      </c>
      <c r="C9845" s="32">
        <v>43072.614085648151</v>
      </c>
    </row>
    <row r="9846" spans="1:3">
      <c r="A9846">
        <v>43094</v>
      </c>
      <c r="B9846">
        <v>2640118</v>
      </c>
      <c r="C9846" s="32">
        <v>43071.092997685184</v>
      </c>
    </row>
    <row r="9847" spans="1:3">
      <c r="A9847">
        <v>162670</v>
      </c>
      <c r="B9847">
        <v>2572604</v>
      </c>
      <c r="C9847" s="32">
        <v>43070.900763888887</v>
      </c>
    </row>
    <row r="9848" spans="1:3">
      <c r="A9848">
        <v>318072</v>
      </c>
      <c r="B9848">
        <v>866301</v>
      </c>
      <c r="C9848" s="32">
        <v>43070.114618055559</v>
      </c>
    </row>
    <row r="9849" spans="1:3">
      <c r="A9849">
        <v>566877</v>
      </c>
      <c r="B9849">
        <v>3776866</v>
      </c>
      <c r="C9849" s="32">
        <v>43072.554178240738</v>
      </c>
    </row>
    <row r="9850" spans="1:3">
      <c r="A9850">
        <v>874237</v>
      </c>
      <c r="B9850">
        <v>1045172</v>
      </c>
      <c r="C9850" s="32">
        <v>43071.511655092596</v>
      </c>
    </row>
    <row r="9851" spans="1:3">
      <c r="A9851">
        <v>854676</v>
      </c>
      <c r="B9851">
        <v>2181935</v>
      </c>
      <c r="C9851" s="32">
        <v>43070.023078703707</v>
      </c>
    </row>
    <row r="9852" spans="1:3">
      <c r="A9852">
        <v>386316</v>
      </c>
      <c r="B9852">
        <v>22129</v>
      </c>
      <c r="C9852" s="32">
        <v>43070.645219907405</v>
      </c>
    </row>
    <row r="9853" spans="1:3">
      <c r="A9853">
        <v>318277</v>
      </c>
      <c r="B9853">
        <v>4170419</v>
      </c>
      <c r="C9853" s="32">
        <v>43070.127453703702</v>
      </c>
    </row>
    <row r="9854" spans="1:3">
      <c r="A9854">
        <v>872175</v>
      </c>
      <c r="B9854">
        <v>3898483</v>
      </c>
      <c r="C9854" s="32">
        <v>43070.521770833337</v>
      </c>
    </row>
    <row r="9855" spans="1:3">
      <c r="A9855">
        <v>105509</v>
      </c>
      <c r="B9855">
        <v>165035</v>
      </c>
      <c r="C9855" s="32">
        <v>43070.629178240742</v>
      </c>
    </row>
    <row r="9856" spans="1:3">
      <c r="A9856">
        <v>236473</v>
      </c>
      <c r="B9856">
        <v>2735466</v>
      </c>
      <c r="C9856" s="32">
        <v>43072.335277777776</v>
      </c>
    </row>
    <row r="9857" spans="1:3">
      <c r="A9857">
        <v>519607</v>
      </c>
      <c r="B9857">
        <v>149192</v>
      </c>
      <c r="C9857" s="32">
        <v>43071.623576388891</v>
      </c>
    </row>
    <row r="9858" spans="1:3">
      <c r="A9858">
        <v>16531</v>
      </c>
      <c r="B9858">
        <v>3065645</v>
      </c>
      <c r="C9858" s="32">
        <v>43070.009166666663</v>
      </c>
    </row>
    <row r="9859" spans="1:3">
      <c r="A9859">
        <v>194632</v>
      </c>
      <c r="B9859">
        <v>605237</v>
      </c>
      <c r="C9859" s="32">
        <v>43071.577175925922</v>
      </c>
    </row>
    <row r="9860" spans="1:3">
      <c r="A9860">
        <v>82712</v>
      </c>
      <c r="B9860">
        <v>1104384</v>
      </c>
      <c r="C9860" s="32">
        <v>43072.054791666669</v>
      </c>
    </row>
    <row r="9861" spans="1:3">
      <c r="A9861">
        <v>438947</v>
      </c>
      <c r="B9861">
        <v>3844144</v>
      </c>
      <c r="C9861" s="32">
        <v>43071.347280092596</v>
      </c>
    </row>
    <row r="9862" spans="1:3">
      <c r="A9862">
        <v>411792</v>
      </c>
      <c r="B9862">
        <v>3407883</v>
      </c>
      <c r="C9862" s="32">
        <v>43071.769201388888</v>
      </c>
    </row>
    <row r="9863" spans="1:3">
      <c r="A9863">
        <v>149036</v>
      </c>
      <c r="B9863">
        <v>1493787</v>
      </c>
      <c r="C9863" s="32">
        <v>43072.49119212963</v>
      </c>
    </row>
    <row r="9864" spans="1:3">
      <c r="A9864">
        <v>625840</v>
      </c>
      <c r="B9864">
        <v>4801426</v>
      </c>
      <c r="C9864" s="32">
        <v>43071.528356481482</v>
      </c>
    </row>
    <row r="9865" spans="1:3">
      <c r="A9865">
        <v>421487</v>
      </c>
      <c r="B9865">
        <v>1029459</v>
      </c>
      <c r="C9865" s="32">
        <v>43072.071435185186</v>
      </c>
    </row>
    <row r="9866" spans="1:3">
      <c r="A9866">
        <v>722888</v>
      </c>
      <c r="B9866">
        <v>1308457</v>
      </c>
      <c r="C9866" s="32">
        <v>43072.239178240743</v>
      </c>
    </row>
    <row r="9867" spans="1:3">
      <c r="A9867">
        <v>608030</v>
      </c>
      <c r="B9867">
        <v>1265358</v>
      </c>
      <c r="C9867" s="32">
        <v>43070.633356481485</v>
      </c>
    </row>
    <row r="9868" spans="1:3">
      <c r="A9868">
        <v>908646</v>
      </c>
      <c r="B9868">
        <v>4756105</v>
      </c>
      <c r="C9868" s="32">
        <v>43071.343495370369</v>
      </c>
    </row>
    <row r="9869" spans="1:3">
      <c r="A9869">
        <v>256128</v>
      </c>
      <c r="B9869">
        <v>2096639</v>
      </c>
      <c r="C9869" s="32">
        <v>43071.002650462964</v>
      </c>
    </row>
    <row r="9870" spans="1:3">
      <c r="A9870">
        <v>393069</v>
      </c>
      <c r="B9870">
        <v>2640118</v>
      </c>
      <c r="C9870" s="32">
        <v>43070.470578703702</v>
      </c>
    </row>
    <row r="9871" spans="1:3">
      <c r="A9871">
        <v>467279</v>
      </c>
      <c r="B9871">
        <v>381850</v>
      </c>
      <c r="C9871" s="32">
        <v>43072.1484837963</v>
      </c>
    </row>
    <row r="9872" spans="1:3">
      <c r="A9872">
        <v>207872</v>
      </c>
      <c r="B9872">
        <v>672001</v>
      </c>
      <c r="C9872" s="32">
        <v>43072.116643518515</v>
      </c>
    </row>
    <row r="9873" spans="1:3">
      <c r="A9873">
        <v>975440</v>
      </c>
      <c r="B9873">
        <v>1466687</v>
      </c>
      <c r="C9873" s="32">
        <v>43070.63622685185</v>
      </c>
    </row>
    <row r="9874" spans="1:3">
      <c r="A9874">
        <v>790619</v>
      </c>
      <c r="B9874">
        <v>3404739</v>
      </c>
      <c r="C9874" s="32">
        <v>43071.125925925924</v>
      </c>
    </row>
    <row r="9875" spans="1:3">
      <c r="A9875">
        <v>695046</v>
      </c>
      <c r="B9875">
        <v>3002561</v>
      </c>
      <c r="C9875" s="32">
        <v>43070.565405092595</v>
      </c>
    </row>
    <row r="9876" spans="1:3">
      <c r="A9876">
        <v>322650</v>
      </c>
      <c r="B9876">
        <v>2578647</v>
      </c>
      <c r="C9876" s="32">
        <v>43072.215856481482</v>
      </c>
    </row>
    <row r="9877" spans="1:3">
      <c r="A9877">
        <v>201696</v>
      </c>
      <c r="B9877">
        <v>3289012</v>
      </c>
      <c r="C9877" s="32">
        <v>43071.688009259262</v>
      </c>
    </row>
    <row r="9878" spans="1:3">
      <c r="A9878">
        <v>354032</v>
      </c>
      <c r="B9878">
        <v>2241047</v>
      </c>
      <c r="C9878" s="32">
        <v>43071.699340277781</v>
      </c>
    </row>
    <row r="9879" spans="1:3">
      <c r="A9879">
        <v>885297</v>
      </c>
      <c r="B9879">
        <v>4307317</v>
      </c>
      <c r="C9879" s="32">
        <v>43071.4534375</v>
      </c>
    </row>
    <row r="9880" spans="1:3">
      <c r="A9880">
        <v>600978</v>
      </c>
      <c r="B9880">
        <v>4763051</v>
      </c>
      <c r="C9880" s="32">
        <v>43071.385798611111</v>
      </c>
    </row>
    <row r="9881" spans="1:3">
      <c r="A9881">
        <v>380241</v>
      </c>
      <c r="B9881">
        <v>3252144</v>
      </c>
      <c r="C9881" s="32">
        <v>43070.576342592591</v>
      </c>
    </row>
    <row r="9882" spans="1:3">
      <c r="A9882">
        <v>562323</v>
      </c>
      <c r="B9882">
        <v>4643350</v>
      </c>
      <c r="C9882" s="32">
        <v>43071.932442129626</v>
      </c>
    </row>
    <row r="9883" spans="1:3">
      <c r="A9883">
        <v>138793</v>
      </c>
      <c r="B9883">
        <v>285583</v>
      </c>
      <c r="C9883" s="32">
        <v>43072.615104166667</v>
      </c>
    </row>
    <row r="9884" spans="1:3">
      <c r="A9884">
        <v>307044</v>
      </c>
      <c r="B9884">
        <v>3738615</v>
      </c>
      <c r="C9884" s="32">
        <v>43071.532835648148</v>
      </c>
    </row>
    <row r="9885" spans="1:3">
      <c r="A9885">
        <v>76284</v>
      </c>
      <c r="B9885">
        <v>4756105</v>
      </c>
      <c r="C9885" s="32">
        <v>43072.653726851851</v>
      </c>
    </row>
    <row r="9886" spans="1:3">
      <c r="A9886">
        <v>318147</v>
      </c>
      <c r="B9886">
        <v>2096639</v>
      </c>
      <c r="C9886" s="32">
        <v>43071.401192129626</v>
      </c>
    </row>
    <row r="9887" spans="1:3">
      <c r="A9887">
        <v>89241</v>
      </c>
      <c r="B9887">
        <v>4357323</v>
      </c>
      <c r="C9887" s="32">
        <v>43070.673425925925</v>
      </c>
    </row>
    <row r="9888" spans="1:3">
      <c r="A9888">
        <v>439236</v>
      </c>
      <c r="B9888">
        <v>4662072</v>
      </c>
      <c r="C9888" s="32">
        <v>43072.020798611113</v>
      </c>
    </row>
    <row r="9889" spans="1:3">
      <c r="A9889">
        <v>180578</v>
      </c>
      <c r="B9889">
        <v>3607361</v>
      </c>
      <c r="C9889" s="32">
        <v>43070.223009259258</v>
      </c>
    </row>
    <row r="9890" spans="1:3">
      <c r="A9890">
        <v>958599</v>
      </c>
      <c r="B9890">
        <v>2748804</v>
      </c>
      <c r="C9890" s="32">
        <v>43071.805081018516</v>
      </c>
    </row>
    <row r="9891" spans="1:3">
      <c r="A9891">
        <v>1004793</v>
      </c>
      <c r="B9891">
        <v>4756105</v>
      </c>
      <c r="C9891" s="32">
        <v>43070.20957175926</v>
      </c>
    </row>
    <row r="9892" spans="1:3">
      <c r="A9892">
        <v>485305</v>
      </c>
      <c r="B9892">
        <v>4145813</v>
      </c>
      <c r="C9892" s="32">
        <v>43070.155428240738</v>
      </c>
    </row>
    <row r="9893" spans="1:3">
      <c r="A9893">
        <v>325717</v>
      </c>
      <c r="B9893">
        <v>1216617</v>
      </c>
      <c r="C9893" s="32">
        <v>43070.428101851852</v>
      </c>
    </row>
    <row r="9894" spans="1:3">
      <c r="A9894">
        <v>132459</v>
      </c>
      <c r="B9894">
        <v>570735</v>
      </c>
      <c r="C9894" s="32">
        <v>43070.272743055553</v>
      </c>
    </row>
    <row r="9895" spans="1:3">
      <c r="A9895">
        <v>626892</v>
      </c>
      <c r="B9895">
        <v>4756105</v>
      </c>
      <c r="C9895" s="32">
        <v>43071.603368055556</v>
      </c>
    </row>
    <row r="9896" spans="1:3">
      <c r="A9896">
        <v>550567</v>
      </c>
      <c r="B9896">
        <v>4801426</v>
      </c>
      <c r="C9896" s="32">
        <v>43071.547418981485</v>
      </c>
    </row>
    <row r="9897" spans="1:3">
      <c r="A9897">
        <v>30811</v>
      </c>
      <c r="B9897">
        <v>1859277</v>
      </c>
      <c r="C9897" s="32">
        <v>43071.997581018521</v>
      </c>
    </row>
    <row r="9898" spans="1:3">
      <c r="A9898">
        <v>179936</v>
      </c>
      <c r="B9898">
        <v>4145813</v>
      </c>
      <c r="C9898" s="32">
        <v>43070.064953703702</v>
      </c>
    </row>
    <row r="9899" spans="1:3">
      <c r="A9899">
        <v>511919</v>
      </c>
      <c r="B9899">
        <v>235534</v>
      </c>
      <c r="C9899" s="32">
        <v>43072.605949074074</v>
      </c>
    </row>
    <row r="9900" spans="1:3">
      <c r="A9900">
        <v>92540</v>
      </c>
      <c r="B9900">
        <v>724320</v>
      </c>
      <c r="C9900" s="32">
        <v>43072.624861111108</v>
      </c>
    </row>
    <row r="9901" spans="1:3">
      <c r="A9901">
        <v>117135</v>
      </c>
      <c r="B9901">
        <v>2520377</v>
      </c>
      <c r="C9901" s="32">
        <v>43072.486724537041</v>
      </c>
    </row>
    <row r="9902" spans="1:3">
      <c r="A9902">
        <v>129496</v>
      </c>
      <c r="B9902">
        <v>4145813</v>
      </c>
      <c r="C9902" s="32">
        <v>43072.544583333336</v>
      </c>
    </row>
    <row r="9903" spans="1:3">
      <c r="A9903">
        <v>983456</v>
      </c>
      <c r="B9903">
        <v>2590256</v>
      </c>
      <c r="C9903" s="32">
        <v>43069.743622685186</v>
      </c>
    </row>
    <row r="9904" spans="1:3">
      <c r="A9904">
        <v>379187</v>
      </c>
      <c r="B9904">
        <v>2476560</v>
      </c>
      <c r="C9904" s="32">
        <v>43071.198784722219</v>
      </c>
    </row>
    <row r="9905" spans="1:3">
      <c r="A9905">
        <v>614783</v>
      </c>
      <c r="B9905">
        <v>1029459</v>
      </c>
      <c r="C9905" s="32">
        <v>43071.086898148147</v>
      </c>
    </row>
    <row r="9906" spans="1:3">
      <c r="A9906">
        <v>413830</v>
      </c>
      <c r="B9906">
        <v>1080785</v>
      </c>
      <c r="C9906" s="32">
        <v>43072.033541666664</v>
      </c>
    </row>
    <row r="9907" spans="1:3">
      <c r="A9907">
        <v>398945</v>
      </c>
      <c r="B9907">
        <v>4181361</v>
      </c>
      <c r="C9907" s="32">
        <v>43071.324074074073</v>
      </c>
    </row>
    <row r="9908" spans="1:3">
      <c r="A9908">
        <v>432625</v>
      </c>
      <c r="B9908">
        <v>4145813</v>
      </c>
      <c r="C9908" s="32">
        <v>43070.722638888888</v>
      </c>
    </row>
    <row r="9909" spans="1:3">
      <c r="A9909">
        <v>439454</v>
      </c>
      <c r="B9909">
        <v>5099474</v>
      </c>
      <c r="C9909" s="32">
        <v>43070.968194444446</v>
      </c>
    </row>
    <row r="9910" spans="1:3">
      <c r="A9910">
        <v>411387</v>
      </c>
      <c r="B9910">
        <v>4756105</v>
      </c>
      <c r="C9910" s="32">
        <v>43071.342650462961</v>
      </c>
    </row>
    <row r="9911" spans="1:3">
      <c r="A9911">
        <v>235734</v>
      </c>
      <c r="B9911">
        <v>2311290</v>
      </c>
      <c r="C9911" s="32">
        <v>43072.483078703706</v>
      </c>
    </row>
    <row r="9912" spans="1:3">
      <c r="A9912">
        <v>432667</v>
      </c>
      <c r="B9912">
        <v>886203</v>
      </c>
      <c r="C9912" s="32">
        <v>43070.601284722223</v>
      </c>
    </row>
    <row r="9913" spans="1:3">
      <c r="A9913">
        <v>435027</v>
      </c>
      <c r="B9913">
        <v>3004853</v>
      </c>
      <c r="C9913" s="32">
        <v>43072.441423611112</v>
      </c>
    </row>
    <row r="9914" spans="1:3">
      <c r="A9914">
        <v>675404</v>
      </c>
      <c r="B9914">
        <v>2355072</v>
      </c>
      <c r="C9914" s="32">
        <v>43070.986851851849</v>
      </c>
    </row>
    <row r="9915" spans="1:3">
      <c r="A9915">
        <v>677497</v>
      </c>
      <c r="B9915">
        <v>4424369</v>
      </c>
      <c r="C9915" s="32">
        <v>43071.543842592589</v>
      </c>
    </row>
    <row r="9916" spans="1:3">
      <c r="A9916">
        <v>986256</v>
      </c>
      <c r="B9916">
        <v>2355072</v>
      </c>
      <c r="C9916" s="32">
        <v>43070.698819444442</v>
      </c>
    </row>
    <row r="9917" spans="1:3">
      <c r="A9917">
        <v>301051</v>
      </c>
      <c r="B9917">
        <v>4756105</v>
      </c>
      <c r="C9917" s="32">
        <v>43070.0546412037</v>
      </c>
    </row>
    <row r="9918" spans="1:3">
      <c r="A9918">
        <v>513238</v>
      </c>
      <c r="B9918">
        <v>4818107</v>
      </c>
      <c r="C9918" s="32">
        <v>43071.470381944448</v>
      </c>
    </row>
    <row r="9919" spans="1:3">
      <c r="A9919">
        <v>453518</v>
      </c>
      <c r="B9919">
        <v>3002561</v>
      </c>
      <c r="C9919" s="32">
        <v>43070.45590277778</v>
      </c>
    </row>
    <row r="9920" spans="1:3">
      <c r="A9920">
        <v>315092</v>
      </c>
      <c r="B9920">
        <v>886203</v>
      </c>
      <c r="C9920" s="32">
        <v>43070.660752314812</v>
      </c>
    </row>
    <row r="9921" spans="1:3">
      <c r="A9921">
        <v>610774</v>
      </c>
      <c r="B9921">
        <v>4583884</v>
      </c>
      <c r="C9921" s="32">
        <v>43070.112962962965</v>
      </c>
    </row>
    <row r="9922" spans="1:3">
      <c r="A9922">
        <v>389704</v>
      </c>
      <c r="B9922">
        <v>2465336</v>
      </c>
      <c r="C9922" s="32">
        <v>43069.773275462961</v>
      </c>
    </row>
    <row r="9923" spans="1:3">
      <c r="A9923">
        <v>567642</v>
      </c>
      <c r="B9923">
        <v>3208959</v>
      </c>
      <c r="C9923" s="32">
        <v>43071.48777777778</v>
      </c>
    </row>
    <row r="9924" spans="1:3">
      <c r="A9924">
        <v>703022</v>
      </c>
      <c r="B9924">
        <v>1320293</v>
      </c>
      <c r="C9924" s="32">
        <v>43071.465208333335</v>
      </c>
    </row>
    <row r="9925" spans="1:3">
      <c r="A9925">
        <v>847698</v>
      </c>
      <c r="B9925">
        <v>2183874</v>
      </c>
      <c r="C9925" s="32">
        <v>43071.48165509259</v>
      </c>
    </row>
    <row r="9926" spans="1:3">
      <c r="A9926">
        <v>804394</v>
      </c>
      <c r="B9926">
        <v>4145813</v>
      </c>
      <c r="C9926" s="32">
        <v>43070.564201388886</v>
      </c>
    </row>
    <row r="9927" spans="1:3">
      <c r="A9927">
        <v>151157</v>
      </c>
      <c r="B9927">
        <v>4145813</v>
      </c>
      <c r="C9927" s="32">
        <v>43072.540659722225</v>
      </c>
    </row>
    <row r="9928" spans="1:3">
      <c r="A9928">
        <v>246578</v>
      </c>
      <c r="B9928">
        <v>2106073</v>
      </c>
      <c r="C9928" s="32">
        <v>43072.480752314812</v>
      </c>
    </row>
    <row r="9929" spans="1:3">
      <c r="A9929">
        <v>1004760</v>
      </c>
      <c r="B9929">
        <v>4145813</v>
      </c>
      <c r="C9929" s="32">
        <v>43072.291527777779</v>
      </c>
    </row>
    <row r="9930" spans="1:3">
      <c r="A9930">
        <v>183811</v>
      </c>
      <c r="B9930">
        <v>2917289</v>
      </c>
      <c r="C9930" s="32">
        <v>43071.272847222222</v>
      </c>
    </row>
    <row r="9931" spans="1:3">
      <c r="A9931">
        <v>587048</v>
      </c>
      <c r="B9931">
        <v>4756105</v>
      </c>
      <c r="C9931" s="32">
        <v>43072.199120370373</v>
      </c>
    </row>
    <row r="9932" spans="1:3">
      <c r="A9932">
        <v>855470</v>
      </c>
      <c r="B9932">
        <v>4756105</v>
      </c>
      <c r="C9932" s="32">
        <v>43071.987500000003</v>
      </c>
    </row>
    <row r="9933" spans="1:3">
      <c r="A9933">
        <v>861800</v>
      </c>
      <c r="B9933">
        <v>3865465</v>
      </c>
      <c r="C9933" s="32">
        <v>43072.564513888887</v>
      </c>
    </row>
    <row r="9934" spans="1:3">
      <c r="A9934">
        <v>417145</v>
      </c>
      <c r="B9934">
        <v>149192</v>
      </c>
      <c r="C9934" s="32">
        <v>43071.230671296296</v>
      </c>
    </row>
    <row r="9935" spans="1:3">
      <c r="A9935">
        <v>542506</v>
      </c>
      <c r="B9935">
        <v>3102419</v>
      </c>
      <c r="C9935" s="32">
        <v>43072.264999999999</v>
      </c>
    </row>
    <row r="9936" spans="1:3">
      <c r="A9936">
        <v>464560</v>
      </c>
      <c r="B9936">
        <v>149192</v>
      </c>
      <c r="C9936" s="32">
        <v>43072.588576388887</v>
      </c>
    </row>
    <row r="9937" spans="1:3">
      <c r="A9937">
        <v>354463</v>
      </c>
      <c r="B9937">
        <v>4801426</v>
      </c>
      <c r="C9937" s="32">
        <v>43072.584479166668</v>
      </c>
    </row>
    <row r="9938" spans="1:3">
      <c r="A9938">
        <v>627905</v>
      </c>
      <c r="B9938">
        <v>1379146</v>
      </c>
      <c r="C9938" s="32">
        <v>43070.119687500002</v>
      </c>
    </row>
    <row r="9939" spans="1:3">
      <c r="A9939">
        <v>414022</v>
      </c>
      <c r="B9939">
        <v>982926</v>
      </c>
      <c r="C9939" s="32">
        <v>43072.234178240738</v>
      </c>
    </row>
    <row r="9940" spans="1:3">
      <c r="A9940">
        <v>628741</v>
      </c>
      <c r="B9940">
        <v>4411949</v>
      </c>
      <c r="C9940" s="32">
        <v>43070.639247685183</v>
      </c>
    </row>
    <row r="9941" spans="1:3">
      <c r="A9941">
        <v>259847</v>
      </c>
      <c r="B9941">
        <v>2465336</v>
      </c>
      <c r="C9941" s="32">
        <v>43070.558171296296</v>
      </c>
    </row>
    <row r="9942" spans="1:3">
      <c r="A9942">
        <v>286834</v>
      </c>
      <c r="B9942">
        <v>883960</v>
      </c>
      <c r="C9942" s="32">
        <v>43070.501898148148</v>
      </c>
    </row>
    <row r="9943" spans="1:3">
      <c r="A9943">
        <v>381421</v>
      </c>
      <c r="B9943">
        <v>4756105</v>
      </c>
      <c r="C9943" s="32">
        <v>43071.219131944446</v>
      </c>
    </row>
    <row r="9944" spans="1:3">
      <c r="A9944">
        <v>1001300</v>
      </c>
      <c r="B9944">
        <v>5030562</v>
      </c>
      <c r="C9944" s="32">
        <v>43072.599386574075</v>
      </c>
    </row>
    <row r="9945" spans="1:3">
      <c r="A9945">
        <v>23083</v>
      </c>
      <c r="B9945">
        <v>982926</v>
      </c>
      <c r="C9945" s="32">
        <v>43071.443761574075</v>
      </c>
    </row>
    <row r="9946" spans="1:3">
      <c r="A9946">
        <v>852753</v>
      </c>
      <c r="B9946">
        <v>1859277</v>
      </c>
      <c r="C9946" s="32">
        <v>43071.012361111112</v>
      </c>
    </row>
    <row r="9947" spans="1:3">
      <c r="A9947">
        <v>258915</v>
      </c>
      <c r="B9947">
        <v>3299155</v>
      </c>
      <c r="C9947" s="32">
        <v>43070.940104166664</v>
      </c>
    </row>
    <row r="9948" spans="1:3">
      <c r="A9948">
        <v>629504</v>
      </c>
      <c r="B9948">
        <v>149192</v>
      </c>
      <c r="C9948" s="32">
        <v>43071.45380787037</v>
      </c>
    </row>
    <row r="9949" spans="1:3">
      <c r="A9949">
        <v>29976</v>
      </c>
      <c r="B9949">
        <v>1391195</v>
      </c>
      <c r="C9949" s="32">
        <v>43072.521226851852</v>
      </c>
    </row>
    <row r="9950" spans="1:3">
      <c r="A9950">
        <v>518348</v>
      </c>
      <c r="B9950">
        <v>866301</v>
      </c>
      <c r="C9950" s="32">
        <v>43072.583414351851</v>
      </c>
    </row>
    <row r="9951" spans="1:3">
      <c r="A9951">
        <v>212958</v>
      </c>
      <c r="B9951">
        <v>2520771</v>
      </c>
      <c r="C9951" s="32">
        <v>43069.744004629632</v>
      </c>
    </row>
    <row r="9952" spans="1:3">
      <c r="A9952">
        <v>361314</v>
      </c>
      <c r="B9952">
        <v>1320293</v>
      </c>
      <c r="C9952" s="32">
        <v>43070.746886574074</v>
      </c>
    </row>
    <row r="9953" spans="1:3">
      <c r="A9953">
        <v>725431</v>
      </c>
      <c r="B9953">
        <v>2520377</v>
      </c>
      <c r="C9953" s="32">
        <v>43071.021481481483</v>
      </c>
    </row>
    <row r="9954" spans="1:3">
      <c r="A9954">
        <v>200731</v>
      </c>
      <c r="B9954">
        <v>4690421</v>
      </c>
      <c r="C9954" s="32">
        <v>43072.476053240738</v>
      </c>
    </row>
    <row r="9955" spans="1:3">
      <c r="A9955">
        <v>1003227</v>
      </c>
      <c r="B9955">
        <v>4731191</v>
      </c>
      <c r="C9955" s="32">
        <v>43070.340740740743</v>
      </c>
    </row>
    <row r="9956" spans="1:3">
      <c r="A9956">
        <v>263873</v>
      </c>
      <c r="B9956">
        <v>2520771</v>
      </c>
      <c r="C9956" s="32">
        <v>43072.318877314814</v>
      </c>
    </row>
    <row r="9957" spans="1:3">
      <c r="A9957">
        <v>264222</v>
      </c>
      <c r="B9957">
        <v>1973012</v>
      </c>
      <c r="C9957" s="32">
        <v>43071.179282407407</v>
      </c>
    </row>
    <row r="9958" spans="1:3">
      <c r="A9958">
        <v>392932</v>
      </c>
      <c r="B9958">
        <v>274067</v>
      </c>
      <c r="C9958" s="32">
        <v>43072.548692129632</v>
      </c>
    </row>
    <row r="9959" spans="1:3">
      <c r="A9959">
        <v>757378</v>
      </c>
      <c r="B9959">
        <v>1787510</v>
      </c>
      <c r="C9959" s="32">
        <v>43071.173645833333</v>
      </c>
    </row>
    <row r="9960" spans="1:3">
      <c r="A9960">
        <v>726304</v>
      </c>
      <c r="B9960">
        <v>149192</v>
      </c>
      <c r="C9960" s="32">
        <v>43072.022847222222</v>
      </c>
    </row>
    <row r="9961" spans="1:3">
      <c r="A9961">
        <v>453126</v>
      </c>
      <c r="B9961">
        <v>274483</v>
      </c>
      <c r="C9961" s="32">
        <v>43072.571527777778</v>
      </c>
    </row>
    <row r="9962" spans="1:3">
      <c r="A9962">
        <v>452181</v>
      </c>
      <c r="B9962">
        <v>3177877</v>
      </c>
      <c r="C9962" s="32">
        <v>43070.702256944445</v>
      </c>
    </row>
    <row r="9963" spans="1:3">
      <c r="A9963">
        <v>389889</v>
      </c>
      <c r="B9963">
        <v>4181361</v>
      </c>
      <c r="C9963" s="32">
        <v>43070.08321759259</v>
      </c>
    </row>
    <row r="9964" spans="1:3">
      <c r="A9964">
        <v>267721</v>
      </c>
      <c r="B9964">
        <v>2465336</v>
      </c>
      <c r="C9964" s="32">
        <v>43071.057002314818</v>
      </c>
    </row>
    <row r="9965" spans="1:3">
      <c r="A9965">
        <v>545381</v>
      </c>
      <c r="B9965">
        <v>3081594</v>
      </c>
      <c r="C9965" s="32">
        <v>43071.473958333336</v>
      </c>
    </row>
    <row r="9966" spans="1:3">
      <c r="A9966">
        <v>225949</v>
      </c>
      <c r="B9966">
        <v>4044118</v>
      </c>
      <c r="C9966" s="32">
        <v>43071.528726851851</v>
      </c>
    </row>
    <row r="9967" spans="1:3">
      <c r="A9967">
        <v>743520</v>
      </c>
      <c r="B9967">
        <v>4700878</v>
      </c>
      <c r="C9967" s="32">
        <v>43071.530671296299</v>
      </c>
    </row>
    <row r="9968" spans="1:3">
      <c r="A9968">
        <v>972422</v>
      </c>
      <c r="B9968">
        <v>235534</v>
      </c>
      <c r="C9968" s="32">
        <v>43070.213055555556</v>
      </c>
    </row>
    <row r="9969" spans="1:3">
      <c r="A9969">
        <v>105572</v>
      </c>
      <c r="B9969">
        <v>4358294</v>
      </c>
      <c r="C9969" s="32">
        <v>43071.119120370371</v>
      </c>
    </row>
    <row r="9970" spans="1:3">
      <c r="A9970">
        <v>224598</v>
      </c>
      <c r="B9970">
        <v>2293367</v>
      </c>
      <c r="C9970" s="32">
        <v>43070.498113425929</v>
      </c>
    </row>
    <row r="9971" spans="1:3">
      <c r="A9971">
        <v>490346</v>
      </c>
      <c r="B9971">
        <v>2089582</v>
      </c>
      <c r="C9971" s="32">
        <v>43070.090243055558</v>
      </c>
    </row>
    <row r="9972" spans="1:3">
      <c r="A9972">
        <v>853366</v>
      </c>
      <c r="B9972">
        <v>4145813</v>
      </c>
      <c r="C9972" s="32">
        <v>43071.433703703704</v>
      </c>
    </row>
    <row r="9973" spans="1:3">
      <c r="A9973">
        <v>837415</v>
      </c>
      <c r="B9973">
        <v>411153</v>
      </c>
      <c r="C9973" s="32">
        <v>43072.539293981485</v>
      </c>
    </row>
    <row r="9974" spans="1:3">
      <c r="A9974">
        <v>14090</v>
      </c>
      <c r="B9974">
        <v>3607361</v>
      </c>
      <c r="C9974" s="32">
        <v>43072.302893518521</v>
      </c>
    </row>
    <row r="9975" spans="1:3">
      <c r="A9975">
        <v>209434</v>
      </c>
      <c r="B9975">
        <v>2050292</v>
      </c>
      <c r="C9975" s="32">
        <v>43071.654976851853</v>
      </c>
    </row>
    <row r="9976" spans="1:3">
      <c r="A9976">
        <v>539747</v>
      </c>
      <c r="B9976">
        <v>903809</v>
      </c>
      <c r="C9976" s="32">
        <v>43072.391435185185</v>
      </c>
    </row>
    <row r="9977" spans="1:3">
      <c r="A9977">
        <v>36745</v>
      </c>
      <c r="B9977">
        <v>4801426</v>
      </c>
      <c r="C9977" s="32">
        <v>43071.665648148148</v>
      </c>
    </row>
    <row r="9978" spans="1:3">
      <c r="A9978">
        <v>715964</v>
      </c>
      <c r="B9978">
        <v>3607361</v>
      </c>
      <c r="C9978" s="32">
        <v>43071.300219907411</v>
      </c>
    </row>
    <row r="9979" spans="1:3">
      <c r="A9979">
        <v>878331</v>
      </c>
      <c r="B9979">
        <v>4156438</v>
      </c>
      <c r="C9979" s="32">
        <v>43070.525011574071</v>
      </c>
    </row>
    <row r="9980" spans="1:3">
      <c r="A9980">
        <v>484586</v>
      </c>
      <c r="B9980">
        <v>3738615</v>
      </c>
      <c r="C9980" s="32">
        <v>43072.223761574074</v>
      </c>
    </row>
    <row r="9981" spans="1:3">
      <c r="A9981">
        <v>379348</v>
      </c>
      <c r="B9981">
        <v>1994940</v>
      </c>
      <c r="C9981" s="32">
        <v>43071.647326388891</v>
      </c>
    </row>
    <row r="9982" spans="1:3">
      <c r="A9982">
        <v>357405</v>
      </c>
      <c r="B9982">
        <v>2885642</v>
      </c>
      <c r="C9982" s="32">
        <v>43072.383761574078</v>
      </c>
    </row>
    <row r="9983" spans="1:3">
      <c r="A9983">
        <v>620787</v>
      </c>
      <c r="B9983">
        <v>1080785</v>
      </c>
      <c r="C9983" s="32">
        <v>43070.653148148151</v>
      </c>
    </row>
    <row r="9984" spans="1:3">
      <c r="A9984">
        <v>732484</v>
      </c>
      <c r="B9984">
        <v>4357323</v>
      </c>
      <c r="C9984" s="32">
        <v>43070.527858796297</v>
      </c>
    </row>
    <row r="9985" spans="1:3">
      <c r="A9985">
        <v>232048</v>
      </c>
      <c r="B9985">
        <v>3740459</v>
      </c>
      <c r="C9985" s="32">
        <v>43072.568518518521</v>
      </c>
    </row>
    <row r="9986" spans="1:3">
      <c r="A9986">
        <v>540556</v>
      </c>
      <c r="B9986">
        <v>4331400</v>
      </c>
      <c r="C9986" s="32">
        <v>43071.493437500001</v>
      </c>
    </row>
    <row r="9987" spans="1:3">
      <c r="A9987">
        <v>542891</v>
      </c>
      <c r="B9987">
        <v>1573426</v>
      </c>
      <c r="C9987" s="32">
        <v>43072.363796296297</v>
      </c>
    </row>
    <row r="9988" spans="1:3">
      <c r="A9988">
        <v>975515</v>
      </c>
      <c r="B9988">
        <v>2520377</v>
      </c>
      <c r="C9988" s="32">
        <v>43072.3987037037</v>
      </c>
    </row>
    <row r="9989" spans="1:3">
      <c r="A9989">
        <v>31762</v>
      </c>
      <c r="B9989">
        <v>1872294</v>
      </c>
      <c r="C9989" s="32">
        <v>43072.044131944444</v>
      </c>
    </row>
    <row r="9990" spans="1:3">
      <c r="A9990">
        <v>482552</v>
      </c>
      <c r="B9990">
        <v>2629787</v>
      </c>
      <c r="C9990" s="32">
        <v>43071.619131944448</v>
      </c>
    </row>
    <row r="9991" spans="1:3">
      <c r="A9991">
        <v>439386</v>
      </c>
      <c r="B9991">
        <v>4181361</v>
      </c>
      <c r="C9991" s="32">
        <v>43072.389652777776</v>
      </c>
    </row>
    <row r="9992" spans="1:3">
      <c r="A9992">
        <v>901952</v>
      </c>
      <c r="B9992">
        <v>4282985</v>
      </c>
      <c r="C9992" s="32">
        <v>43070.259131944447</v>
      </c>
    </row>
    <row r="9993" spans="1:3">
      <c r="A9993">
        <v>398238</v>
      </c>
      <c r="B9993">
        <v>3627351</v>
      </c>
      <c r="C9993" s="32">
        <v>43071.004374999997</v>
      </c>
    </row>
    <row r="9994" spans="1:3">
      <c r="A9994">
        <v>278847</v>
      </c>
      <c r="B9994">
        <v>1320293</v>
      </c>
      <c r="C9994" s="32">
        <v>43071.577800925923</v>
      </c>
    </row>
    <row r="9995" spans="1:3">
      <c r="A9995">
        <v>704382</v>
      </c>
      <c r="B9995">
        <v>4643350</v>
      </c>
      <c r="C9995" s="32">
        <v>43072.267835648148</v>
      </c>
    </row>
    <row r="9996" spans="1:3">
      <c r="A9996">
        <v>804148</v>
      </c>
      <c r="B9996">
        <v>4357323</v>
      </c>
      <c r="C9996" s="32">
        <v>43071.648136574076</v>
      </c>
    </row>
    <row r="9997" spans="1:3">
      <c r="A9997">
        <v>41944</v>
      </c>
      <c r="B9997">
        <v>4181361</v>
      </c>
      <c r="C9997" s="32">
        <v>43071.712962962964</v>
      </c>
    </row>
    <row r="9998" spans="1:3">
      <c r="A9998">
        <v>69446</v>
      </c>
      <c r="B9998">
        <v>982926</v>
      </c>
      <c r="C9998" s="32">
        <v>43071.353020833332</v>
      </c>
    </row>
    <row r="9999" spans="1:3">
      <c r="A9999">
        <v>45968</v>
      </c>
      <c r="B9999">
        <v>4022701</v>
      </c>
      <c r="C9999" s="32">
        <v>43070.31354166667</v>
      </c>
    </row>
    <row r="10000" spans="1:3">
      <c r="A10000">
        <v>557111</v>
      </c>
      <c r="B10000">
        <v>2462567</v>
      </c>
      <c r="C10000" s="32">
        <v>43072.296979166669</v>
      </c>
    </row>
    <row r="10001" spans="1:3">
      <c r="A10001">
        <v>889159</v>
      </c>
      <c r="B10001">
        <v>149192</v>
      </c>
      <c r="C10001" s="32">
        <v>43072.042326388888</v>
      </c>
    </row>
    <row r="10002" spans="1:3">
      <c r="A10002">
        <v>725963</v>
      </c>
      <c r="B10002">
        <v>284968</v>
      </c>
      <c r="C10002" s="32">
        <v>43069.928159722222</v>
      </c>
    </row>
    <row r="10003" spans="1:3">
      <c r="A10003">
        <v>100627</v>
      </c>
      <c r="B10003">
        <v>2462567</v>
      </c>
      <c r="C10003" s="32">
        <v>43071.452314814815</v>
      </c>
    </row>
    <row r="10004" spans="1:3">
      <c r="A10004">
        <v>410124</v>
      </c>
      <c r="B10004">
        <v>3524510</v>
      </c>
      <c r="C10004" s="32">
        <v>43071.441446759258</v>
      </c>
    </row>
    <row r="10005" spans="1:3">
      <c r="A10005">
        <v>144569</v>
      </c>
      <c r="B10005">
        <v>149192</v>
      </c>
      <c r="C10005" s="32">
        <v>43072.355243055557</v>
      </c>
    </row>
    <row r="10006" spans="1:3">
      <c r="A10006">
        <v>998880</v>
      </c>
      <c r="B10006">
        <v>3738615</v>
      </c>
      <c r="C10006" s="32">
        <v>43071.57136574074</v>
      </c>
    </row>
    <row r="10007" spans="1:3">
      <c r="A10007">
        <v>805898</v>
      </c>
      <c r="B10007">
        <v>1711596</v>
      </c>
      <c r="C10007" s="32">
        <v>43071.994317129633</v>
      </c>
    </row>
    <row r="10008" spans="1:3">
      <c r="A10008">
        <v>478666</v>
      </c>
      <c r="B10008">
        <v>3607361</v>
      </c>
      <c r="C10008" s="32">
        <v>43070.245625000003</v>
      </c>
    </row>
    <row r="10009" spans="1:3">
      <c r="A10009">
        <v>208679</v>
      </c>
      <c r="B10009">
        <v>2465336</v>
      </c>
      <c r="C10009" s="32">
        <v>43071.541365740741</v>
      </c>
    </row>
    <row r="10010" spans="1:3">
      <c r="A10010">
        <v>938069</v>
      </c>
      <c r="B10010">
        <v>374584</v>
      </c>
      <c r="C10010" s="32">
        <v>43070.48537037037</v>
      </c>
    </row>
    <row r="10011" spans="1:3">
      <c r="A10011">
        <v>169498</v>
      </c>
      <c r="B10011">
        <v>570735</v>
      </c>
      <c r="C10011" s="32">
        <v>43072.647037037037</v>
      </c>
    </row>
    <row r="10012" spans="1:3">
      <c r="A10012">
        <v>588172</v>
      </c>
      <c r="B10012">
        <v>2640118</v>
      </c>
      <c r="C10012" s="32">
        <v>43070.996782407405</v>
      </c>
    </row>
    <row r="10013" spans="1:3">
      <c r="A10013">
        <v>120140</v>
      </c>
      <c r="B10013">
        <v>4756105</v>
      </c>
      <c r="C10013" s="32">
        <v>43071.025150462963</v>
      </c>
    </row>
    <row r="10014" spans="1:3">
      <c r="A10014">
        <v>150264</v>
      </c>
      <c r="B10014">
        <v>4801426</v>
      </c>
      <c r="C10014" s="32">
        <v>43070.627256944441</v>
      </c>
    </row>
    <row r="10015" spans="1:3">
      <c r="A10015">
        <v>817774</v>
      </c>
      <c r="B10015">
        <v>570735</v>
      </c>
      <c r="C10015" s="32">
        <v>43072.117835648147</v>
      </c>
    </row>
    <row r="10016" spans="1:3">
      <c r="A10016">
        <v>118118</v>
      </c>
      <c r="B10016">
        <v>1568197</v>
      </c>
      <c r="C10016" s="32">
        <v>43072.519421296296</v>
      </c>
    </row>
    <row r="10017" spans="1:3">
      <c r="A10017">
        <v>194940</v>
      </c>
      <c r="B10017">
        <v>2558204</v>
      </c>
      <c r="C10017" s="32">
        <v>43072.232418981483</v>
      </c>
    </row>
    <row r="10018" spans="1:3">
      <c r="A10018">
        <v>166889</v>
      </c>
      <c r="B10018">
        <v>4022701</v>
      </c>
      <c r="C10018" s="32">
        <v>43071.334722222222</v>
      </c>
    </row>
    <row r="10019" spans="1:3">
      <c r="A10019">
        <v>205777</v>
      </c>
      <c r="B10019">
        <v>4864926</v>
      </c>
      <c r="C10019" s="32">
        <v>43072.544502314813</v>
      </c>
    </row>
    <row r="10020" spans="1:3">
      <c r="A10020">
        <v>208126</v>
      </c>
      <c r="B10020">
        <v>2735466</v>
      </c>
      <c r="C10020" s="32">
        <v>43072.603912037041</v>
      </c>
    </row>
    <row r="10021" spans="1:3">
      <c r="A10021">
        <v>687187</v>
      </c>
      <c r="B10021">
        <v>3860845</v>
      </c>
      <c r="C10021" s="32">
        <v>43070.676018518519</v>
      </c>
    </row>
    <row r="10022" spans="1:3">
      <c r="A10022">
        <v>872482</v>
      </c>
      <c r="B10022">
        <v>4882154</v>
      </c>
      <c r="C10022" s="32">
        <v>43070.275243055556</v>
      </c>
    </row>
    <row r="10023" spans="1:3">
      <c r="A10023">
        <v>222948</v>
      </c>
      <c r="B10023">
        <v>3917972</v>
      </c>
      <c r="C10023" s="32">
        <v>43071.698530092595</v>
      </c>
    </row>
    <row r="10024" spans="1:3">
      <c r="A10024">
        <v>779522</v>
      </c>
      <c r="B10024">
        <v>2520377</v>
      </c>
      <c r="C10024" s="32">
        <v>43071.864814814813</v>
      </c>
    </row>
    <row r="10025" spans="1:3">
      <c r="A10025">
        <v>882067</v>
      </c>
      <c r="B10025">
        <v>1297992</v>
      </c>
      <c r="C10025" s="32">
        <v>43070.20517361111</v>
      </c>
    </row>
    <row r="10026" spans="1:3">
      <c r="A10026">
        <v>936363</v>
      </c>
      <c r="B10026">
        <v>119741</v>
      </c>
      <c r="C10026" s="32">
        <v>43072.661446759259</v>
      </c>
    </row>
    <row r="10027" spans="1:3">
      <c r="A10027">
        <v>1017592</v>
      </c>
      <c r="B10027">
        <v>3607361</v>
      </c>
      <c r="C10027" s="32">
        <v>43070.129606481481</v>
      </c>
    </row>
    <row r="10028" spans="1:3">
      <c r="A10028">
        <v>518372</v>
      </c>
      <c r="B10028">
        <v>1724559</v>
      </c>
      <c r="C10028" s="32">
        <v>43071.59233796296</v>
      </c>
    </row>
    <row r="10029" spans="1:3">
      <c r="A10029">
        <v>288448</v>
      </c>
      <c r="B10029">
        <v>737184</v>
      </c>
      <c r="C10029" s="32">
        <v>43071.213599537034</v>
      </c>
    </row>
    <row r="10030" spans="1:3">
      <c r="A10030">
        <v>181450</v>
      </c>
      <c r="B10030">
        <v>4006013</v>
      </c>
      <c r="C10030" s="32">
        <v>43071.440949074073</v>
      </c>
    </row>
    <row r="10031" spans="1:3">
      <c r="A10031">
        <v>355286</v>
      </c>
      <c r="B10031">
        <v>284968</v>
      </c>
      <c r="C10031" s="32">
        <v>43071.547326388885</v>
      </c>
    </row>
    <row r="10032" spans="1:3">
      <c r="A10032">
        <v>68225</v>
      </c>
      <c r="B10032">
        <v>4655941</v>
      </c>
      <c r="C10032" s="32">
        <v>43071.387743055559</v>
      </c>
    </row>
    <row r="10033" spans="1:3">
      <c r="A10033">
        <v>35388</v>
      </c>
      <c r="B10033">
        <v>2939262</v>
      </c>
      <c r="C10033" s="32">
        <v>43072.338819444441</v>
      </c>
    </row>
    <row r="10034" spans="1:3">
      <c r="A10034">
        <v>722430</v>
      </c>
      <c r="B10034">
        <v>2520377</v>
      </c>
      <c r="C10034" s="32">
        <v>43071.656909722224</v>
      </c>
    </row>
    <row r="10035" spans="1:3">
      <c r="A10035">
        <v>7146</v>
      </c>
      <c r="B10035">
        <v>4606718</v>
      </c>
      <c r="C10035" s="32">
        <v>43070.165439814817</v>
      </c>
    </row>
    <row r="10036" spans="1:3">
      <c r="A10036">
        <v>264654</v>
      </c>
      <c r="B10036">
        <v>149192</v>
      </c>
      <c r="C10036" s="32">
        <v>43072.609965277778</v>
      </c>
    </row>
    <row r="10037" spans="1:3">
      <c r="A10037">
        <v>216346</v>
      </c>
      <c r="B10037">
        <v>4458428</v>
      </c>
      <c r="C10037" s="32">
        <v>43071.585081018522</v>
      </c>
    </row>
    <row r="10038" spans="1:3">
      <c r="A10038">
        <v>188836</v>
      </c>
      <c r="B10038">
        <v>3624696</v>
      </c>
      <c r="C10038" s="32">
        <v>43072.331701388888</v>
      </c>
    </row>
    <row r="10039" spans="1:3">
      <c r="A10039">
        <v>830619</v>
      </c>
      <c r="B10039">
        <v>339124</v>
      </c>
      <c r="C10039" s="32">
        <v>43070.347511574073</v>
      </c>
    </row>
    <row r="10040" spans="1:3">
      <c r="A10040">
        <v>969809</v>
      </c>
      <c r="B10040">
        <v>2520771</v>
      </c>
      <c r="C10040" s="32">
        <v>43070.685266203705</v>
      </c>
    </row>
    <row r="10041" spans="1:3">
      <c r="A10041">
        <v>758075</v>
      </c>
      <c r="B10041">
        <v>285583</v>
      </c>
      <c r="C10041" s="32">
        <v>43070.59920138889</v>
      </c>
    </row>
    <row r="10042" spans="1:3">
      <c r="A10042">
        <v>499503</v>
      </c>
      <c r="B10042">
        <v>1376358</v>
      </c>
      <c r="C10042" s="32">
        <v>43070.25199074074</v>
      </c>
    </row>
    <row r="10043" spans="1:3">
      <c r="A10043">
        <v>862518</v>
      </c>
      <c r="B10043">
        <v>3607361</v>
      </c>
      <c r="C10043" s="32">
        <v>43072.20621527778</v>
      </c>
    </row>
    <row r="10044" spans="1:3">
      <c r="A10044">
        <v>452286</v>
      </c>
      <c r="B10044">
        <v>2465336</v>
      </c>
      <c r="C10044" s="32">
        <v>43071.270462962966</v>
      </c>
    </row>
    <row r="10045" spans="1:3">
      <c r="A10045">
        <v>662310</v>
      </c>
      <c r="B10045">
        <v>1829804</v>
      </c>
      <c r="C10045" s="32">
        <v>43071.538263888891</v>
      </c>
    </row>
    <row r="10046" spans="1:3">
      <c r="A10046">
        <v>214308</v>
      </c>
      <c r="B10046">
        <v>4801426</v>
      </c>
      <c r="C10046" s="32">
        <v>43072.309247685182</v>
      </c>
    </row>
    <row r="10047" spans="1:3">
      <c r="A10047">
        <v>291562</v>
      </c>
      <c r="B10047">
        <v>1097635</v>
      </c>
      <c r="C10047" s="32">
        <v>43071.557210648149</v>
      </c>
    </row>
    <row r="10048" spans="1:3">
      <c r="A10048">
        <v>819083</v>
      </c>
      <c r="B10048">
        <v>2465336</v>
      </c>
      <c r="C10048" s="32">
        <v>43070.732233796298</v>
      </c>
    </row>
    <row r="10049" spans="1:3">
      <c r="A10049">
        <v>822147</v>
      </c>
      <c r="B10049">
        <v>2355072</v>
      </c>
      <c r="C10049" s="32">
        <v>43072.256053240744</v>
      </c>
    </row>
    <row r="10050" spans="1:3">
      <c r="A10050">
        <v>487228</v>
      </c>
      <c r="B10050">
        <v>1859277</v>
      </c>
      <c r="C10050" s="32">
        <v>43071.306539351855</v>
      </c>
    </row>
    <row r="10051" spans="1:3">
      <c r="A10051">
        <v>980510</v>
      </c>
      <c r="B10051">
        <v>4606718</v>
      </c>
      <c r="C10051" s="32">
        <v>43072.58871527778</v>
      </c>
    </row>
    <row r="10052" spans="1:3">
      <c r="A10052">
        <v>967365</v>
      </c>
      <c r="B10052">
        <v>1521931</v>
      </c>
      <c r="C10052" s="32">
        <v>43072.448842592596</v>
      </c>
    </row>
    <row r="10053" spans="1:3">
      <c r="A10053">
        <v>449838</v>
      </c>
      <c r="B10053">
        <v>3598912</v>
      </c>
      <c r="C10053" s="32">
        <v>43070.429837962962</v>
      </c>
    </row>
    <row r="10054" spans="1:3">
      <c r="A10054">
        <v>254640</v>
      </c>
      <c r="B10054">
        <v>4242717</v>
      </c>
      <c r="C10054" s="32">
        <v>43071.560694444444</v>
      </c>
    </row>
    <row r="10055" spans="1:3">
      <c r="A10055">
        <v>712438</v>
      </c>
      <c r="B10055">
        <v>3607361</v>
      </c>
      <c r="C10055" s="32">
        <v>43070.098680555559</v>
      </c>
    </row>
    <row r="10056" spans="1:3">
      <c r="A10056">
        <v>784993</v>
      </c>
      <c r="B10056">
        <v>4639855</v>
      </c>
      <c r="C10056" s="32">
        <v>43071.593576388892</v>
      </c>
    </row>
    <row r="10057" spans="1:3">
      <c r="A10057">
        <v>415321</v>
      </c>
      <c r="B10057">
        <v>562672</v>
      </c>
      <c r="C10057" s="32">
        <v>43071.279965277776</v>
      </c>
    </row>
    <row r="10058" spans="1:3">
      <c r="A10058">
        <v>308577</v>
      </c>
      <c r="B10058">
        <v>982926</v>
      </c>
      <c r="C10058" s="32">
        <v>43071.343657407408</v>
      </c>
    </row>
    <row r="10059" spans="1:3">
      <c r="A10059">
        <v>402538</v>
      </c>
      <c r="B10059">
        <v>4170419</v>
      </c>
      <c r="C10059" s="32">
        <v>43072.489212962966</v>
      </c>
    </row>
    <row r="10060" spans="1:3">
      <c r="A10060">
        <v>92926</v>
      </c>
      <c r="B10060">
        <v>3189162</v>
      </c>
      <c r="C10060" s="32">
        <v>43072.243194444447</v>
      </c>
    </row>
    <row r="10061" spans="1:3">
      <c r="A10061">
        <v>432164</v>
      </c>
      <c r="B10061">
        <v>4145813</v>
      </c>
      <c r="C10061" s="32">
        <v>43070.865289351852</v>
      </c>
    </row>
    <row r="10062" spans="1:3">
      <c r="A10062">
        <v>807898</v>
      </c>
      <c r="B10062">
        <v>268040</v>
      </c>
      <c r="C10062" s="32">
        <v>43071.615578703706</v>
      </c>
    </row>
    <row r="10063" spans="1:3">
      <c r="A10063">
        <v>109819</v>
      </c>
      <c r="B10063">
        <v>1320293</v>
      </c>
      <c r="C10063" s="32">
        <v>43070.592291666668</v>
      </c>
    </row>
    <row r="10064" spans="1:3">
      <c r="A10064">
        <v>636285</v>
      </c>
      <c r="B10064">
        <v>1464116</v>
      </c>
      <c r="C10064" s="32">
        <v>43071.381932870368</v>
      </c>
    </row>
    <row r="10065" spans="1:3">
      <c r="A10065">
        <v>985391</v>
      </c>
      <c r="B10065">
        <v>3645362</v>
      </c>
      <c r="C10065" s="32">
        <v>43071.554027777776</v>
      </c>
    </row>
    <row r="10066" spans="1:3">
      <c r="A10066">
        <v>985845</v>
      </c>
      <c r="B10066">
        <v>2578647</v>
      </c>
      <c r="C10066" s="32">
        <v>43070.278703703705</v>
      </c>
    </row>
    <row r="10067" spans="1:3">
      <c r="A10067">
        <v>70612</v>
      </c>
      <c r="B10067">
        <v>1787510</v>
      </c>
      <c r="C10067" s="32">
        <v>43071.05945601852</v>
      </c>
    </row>
    <row r="10068" spans="1:3">
      <c r="A10068">
        <v>445692</v>
      </c>
      <c r="B10068">
        <v>3607361</v>
      </c>
      <c r="C10068" s="32">
        <v>43070.587685185186</v>
      </c>
    </row>
    <row r="10069" spans="1:3">
      <c r="A10069">
        <v>156837</v>
      </c>
      <c r="B10069">
        <v>3645362</v>
      </c>
      <c r="C10069" s="32">
        <v>43071.579606481479</v>
      </c>
    </row>
    <row r="10070" spans="1:3">
      <c r="A10070">
        <v>784929</v>
      </c>
      <c r="B10070">
        <v>3002561</v>
      </c>
      <c r="C10070" s="32">
        <v>43072.276319444441</v>
      </c>
    </row>
    <row r="10071" spans="1:3">
      <c r="A10071">
        <v>65018</v>
      </c>
      <c r="B10071">
        <v>2520771</v>
      </c>
      <c r="C10071" s="32">
        <v>43072.055439814816</v>
      </c>
    </row>
    <row r="10072" spans="1:3">
      <c r="A10072">
        <v>143129</v>
      </c>
      <c r="B10072">
        <v>1568197</v>
      </c>
      <c r="C10072" s="32">
        <v>43071.460752314815</v>
      </c>
    </row>
    <row r="10073" spans="1:3">
      <c r="A10073">
        <v>26709</v>
      </c>
      <c r="B10073">
        <v>4756105</v>
      </c>
      <c r="C10073" s="32">
        <v>43070.52983796296</v>
      </c>
    </row>
    <row r="10074" spans="1:3">
      <c r="A10074">
        <v>861010</v>
      </c>
      <c r="B10074">
        <v>4450414</v>
      </c>
      <c r="C10074" s="32">
        <v>43071.338796296295</v>
      </c>
    </row>
    <row r="10075" spans="1:3">
      <c r="A10075">
        <v>203069</v>
      </c>
      <c r="B10075">
        <v>3002561</v>
      </c>
      <c r="C10075" s="32">
        <v>43071.024606481478</v>
      </c>
    </row>
    <row r="10076" spans="1:3">
      <c r="A10076">
        <v>359000</v>
      </c>
      <c r="B10076">
        <v>1464116</v>
      </c>
      <c r="C10076" s="32">
        <v>43071.637256944443</v>
      </c>
    </row>
    <row r="10077" spans="1:3">
      <c r="A10077">
        <v>648845</v>
      </c>
      <c r="B10077">
        <v>1320293</v>
      </c>
      <c r="C10077" s="32">
        <v>43071.117951388886</v>
      </c>
    </row>
    <row r="10078" spans="1:3">
      <c r="A10078">
        <v>695839</v>
      </c>
      <c r="B10078">
        <v>801221</v>
      </c>
      <c r="C10078" s="32">
        <v>43069.939884259256</v>
      </c>
    </row>
    <row r="10079" spans="1:3">
      <c r="A10079">
        <v>516496</v>
      </c>
      <c r="B10079">
        <v>3177877</v>
      </c>
      <c r="C10079" s="32">
        <v>43072.530590277776</v>
      </c>
    </row>
    <row r="10080" spans="1:3">
      <c r="A10080">
        <v>187499</v>
      </c>
      <c r="B10080">
        <v>4339722</v>
      </c>
      <c r="C10080" s="32">
        <v>43070.2812037037</v>
      </c>
    </row>
    <row r="10081" spans="1:3">
      <c r="A10081">
        <v>219277</v>
      </c>
      <c r="B10081">
        <v>4921805</v>
      </c>
      <c r="C10081" s="32">
        <v>43072.147106481483</v>
      </c>
    </row>
    <row r="10082" spans="1:3">
      <c r="A10082">
        <v>969844</v>
      </c>
      <c r="B10082">
        <v>4069500</v>
      </c>
      <c r="C10082" s="32">
        <v>43071.598854166667</v>
      </c>
    </row>
    <row r="10083" spans="1:3">
      <c r="A10083">
        <v>914718</v>
      </c>
      <c r="B10083">
        <v>2640118</v>
      </c>
      <c r="C10083" s="32">
        <v>43072.588287037041</v>
      </c>
    </row>
    <row r="10084" spans="1:3">
      <c r="A10084">
        <v>291941</v>
      </c>
      <c r="B10084">
        <v>2355072</v>
      </c>
      <c r="C10084" s="32">
        <v>43070.597777777781</v>
      </c>
    </row>
    <row r="10085" spans="1:3">
      <c r="A10085">
        <v>294510</v>
      </c>
      <c r="B10085">
        <v>2355072</v>
      </c>
      <c r="C10085" s="32">
        <v>43071.642928240741</v>
      </c>
    </row>
    <row r="10086" spans="1:3">
      <c r="A10086">
        <v>376578</v>
      </c>
      <c r="B10086">
        <v>2558244</v>
      </c>
      <c r="C10086" s="32">
        <v>43070.600300925929</v>
      </c>
    </row>
    <row r="10087" spans="1:3">
      <c r="A10087">
        <v>981106</v>
      </c>
      <c r="B10087">
        <v>941949</v>
      </c>
      <c r="C10087" s="32">
        <v>43072.446655092594</v>
      </c>
    </row>
    <row r="10088" spans="1:3">
      <c r="A10088">
        <v>35508</v>
      </c>
      <c r="B10088">
        <v>4145813</v>
      </c>
      <c r="C10088" s="32">
        <v>43071.377106481479</v>
      </c>
    </row>
    <row r="10089" spans="1:3">
      <c r="A10089">
        <v>468891</v>
      </c>
      <c r="B10089">
        <v>1585420</v>
      </c>
      <c r="C10089" s="32">
        <v>43072.298622685186</v>
      </c>
    </row>
    <row r="10090" spans="1:3">
      <c r="A10090">
        <v>703992</v>
      </c>
      <c r="B10090">
        <v>4181361</v>
      </c>
      <c r="C10090" s="32">
        <v>43071.490451388891</v>
      </c>
    </row>
    <row r="10091" spans="1:3">
      <c r="A10091">
        <v>506665</v>
      </c>
      <c r="B10091">
        <v>2355072</v>
      </c>
      <c r="C10091" s="32">
        <v>43071.502800925926</v>
      </c>
    </row>
    <row r="10092" spans="1:3">
      <c r="A10092">
        <v>985619</v>
      </c>
      <c r="B10092">
        <v>3988258</v>
      </c>
      <c r="C10092" s="32">
        <v>43070.422708333332</v>
      </c>
    </row>
    <row r="10093" spans="1:3">
      <c r="A10093">
        <v>47164</v>
      </c>
      <c r="B10093">
        <v>1729993</v>
      </c>
      <c r="C10093" s="32">
        <v>43072.601076388892</v>
      </c>
    </row>
    <row r="10094" spans="1:3">
      <c r="A10094">
        <v>303231</v>
      </c>
      <c r="B10094">
        <v>4936889</v>
      </c>
      <c r="C10094" s="32">
        <v>43072.093888888892</v>
      </c>
    </row>
    <row r="10095" spans="1:3">
      <c r="A10095">
        <v>369539</v>
      </c>
      <c r="B10095">
        <v>846990</v>
      </c>
      <c r="C10095" s="32">
        <v>43071.607766203706</v>
      </c>
    </row>
    <row r="10096" spans="1:3">
      <c r="A10096">
        <v>332948</v>
      </c>
      <c r="B10096">
        <v>3607361</v>
      </c>
      <c r="C10096" s="32">
        <v>43070.579363425924</v>
      </c>
    </row>
    <row r="10097" spans="1:3">
      <c r="A10097">
        <v>345235</v>
      </c>
      <c r="B10097">
        <v>3273619</v>
      </c>
      <c r="C10097" s="32">
        <v>43071.003981481481</v>
      </c>
    </row>
    <row r="10098" spans="1:3">
      <c r="A10098">
        <v>118646</v>
      </c>
      <c r="B10098">
        <v>4051859</v>
      </c>
      <c r="C10098" s="32">
        <v>43072.366180555553</v>
      </c>
    </row>
    <row r="10099" spans="1:3">
      <c r="A10099">
        <v>478455</v>
      </c>
      <c r="B10099">
        <v>2520377</v>
      </c>
      <c r="C10099" s="32">
        <v>43070.438738425924</v>
      </c>
    </row>
    <row r="10100" spans="1:3">
      <c r="A10100">
        <v>324096</v>
      </c>
      <c r="B10100">
        <v>1320293</v>
      </c>
      <c r="C10100" s="32">
        <v>43070.400497685187</v>
      </c>
    </row>
    <row r="10101" spans="1:3">
      <c r="A10101">
        <v>901940</v>
      </c>
      <c r="B10101">
        <v>79451</v>
      </c>
      <c r="C10101" s="32">
        <v>43071.044074074074</v>
      </c>
    </row>
    <row r="10102" spans="1:3">
      <c r="A10102">
        <v>29344</v>
      </c>
      <c r="B10102">
        <v>2465336</v>
      </c>
      <c r="C10102" s="32">
        <v>43071.616712962961</v>
      </c>
    </row>
    <row r="10103" spans="1:3">
      <c r="A10103">
        <v>968664</v>
      </c>
      <c r="B10103">
        <v>4357323</v>
      </c>
      <c r="C10103" s="32">
        <v>43069.693182870367</v>
      </c>
    </row>
    <row r="10104" spans="1:3">
      <c r="A10104">
        <v>812300</v>
      </c>
      <c r="B10104">
        <v>2735466</v>
      </c>
      <c r="C10104" s="32">
        <v>43072.232418981483</v>
      </c>
    </row>
    <row r="10105" spans="1:3">
      <c r="A10105">
        <v>294574</v>
      </c>
      <c r="B10105">
        <v>2578647</v>
      </c>
      <c r="C10105" s="32">
        <v>43071.562592592592</v>
      </c>
    </row>
    <row r="10106" spans="1:3">
      <c r="A10106">
        <v>479614</v>
      </c>
      <c r="B10106">
        <v>102272</v>
      </c>
      <c r="C10106" s="32">
        <v>43071.000833333332</v>
      </c>
    </row>
    <row r="10107" spans="1:3">
      <c r="A10107">
        <v>31664</v>
      </c>
      <c r="B10107">
        <v>3738615</v>
      </c>
      <c r="C10107" s="32">
        <v>43071.318356481483</v>
      </c>
    </row>
    <row r="10108" spans="1:3">
      <c r="A10108">
        <v>543376</v>
      </c>
      <c r="B10108">
        <v>2891509</v>
      </c>
      <c r="C10108" s="32">
        <v>43071.292962962965</v>
      </c>
    </row>
    <row r="10109" spans="1:3">
      <c r="A10109">
        <v>218079</v>
      </c>
      <c r="B10109">
        <v>982926</v>
      </c>
      <c r="C10109" s="32">
        <v>43072.095810185187</v>
      </c>
    </row>
    <row r="10110" spans="1:3">
      <c r="A10110">
        <v>75943</v>
      </c>
      <c r="B10110">
        <v>2939262</v>
      </c>
      <c r="C10110" s="32">
        <v>43071.15488425926</v>
      </c>
    </row>
    <row r="10111" spans="1:3">
      <c r="A10111">
        <v>239696</v>
      </c>
      <c r="B10111">
        <v>344833</v>
      </c>
      <c r="C10111" s="32">
        <v>43071.174699074072</v>
      </c>
    </row>
    <row r="10112" spans="1:3">
      <c r="A10112">
        <v>246220</v>
      </c>
      <c r="B10112">
        <v>3673501</v>
      </c>
      <c r="C10112" s="32">
        <v>43072.602905092594</v>
      </c>
    </row>
    <row r="10113" spans="1:3">
      <c r="A10113">
        <v>686963</v>
      </c>
      <c r="B10113">
        <v>1449177</v>
      </c>
      <c r="C10113" s="32">
        <v>43071.521689814814</v>
      </c>
    </row>
    <row r="10114" spans="1:3">
      <c r="A10114">
        <v>667835</v>
      </c>
      <c r="B10114">
        <v>4962280</v>
      </c>
      <c r="C10114" s="32">
        <v>43071.462037037039</v>
      </c>
    </row>
    <row r="10115" spans="1:3">
      <c r="A10115">
        <v>527549</v>
      </c>
      <c r="B10115">
        <v>4756105</v>
      </c>
      <c r="C10115" s="32">
        <v>43070.55777777778</v>
      </c>
    </row>
    <row r="10116" spans="1:3">
      <c r="A10116">
        <v>988092</v>
      </c>
      <c r="B10116">
        <v>3430419</v>
      </c>
      <c r="C10116" s="32">
        <v>43071.411203703705</v>
      </c>
    </row>
    <row r="10117" spans="1:3">
      <c r="A10117">
        <v>954909</v>
      </c>
      <c r="B10117">
        <v>2520377</v>
      </c>
      <c r="C10117" s="32">
        <v>43072.588969907411</v>
      </c>
    </row>
    <row r="10118" spans="1:3">
      <c r="A10118">
        <v>414022</v>
      </c>
      <c r="B10118">
        <v>1879194</v>
      </c>
      <c r="C10118" s="32">
        <v>43072.218298611115</v>
      </c>
    </row>
    <row r="10119" spans="1:3">
      <c r="A10119">
        <v>234236</v>
      </c>
      <c r="B10119">
        <v>883960</v>
      </c>
      <c r="C10119" s="32">
        <v>43070.560162037036</v>
      </c>
    </row>
    <row r="10120" spans="1:3">
      <c r="A10120">
        <v>509636</v>
      </c>
      <c r="B10120">
        <v>4021638</v>
      </c>
      <c r="C10120" s="32">
        <v>43070.536851851852</v>
      </c>
    </row>
    <row r="10121" spans="1:3">
      <c r="A10121">
        <v>671983</v>
      </c>
      <c r="B10121">
        <v>1854481</v>
      </c>
      <c r="C10121" s="32">
        <v>43071.259652777779</v>
      </c>
    </row>
    <row r="10122" spans="1:3">
      <c r="A10122">
        <v>981988</v>
      </c>
      <c r="B10122">
        <v>2465336</v>
      </c>
      <c r="C10122" s="32">
        <v>43069.750543981485</v>
      </c>
    </row>
    <row r="10123" spans="1:3">
      <c r="A10123">
        <v>17945</v>
      </c>
      <c r="B10123">
        <v>4643350</v>
      </c>
      <c r="C10123" s="32">
        <v>43070.484594907408</v>
      </c>
    </row>
    <row r="10124" spans="1:3">
      <c r="A10124">
        <v>769600</v>
      </c>
      <c r="B10124">
        <v>3141832</v>
      </c>
      <c r="C10124" s="32">
        <v>43072.068240740744</v>
      </c>
    </row>
    <row r="10125" spans="1:3">
      <c r="A10125">
        <v>587011</v>
      </c>
      <c r="B10125">
        <v>2529187</v>
      </c>
      <c r="C10125" s="32">
        <v>43071.071504629632</v>
      </c>
    </row>
    <row r="10126" spans="1:3">
      <c r="A10126">
        <v>480560</v>
      </c>
      <c r="B10126">
        <v>2321836</v>
      </c>
      <c r="C10126" s="32">
        <v>43071.834247685183</v>
      </c>
    </row>
    <row r="10127" spans="1:3">
      <c r="A10127">
        <v>366522</v>
      </c>
      <c r="B10127">
        <v>4789432</v>
      </c>
      <c r="C10127" s="32">
        <v>43070.666226851848</v>
      </c>
    </row>
    <row r="10128" spans="1:3">
      <c r="A10128">
        <v>262971</v>
      </c>
      <c r="B10128">
        <v>3980900</v>
      </c>
      <c r="C10128" s="32">
        <v>43069.983148148145</v>
      </c>
    </row>
    <row r="10129" spans="1:3">
      <c r="A10129">
        <v>491527</v>
      </c>
      <c r="B10129">
        <v>4690421</v>
      </c>
      <c r="C10129" s="32">
        <v>43072.136863425927</v>
      </c>
    </row>
    <row r="10130" spans="1:3">
      <c r="A10130">
        <v>1003018</v>
      </c>
      <c r="B10130">
        <v>2578647</v>
      </c>
      <c r="C10130" s="32">
        <v>43072.292523148149</v>
      </c>
    </row>
    <row r="10131" spans="1:3">
      <c r="A10131">
        <v>973565</v>
      </c>
      <c r="B10131">
        <v>3607361</v>
      </c>
      <c r="C10131" s="32">
        <v>43070.566412037035</v>
      </c>
    </row>
    <row r="10132" spans="1:3">
      <c r="A10132">
        <v>376425</v>
      </c>
      <c r="B10132">
        <v>4901188</v>
      </c>
      <c r="C10132" s="32">
        <v>43071.57503472222</v>
      </c>
    </row>
    <row r="10133" spans="1:3">
      <c r="A10133">
        <v>431577</v>
      </c>
      <c r="B10133">
        <v>2520377</v>
      </c>
      <c r="C10133" s="32">
        <v>43071.192696759259</v>
      </c>
    </row>
    <row r="10134" spans="1:3">
      <c r="A10134">
        <v>450727</v>
      </c>
      <c r="B10134">
        <v>4640311</v>
      </c>
      <c r="C10134" s="32">
        <v>43072.563969907409</v>
      </c>
    </row>
    <row r="10135" spans="1:3">
      <c r="A10135">
        <v>67428</v>
      </c>
      <c r="B10135">
        <v>1080785</v>
      </c>
      <c r="C10135" s="32">
        <v>43072.57136574074</v>
      </c>
    </row>
    <row r="10136" spans="1:3">
      <c r="A10136">
        <v>544807</v>
      </c>
      <c r="B10136">
        <v>1397912</v>
      </c>
      <c r="C10136" s="32">
        <v>43070.72488425926</v>
      </c>
    </row>
    <row r="10137" spans="1:3">
      <c r="A10137">
        <v>736070</v>
      </c>
      <c r="B10137">
        <v>3607361</v>
      </c>
      <c r="C10137" s="32">
        <v>43072.042673611111</v>
      </c>
    </row>
    <row r="10138" spans="1:3">
      <c r="A10138">
        <v>831916</v>
      </c>
      <c r="B10138">
        <v>2352202</v>
      </c>
      <c r="C10138" s="32">
        <v>43072.074490740742</v>
      </c>
    </row>
    <row r="10139" spans="1:3">
      <c r="A10139">
        <v>446483</v>
      </c>
      <c r="B10139">
        <v>4217906</v>
      </c>
      <c r="C10139" s="32">
        <v>43072.267731481479</v>
      </c>
    </row>
    <row r="10140" spans="1:3">
      <c r="A10140">
        <v>571953</v>
      </c>
      <c r="B10140">
        <v>4244487</v>
      </c>
      <c r="C10140" s="32">
        <v>43072.269942129627</v>
      </c>
    </row>
    <row r="10141" spans="1:3">
      <c r="A10141">
        <v>711867</v>
      </c>
      <c r="B10141">
        <v>982926</v>
      </c>
      <c r="C10141" s="32">
        <v>43071.969641203701</v>
      </c>
    </row>
    <row r="10142" spans="1:3">
      <c r="A10142">
        <v>863051</v>
      </c>
      <c r="B10142">
        <v>1813610</v>
      </c>
      <c r="C10142" s="32">
        <v>43072.008657407408</v>
      </c>
    </row>
    <row r="10143" spans="1:3">
      <c r="A10143">
        <v>585213</v>
      </c>
      <c r="B10143">
        <v>4170419</v>
      </c>
      <c r="C10143" s="32">
        <v>43070.408483796295</v>
      </c>
    </row>
    <row r="10144" spans="1:3">
      <c r="A10144">
        <v>268606</v>
      </c>
      <c r="B10144">
        <v>4151801</v>
      </c>
      <c r="C10144" s="32">
        <v>43070.964039351849</v>
      </c>
    </row>
    <row r="10145" spans="1:3">
      <c r="A10145">
        <v>838549</v>
      </c>
      <c r="B10145">
        <v>903809</v>
      </c>
      <c r="C10145" s="32">
        <v>43072.617152777777</v>
      </c>
    </row>
    <row r="10146" spans="1:3">
      <c r="A10146">
        <v>490314</v>
      </c>
      <c r="B10146">
        <v>3598912</v>
      </c>
      <c r="C10146" s="32">
        <v>43071.644143518519</v>
      </c>
    </row>
    <row r="10147" spans="1:3">
      <c r="A10147">
        <v>993001</v>
      </c>
      <c r="B10147">
        <v>3002561</v>
      </c>
      <c r="C10147" s="32">
        <v>43071.986770833333</v>
      </c>
    </row>
    <row r="10148" spans="1:3">
      <c r="A10148">
        <v>64857</v>
      </c>
      <c r="B10148">
        <v>2920476</v>
      </c>
      <c r="C10148" s="32">
        <v>43071.672696759262</v>
      </c>
    </row>
    <row r="10149" spans="1:3">
      <c r="A10149">
        <v>302407</v>
      </c>
      <c r="B10149">
        <v>3706169</v>
      </c>
      <c r="C10149" s="32">
        <v>43071.042974537035</v>
      </c>
    </row>
    <row r="10150" spans="1:3">
      <c r="A10150">
        <v>170051</v>
      </c>
      <c r="B10150">
        <v>3158249</v>
      </c>
      <c r="C10150" s="32">
        <v>43071.642418981479</v>
      </c>
    </row>
    <row r="10151" spans="1:3">
      <c r="A10151">
        <v>71464</v>
      </c>
      <c r="B10151">
        <v>672001</v>
      </c>
      <c r="C10151" s="32">
        <v>43072.502511574072</v>
      </c>
    </row>
    <row r="10152" spans="1:3">
      <c r="A10152">
        <v>459915</v>
      </c>
      <c r="B10152">
        <v>4756105</v>
      </c>
      <c r="C10152" s="32">
        <v>43071.154421296298</v>
      </c>
    </row>
    <row r="10153" spans="1:3">
      <c r="A10153">
        <v>922253</v>
      </c>
      <c r="B10153">
        <v>2520377</v>
      </c>
      <c r="C10153" s="32">
        <v>43070.502210648148</v>
      </c>
    </row>
    <row r="10154" spans="1:3">
      <c r="A10154">
        <v>598094</v>
      </c>
      <c r="B10154">
        <v>982926</v>
      </c>
      <c r="C10154" s="32">
        <v>43072.501817129632</v>
      </c>
    </row>
    <row r="10155" spans="1:3">
      <c r="A10155">
        <v>103486</v>
      </c>
      <c r="B10155">
        <v>4801426</v>
      </c>
      <c r="C10155" s="32">
        <v>43072.131249999999</v>
      </c>
    </row>
    <row r="10156" spans="1:3">
      <c r="A10156">
        <v>199200</v>
      </c>
      <c r="B10156">
        <v>5138762</v>
      </c>
      <c r="C10156" s="32">
        <v>43072.150520833333</v>
      </c>
    </row>
    <row r="10157" spans="1:3">
      <c r="A10157">
        <v>649143</v>
      </c>
      <c r="B10157">
        <v>4801426</v>
      </c>
      <c r="C10157" s="32">
        <v>43070.590405092589</v>
      </c>
    </row>
    <row r="10158" spans="1:3">
      <c r="A10158">
        <v>704308</v>
      </c>
      <c r="B10158">
        <v>4739351</v>
      </c>
      <c r="C10158" s="32">
        <v>43072.20722222222</v>
      </c>
    </row>
    <row r="10159" spans="1:3">
      <c r="A10159">
        <v>276970</v>
      </c>
      <c r="B10159">
        <v>475026</v>
      </c>
      <c r="C10159" s="32">
        <v>43072.344768518517</v>
      </c>
    </row>
    <row r="10160" spans="1:3">
      <c r="A10160">
        <v>622668</v>
      </c>
      <c r="B10160">
        <v>2465336</v>
      </c>
      <c r="C10160" s="32">
        <v>43071.111516203702</v>
      </c>
    </row>
    <row r="10161" spans="1:3">
      <c r="A10161">
        <v>885329</v>
      </c>
      <c r="B10161">
        <v>4145813</v>
      </c>
      <c r="C10161" s="32">
        <v>43072.048981481479</v>
      </c>
    </row>
    <row r="10162" spans="1:3">
      <c r="A10162">
        <v>414680</v>
      </c>
      <c r="B10162">
        <v>3160926</v>
      </c>
      <c r="C10162" s="32">
        <v>43072.575706018521</v>
      </c>
    </row>
    <row r="10163" spans="1:3">
      <c r="A10163">
        <v>318977</v>
      </c>
      <c r="B10163">
        <v>4756105</v>
      </c>
      <c r="C10163" s="32">
        <v>43070.675428240742</v>
      </c>
    </row>
    <row r="10164" spans="1:3">
      <c r="A10164">
        <v>548513</v>
      </c>
      <c r="B10164">
        <v>4217906</v>
      </c>
      <c r="C10164" s="32">
        <v>43072.211006944446</v>
      </c>
    </row>
    <row r="10165" spans="1:3">
      <c r="A10165">
        <v>579486</v>
      </c>
      <c r="B10165">
        <v>4655941</v>
      </c>
      <c r="C10165" s="32">
        <v>43069.700185185182</v>
      </c>
    </row>
    <row r="10166" spans="1:3">
      <c r="A10166">
        <v>1008382</v>
      </c>
      <c r="B10166">
        <v>2520377</v>
      </c>
      <c r="C10166" s="32">
        <v>43072.271053240744</v>
      </c>
    </row>
    <row r="10167" spans="1:3">
      <c r="A10167">
        <v>865210</v>
      </c>
      <c r="B10167">
        <v>2520771</v>
      </c>
      <c r="C10167" s="32">
        <v>43072.631307870368</v>
      </c>
    </row>
    <row r="10168" spans="1:3">
      <c r="A10168">
        <v>92674</v>
      </c>
      <c r="B10168">
        <v>1807416</v>
      </c>
      <c r="C10168" s="32">
        <v>43072.619502314818</v>
      </c>
    </row>
    <row r="10169" spans="1:3">
      <c r="A10169">
        <v>78514</v>
      </c>
      <c r="B10169">
        <v>2355072</v>
      </c>
      <c r="C10169" s="32">
        <v>43071.384722222225</v>
      </c>
    </row>
    <row r="10170" spans="1:3">
      <c r="A10170">
        <v>131672</v>
      </c>
      <c r="B10170">
        <v>4357323</v>
      </c>
      <c r="C10170" s="32">
        <v>43071.063391203701</v>
      </c>
    </row>
    <row r="10171" spans="1:3">
      <c r="A10171">
        <v>780866</v>
      </c>
      <c r="B10171">
        <v>2415168</v>
      </c>
      <c r="C10171" s="32">
        <v>43071.657129629632</v>
      </c>
    </row>
    <row r="10172" spans="1:3">
      <c r="A10172">
        <v>629504</v>
      </c>
      <c r="B10172">
        <v>4357323</v>
      </c>
      <c r="C10172" s="32">
        <v>43070.660254629627</v>
      </c>
    </row>
    <row r="10173" spans="1:3">
      <c r="A10173">
        <v>603829</v>
      </c>
      <c r="B10173">
        <v>3607361</v>
      </c>
      <c r="C10173" s="32">
        <v>43071.911863425928</v>
      </c>
    </row>
    <row r="10174" spans="1:3">
      <c r="A10174">
        <v>897616</v>
      </c>
      <c r="B10174">
        <v>883960</v>
      </c>
      <c r="C10174" s="32">
        <v>43070.094108796293</v>
      </c>
    </row>
    <row r="10175" spans="1:3">
      <c r="A10175">
        <v>799588</v>
      </c>
      <c r="B10175">
        <v>643645</v>
      </c>
      <c r="C10175" s="32">
        <v>43070.493831018517</v>
      </c>
    </row>
    <row r="10176" spans="1:3">
      <c r="A10176">
        <v>107743</v>
      </c>
      <c r="B10176">
        <v>3002561</v>
      </c>
      <c r="C10176" s="32">
        <v>43070.256527777776</v>
      </c>
    </row>
    <row r="10177" spans="1:3">
      <c r="A10177">
        <v>831932</v>
      </c>
      <c r="B10177">
        <v>1320293</v>
      </c>
      <c r="C10177" s="32">
        <v>43071.027743055558</v>
      </c>
    </row>
    <row r="10178" spans="1:3">
      <c r="A10178">
        <v>278907</v>
      </c>
      <c r="B10178">
        <v>3392099</v>
      </c>
      <c r="C10178" s="32">
        <v>43071.593969907408</v>
      </c>
    </row>
    <row r="10179" spans="1:3">
      <c r="A10179">
        <v>458913</v>
      </c>
      <c r="B10179">
        <v>4387026</v>
      </c>
      <c r="C10179" s="32">
        <v>43071.4294212963</v>
      </c>
    </row>
    <row r="10180" spans="1:3">
      <c r="A10180">
        <v>386887</v>
      </c>
      <c r="B10180">
        <v>2922264</v>
      </c>
      <c r="C10180" s="32">
        <v>43070.324861111112</v>
      </c>
    </row>
    <row r="10181" spans="1:3">
      <c r="A10181">
        <v>997708</v>
      </c>
      <c r="B10181">
        <v>3156448</v>
      </c>
      <c r="C10181" s="32">
        <v>43071.290706018517</v>
      </c>
    </row>
    <row r="10182" spans="1:3">
      <c r="A10182">
        <v>899177</v>
      </c>
      <c r="B10182">
        <v>4163659</v>
      </c>
      <c r="C10182" s="32">
        <v>43070.45579861111</v>
      </c>
    </row>
    <row r="10183" spans="1:3">
      <c r="A10183">
        <v>553701</v>
      </c>
      <c r="B10183">
        <v>2590256</v>
      </c>
      <c r="C10183" s="32">
        <v>43070.86990740741</v>
      </c>
    </row>
    <row r="10184" spans="1:3">
      <c r="A10184">
        <v>47444</v>
      </c>
      <c r="B10184">
        <v>542908</v>
      </c>
      <c r="C10184" s="32">
        <v>43071.119768518518</v>
      </c>
    </row>
    <row r="10185" spans="1:3">
      <c r="A10185">
        <v>288322</v>
      </c>
      <c r="B10185">
        <v>1568197</v>
      </c>
      <c r="C10185" s="32">
        <v>43070.261550925927</v>
      </c>
    </row>
    <row r="10186" spans="1:3">
      <c r="A10186">
        <v>274973</v>
      </c>
      <c r="B10186">
        <v>3855599</v>
      </c>
      <c r="C10186" s="32">
        <v>43070.552916666667</v>
      </c>
    </row>
    <row r="10187" spans="1:3">
      <c r="A10187">
        <v>402117</v>
      </c>
      <c r="B10187">
        <v>3702593</v>
      </c>
      <c r="C10187" s="32">
        <v>43070.572152777779</v>
      </c>
    </row>
    <row r="10188" spans="1:3">
      <c r="A10188">
        <v>347431</v>
      </c>
      <c r="B10188">
        <v>2355072</v>
      </c>
      <c r="C10188" s="32">
        <v>43072.259988425925</v>
      </c>
    </row>
    <row r="10189" spans="1:3">
      <c r="A10189">
        <v>206580</v>
      </c>
      <c r="B10189">
        <v>2023387</v>
      </c>
      <c r="C10189" s="32">
        <v>43070.267592592594</v>
      </c>
    </row>
    <row r="10190" spans="1:3">
      <c r="A10190">
        <v>668210</v>
      </c>
      <c r="B10190">
        <v>1691699</v>
      </c>
      <c r="C10190" s="32">
        <v>43071.426168981481</v>
      </c>
    </row>
    <row r="10191" spans="1:3">
      <c r="A10191">
        <v>543977</v>
      </c>
      <c r="B10191">
        <v>1988672</v>
      </c>
      <c r="C10191" s="32">
        <v>43071.516435185185</v>
      </c>
    </row>
    <row r="10192" spans="1:3">
      <c r="A10192">
        <v>638431</v>
      </c>
      <c r="B10192">
        <v>4145813</v>
      </c>
      <c r="C10192" s="32">
        <v>43072.51834490741</v>
      </c>
    </row>
    <row r="10193" spans="1:3">
      <c r="A10193">
        <v>301271</v>
      </c>
      <c r="B10193">
        <v>3076855</v>
      </c>
      <c r="C10193" s="32">
        <v>43071.544872685183</v>
      </c>
    </row>
    <row r="10194" spans="1:3">
      <c r="A10194">
        <v>97922</v>
      </c>
      <c r="B10194">
        <v>3835723</v>
      </c>
      <c r="C10194" s="32">
        <v>43071.658599537041</v>
      </c>
    </row>
    <row r="10195" spans="1:3">
      <c r="A10195">
        <v>149153</v>
      </c>
      <c r="B10195">
        <v>235534</v>
      </c>
      <c r="C10195" s="32">
        <v>43071.461261574077</v>
      </c>
    </row>
    <row r="10196" spans="1:3">
      <c r="A10196">
        <v>272507</v>
      </c>
      <c r="B10196">
        <v>245312</v>
      </c>
      <c r="C10196" s="32">
        <v>43071.419814814813</v>
      </c>
    </row>
    <row r="10197" spans="1:3">
      <c r="A10197">
        <v>380281</v>
      </c>
      <c r="B10197">
        <v>2957371</v>
      </c>
      <c r="C10197" s="32">
        <v>43070.317407407405</v>
      </c>
    </row>
    <row r="10198" spans="1:3">
      <c r="A10198">
        <v>468011</v>
      </c>
      <c r="B10198">
        <v>982926</v>
      </c>
      <c r="C10198" s="32">
        <v>43070.514432870368</v>
      </c>
    </row>
    <row r="10199" spans="1:3">
      <c r="A10199">
        <v>534900</v>
      </c>
      <c r="B10199">
        <v>4145813</v>
      </c>
      <c r="C10199" s="32">
        <v>43072.487210648149</v>
      </c>
    </row>
    <row r="10200" spans="1:3">
      <c r="A10200">
        <v>298869</v>
      </c>
      <c r="B10200">
        <v>4145813</v>
      </c>
      <c r="C10200" s="32">
        <v>43070.518587962964</v>
      </c>
    </row>
    <row r="10201" spans="1:3">
      <c r="A10201">
        <v>376058</v>
      </c>
      <c r="B10201">
        <v>149192</v>
      </c>
      <c r="C10201" s="32">
        <v>43072.416087962964</v>
      </c>
    </row>
    <row r="10202" spans="1:3">
      <c r="A10202">
        <v>269485</v>
      </c>
      <c r="B10202">
        <v>2815065</v>
      </c>
      <c r="C10202" s="32">
        <v>43070.041412037041</v>
      </c>
    </row>
    <row r="10203" spans="1:3">
      <c r="A10203">
        <v>393461</v>
      </c>
      <c r="B10203">
        <v>4756105</v>
      </c>
      <c r="C10203" s="32">
        <v>43072.606979166667</v>
      </c>
    </row>
    <row r="10204" spans="1:3">
      <c r="A10204">
        <v>188008</v>
      </c>
      <c r="B10204">
        <v>4719814</v>
      </c>
      <c r="C10204" s="32">
        <v>43072.584756944445</v>
      </c>
    </row>
    <row r="10205" spans="1:3">
      <c r="A10205">
        <v>576399</v>
      </c>
      <c r="B10205">
        <v>4050612</v>
      </c>
      <c r="C10205" s="32">
        <v>43071.557523148149</v>
      </c>
    </row>
    <row r="10206" spans="1:3">
      <c r="A10206">
        <v>933277</v>
      </c>
      <c r="B10206">
        <v>3844144</v>
      </c>
      <c r="C10206" s="32">
        <v>43071.199861111112</v>
      </c>
    </row>
    <row r="10207" spans="1:3">
      <c r="A10207">
        <v>757415</v>
      </c>
      <c r="B10207">
        <v>3607361</v>
      </c>
      <c r="C10207" s="32">
        <v>43072.596932870372</v>
      </c>
    </row>
    <row r="10208" spans="1:3">
      <c r="A10208">
        <v>940738</v>
      </c>
      <c r="B10208">
        <v>2721770</v>
      </c>
      <c r="C10208" s="32">
        <v>43072.160543981481</v>
      </c>
    </row>
    <row r="10209" spans="1:3">
      <c r="A10209">
        <v>446618</v>
      </c>
      <c r="B10209">
        <v>3461823</v>
      </c>
      <c r="C10209" s="32">
        <v>43071.402349537035</v>
      </c>
    </row>
    <row r="10210" spans="1:3">
      <c r="A10210">
        <v>778606</v>
      </c>
      <c r="B10210">
        <v>3736316</v>
      </c>
      <c r="C10210" s="32">
        <v>43071.950428240743</v>
      </c>
    </row>
    <row r="10211" spans="1:3">
      <c r="A10211">
        <v>627624</v>
      </c>
      <c r="B10211">
        <v>4339722</v>
      </c>
      <c r="C10211" s="32">
        <v>43070.168356481481</v>
      </c>
    </row>
    <row r="10212" spans="1:3">
      <c r="A10212">
        <v>230477</v>
      </c>
      <c r="B10212">
        <v>4022701</v>
      </c>
      <c r="C10212" s="32">
        <v>43072.576192129629</v>
      </c>
    </row>
    <row r="10213" spans="1:3">
      <c r="A10213">
        <v>79599</v>
      </c>
      <c r="B10213">
        <v>2355072</v>
      </c>
      <c r="C10213" s="32">
        <v>43070.132349537038</v>
      </c>
    </row>
    <row r="10214" spans="1:3">
      <c r="A10214">
        <v>26718</v>
      </c>
      <c r="B10214">
        <v>982926</v>
      </c>
      <c r="C10214" s="32">
        <v>43070.593877314815</v>
      </c>
    </row>
    <row r="10215" spans="1:3">
      <c r="A10215">
        <v>982715</v>
      </c>
      <c r="B10215">
        <v>4357323</v>
      </c>
      <c r="C10215" s="32">
        <v>43070.243101851855</v>
      </c>
    </row>
    <row r="10216" spans="1:3">
      <c r="A10216">
        <v>497925</v>
      </c>
      <c r="B10216">
        <v>982926</v>
      </c>
      <c r="C10216" s="32">
        <v>43072.158449074072</v>
      </c>
    </row>
    <row r="10217" spans="1:3">
      <c r="A10217">
        <v>421050</v>
      </c>
      <c r="B10217">
        <v>2355072</v>
      </c>
      <c r="C10217" s="32">
        <v>43070.319965277777</v>
      </c>
    </row>
    <row r="10218" spans="1:3">
      <c r="A10218">
        <v>501191</v>
      </c>
      <c r="B10218">
        <v>344833</v>
      </c>
      <c r="C10218" s="32">
        <v>43069.786157407405</v>
      </c>
    </row>
    <row r="10219" spans="1:3">
      <c r="A10219">
        <v>944969</v>
      </c>
      <c r="B10219">
        <v>4921805</v>
      </c>
      <c r="C10219" s="32">
        <v>43072.649409722224</v>
      </c>
    </row>
    <row r="10220" spans="1:3">
      <c r="A10220">
        <v>968115</v>
      </c>
      <c r="B10220">
        <v>982926</v>
      </c>
      <c r="C10220" s="32">
        <v>43071.577650462961</v>
      </c>
    </row>
    <row r="10221" spans="1:3">
      <c r="A10221">
        <v>339317</v>
      </c>
      <c r="B10221">
        <v>1265358</v>
      </c>
      <c r="C10221" s="32">
        <v>43071.398368055554</v>
      </c>
    </row>
    <row r="10222" spans="1:3">
      <c r="A10222">
        <v>483901</v>
      </c>
      <c r="B10222">
        <v>3607361</v>
      </c>
      <c r="C10222" s="32">
        <v>43070.410636574074</v>
      </c>
    </row>
    <row r="10223" spans="1:3">
      <c r="A10223">
        <v>503773</v>
      </c>
      <c r="B10223">
        <v>2465336</v>
      </c>
      <c r="C10223" s="32">
        <v>43071.708287037036</v>
      </c>
    </row>
    <row r="10224" spans="1:3">
      <c r="A10224">
        <v>376316</v>
      </c>
      <c r="B10224">
        <v>4708262</v>
      </c>
      <c r="C10224" s="32">
        <v>43071.463576388887</v>
      </c>
    </row>
    <row r="10225" spans="1:3">
      <c r="A10225">
        <v>600325</v>
      </c>
      <c r="B10225">
        <v>2975713</v>
      </c>
      <c r="C10225" s="32">
        <v>43071.551354166666</v>
      </c>
    </row>
    <row r="10226" spans="1:3">
      <c r="A10226">
        <v>604947</v>
      </c>
      <c r="B10226">
        <v>2885642</v>
      </c>
      <c r="C10226" s="32">
        <v>43072.620706018519</v>
      </c>
    </row>
    <row r="10227" spans="1:3">
      <c r="A10227">
        <v>748434</v>
      </c>
      <c r="B10227">
        <v>3189162</v>
      </c>
      <c r="C10227" s="32">
        <v>43070.035601851851</v>
      </c>
    </row>
    <row r="10228" spans="1:3">
      <c r="A10228">
        <v>556790</v>
      </c>
      <c r="B10228">
        <v>4756105</v>
      </c>
      <c r="C10228" s="32">
        <v>43070.196817129632</v>
      </c>
    </row>
    <row r="10229" spans="1:3">
      <c r="A10229">
        <v>221027</v>
      </c>
      <c r="B10229">
        <v>733013</v>
      </c>
      <c r="C10229" s="32">
        <v>43071.733344907407</v>
      </c>
    </row>
    <row r="10230" spans="1:3">
      <c r="A10230">
        <v>463990</v>
      </c>
      <c r="B10230">
        <v>1457367</v>
      </c>
      <c r="C10230" s="32">
        <v>43069.672372685185</v>
      </c>
    </row>
    <row r="10231" spans="1:3">
      <c r="A10231">
        <v>702852</v>
      </c>
      <c r="B10231">
        <v>4719814</v>
      </c>
      <c r="C10231" s="32">
        <v>43070.224120370367</v>
      </c>
    </row>
    <row r="10232" spans="1:3">
      <c r="A10232">
        <v>753949</v>
      </c>
      <c r="B10232">
        <v>4476428</v>
      </c>
      <c r="C10232" s="32">
        <v>43072.108587962961</v>
      </c>
    </row>
    <row r="10233" spans="1:3">
      <c r="A10233">
        <v>191781</v>
      </c>
      <c r="B10233">
        <v>4015820</v>
      </c>
      <c r="C10233" s="32">
        <v>43072.100219907406</v>
      </c>
    </row>
    <row r="10234" spans="1:3">
      <c r="A10234">
        <v>253675</v>
      </c>
      <c r="B10234">
        <v>2355072</v>
      </c>
      <c r="C10234" s="32">
        <v>43072.39980324074</v>
      </c>
    </row>
    <row r="10235" spans="1:3">
      <c r="A10235">
        <v>145070</v>
      </c>
      <c r="B10235">
        <v>1567637</v>
      </c>
      <c r="C10235" s="32">
        <v>43071.359895833331</v>
      </c>
    </row>
    <row r="10236" spans="1:3">
      <c r="A10236">
        <v>75232</v>
      </c>
      <c r="B10236">
        <v>3645362</v>
      </c>
      <c r="C10236" s="32">
        <v>43072.306574074071</v>
      </c>
    </row>
    <row r="10237" spans="1:3">
      <c r="A10237">
        <v>963495</v>
      </c>
      <c r="B10237">
        <v>1859277</v>
      </c>
      <c r="C10237" s="32">
        <v>43071.564756944441</v>
      </c>
    </row>
    <row r="10238" spans="1:3">
      <c r="A10238">
        <v>528280</v>
      </c>
      <c r="B10238">
        <v>1568197</v>
      </c>
      <c r="C10238" s="32">
        <v>43072.231087962966</v>
      </c>
    </row>
    <row r="10239" spans="1:3">
      <c r="A10239">
        <v>677875</v>
      </c>
      <c r="B10239">
        <v>4188178</v>
      </c>
      <c r="C10239" s="32">
        <v>43072.465891203705</v>
      </c>
    </row>
    <row r="10240" spans="1:3">
      <c r="A10240">
        <v>808100</v>
      </c>
      <c r="B10240">
        <v>2735466</v>
      </c>
      <c r="C10240" s="32">
        <v>43072.367835648147</v>
      </c>
    </row>
    <row r="10241" spans="1:3">
      <c r="A10241">
        <v>230872</v>
      </c>
      <c r="B10241">
        <v>1349561</v>
      </c>
      <c r="C10241" s="32">
        <v>43069.897037037037</v>
      </c>
    </row>
    <row r="10242" spans="1:3">
      <c r="A10242">
        <v>472592</v>
      </c>
      <c r="B10242">
        <v>2520771</v>
      </c>
      <c r="C10242" s="32">
        <v>43071.646192129629</v>
      </c>
    </row>
    <row r="10243" spans="1:3">
      <c r="A10243">
        <v>218998</v>
      </c>
      <c r="B10243">
        <v>4145813</v>
      </c>
      <c r="C10243" s="32">
        <v>43071.656840277778</v>
      </c>
    </row>
    <row r="10244" spans="1:3">
      <c r="A10244">
        <v>350648</v>
      </c>
      <c r="B10244">
        <v>1652543</v>
      </c>
      <c r="C10244" s="32">
        <v>43071.704016203701</v>
      </c>
    </row>
    <row r="10245" spans="1:3">
      <c r="A10245">
        <v>29622</v>
      </c>
      <c r="B10245">
        <v>4159072</v>
      </c>
      <c r="C10245" s="32">
        <v>43072.289050925923</v>
      </c>
    </row>
    <row r="10246" spans="1:3">
      <c r="A10246">
        <v>629312</v>
      </c>
      <c r="B10246">
        <v>3962843</v>
      </c>
      <c r="C10246" s="32">
        <v>43070.563078703701</v>
      </c>
    </row>
    <row r="10247" spans="1:3">
      <c r="A10247">
        <v>304908</v>
      </c>
      <c r="B10247">
        <v>3624696</v>
      </c>
      <c r="C10247" s="32">
        <v>43070.287638888891</v>
      </c>
    </row>
    <row r="10248" spans="1:3">
      <c r="A10248">
        <v>34995</v>
      </c>
      <c r="B10248">
        <v>238434</v>
      </c>
      <c r="C10248" s="32">
        <v>43072.595057870371</v>
      </c>
    </row>
    <row r="10249" spans="1:3">
      <c r="A10249">
        <v>630845</v>
      </c>
      <c r="B10249">
        <v>4145813</v>
      </c>
      <c r="C10249" s="32">
        <v>43070.593298611115</v>
      </c>
    </row>
    <row r="10250" spans="1:3">
      <c r="A10250">
        <v>960992</v>
      </c>
      <c r="B10250">
        <v>711599</v>
      </c>
      <c r="C10250" s="32">
        <v>43072.415254629632</v>
      </c>
    </row>
    <row r="10251" spans="1:3">
      <c r="A10251">
        <v>968542</v>
      </c>
      <c r="B10251">
        <v>1994940</v>
      </c>
      <c r="C10251" s="32">
        <v>43072.591261574074</v>
      </c>
    </row>
    <row r="10252" spans="1:3">
      <c r="A10252">
        <v>36306</v>
      </c>
      <c r="B10252">
        <v>338646</v>
      </c>
      <c r="C10252" s="32">
        <v>43069.694143518522</v>
      </c>
    </row>
    <row r="10253" spans="1:3">
      <c r="A10253">
        <v>280728</v>
      </c>
      <c r="B10253">
        <v>3607361</v>
      </c>
      <c r="C10253" s="32">
        <v>43072.272719907407</v>
      </c>
    </row>
    <row r="10254" spans="1:3">
      <c r="A10254">
        <v>525303</v>
      </c>
      <c r="B10254">
        <v>1299190</v>
      </c>
      <c r="C10254" s="32">
        <v>43071.543807870374</v>
      </c>
    </row>
    <row r="10255" spans="1:3">
      <c r="A10255">
        <v>459933</v>
      </c>
      <c r="B10255">
        <v>411153</v>
      </c>
      <c r="C10255" s="32">
        <v>43070.504826388889</v>
      </c>
    </row>
    <row r="10256" spans="1:3">
      <c r="A10256">
        <v>784170</v>
      </c>
      <c r="B10256">
        <v>410749</v>
      </c>
      <c r="C10256" s="32">
        <v>43072.335729166669</v>
      </c>
    </row>
    <row r="10257" spans="1:3">
      <c r="A10257">
        <v>840141</v>
      </c>
      <c r="B10257">
        <v>1573465</v>
      </c>
      <c r="C10257" s="32">
        <v>43072.514016203706</v>
      </c>
    </row>
    <row r="10258" spans="1:3">
      <c r="A10258">
        <v>953822</v>
      </c>
      <c r="B10258">
        <v>4181361</v>
      </c>
      <c r="C10258" s="32">
        <v>43071.13140046296</v>
      </c>
    </row>
    <row r="10259" spans="1:3">
      <c r="A10259">
        <v>843780</v>
      </c>
      <c r="B10259">
        <v>1568197</v>
      </c>
      <c r="C10259" s="32">
        <v>43071.102881944447</v>
      </c>
    </row>
    <row r="10260" spans="1:3">
      <c r="A10260">
        <v>907036</v>
      </c>
      <c r="B10260">
        <v>4244487</v>
      </c>
      <c r="C10260" s="32">
        <v>43071.140277777777</v>
      </c>
    </row>
    <row r="10261" spans="1:3">
      <c r="A10261">
        <v>563470</v>
      </c>
      <c r="B10261">
        <v>4069500</v>
      </c>
      <c r="C10261" s="32">
        <v>43069.974502314813</v>
      </c>
    </row>
    <row r="10262" spans="1:3">
      <c r="A10262">
        <v>643613</v>
      </c>
      <c r="B10262">
        <v>1868811</v>
      </c>
      <c r="C10262" s="32">
        <v>43071.572326388887</v>
      </c>
    </row>
    <row r="10263" spans="1:3">
      <c r="A10263">
        <v>302315</v>
      </c>
      <c r="B10263">
        <v>2885642</v>
      </c>
      <c r="C10263" s="32">
        <v>43072.24287037037</v>
      </c>
    </row>
    <row r="10264" spans="1:3">
      <c r="A10264">
        <v>354896</v>
      </c>
      <c r="B10264">
        <v>384755</v>
      </c>
      <c r="C10264" s="32">
        <v>43070.054513888892</v>
      </c>
    </row>
    <row r="10265" spans="1:3">
      <c r="A10265">
        <v>389094</v>
      </c>
      <c r="B10265">
        <v>3738615</v>
      </c>
      <c r="C10265" s="32">
        <v>43072.517708333333</v>
      </c>
    </row>
    <row r="10266" spans="1:3">
      <c r="A10266">
        <v>612767</v>
      </c>
      <c r="B10266">
        <v>781315</v>
      </c>
      <c r="C10266" s="32">
        <v>43070.190081018518</v>
      </c>
    </row>
    <row r="10267" spans="1:3">
      <c r="A10267">
        <v>102726</v>
      </c>
      <c r="B10267">
        <v>982926</v>
      </c>
      <c r="C10267" s="32">
        <v>43072.532453703701</v>
      </c>
    </row>
    <row r="10268" spans="1:3">
      <c r="A10268">
        <v>153498</v>
      </c>
      <c r="B10268">
        <v>982926</v>
      </c>
      <c r="C10268" s="32">
        <v>43070.147893518515</v>
      </c>
    </row>
    <row r="10269" spans="1:3">
      <c r="A10269">
        <v>463534</v>
      </c>
      <c r="B10269">
        <v>4170419</v>
      </c>
      <c r="C10269" s="32">
        <v>43070.40824074074</v>
      </c>
    </row>
    <row r="10270" spans="1:3">
      <c r="A10270">
        <v>742064</v>
      </c>
      <c r="B10270">
        <v>2355072</v>
      </c>
      <c r="C10270" s="32">
        <v>43071.609768518516</v>
      </c>
    </row>
    <row r="10271" spans="1:3">
      <c r="A10271">
        <v>245362</v>
      </c>
      <c r="B10271">
        <v>1080785</v>
      </c>
      <c r="C10271" s="32">
        <v>43072.557303240741</v>
      </c>
    </row>
    <row r="10272" spans="1:3">
      <c r="A10272">
        <v>142660</v>
      </c>
      <c r="B10272">
        <v>1567637</v>
      </c>
      <c r="C10272" s="32">
        <v>43072.132187499999</v>
      </c>
    </row>
    <row r="10273" spans="1:3">
      <c r="A10273">
        <v>925668</v>
      </c>
      <c r="B10273">
        <v>4756105</v>
      </c>
      <c r="C10273" s="32">
        <v>43070.778483796297</v>
      </c>
    </row>
    <row r="10274" spans="1:3">
      <c r="A10274">
        <v>258931</v>
      </c>
      <c r="B10274">
        <v>2578647</v>
      </c>
      <c r="C10274" s="32">
        <v>43072.14640046296</v>
      </c>
    </row>
    <row r="10275" spans="1:3">
      <c r="A10275">
        <v>930082</v>
      </c>
      <c r="B10275">
        <v>4145813</v>
      </c>
      <c r="C10275" s="32">
        <v>43071.726388888892</v>
      </c>
    </row>
    <row r="10276" spans="1:3">
      <c r="A10276">
        <v>212436</v>
      </c>
      <c r="B10276">
        <v>1320293</v>
      </c>
      <c r="C10276" s="32">
        <v>43071.607523148145</v>
      </c>
    </row>
    <row r="10277" spans="1:3">
      <c r="A10277">
        <v>396565</v>
      </c>
      <c r="B10277">
        <v>2926020</v>
      </c>
      <c r="C10277" s="32">
        <v>43072.20621527778</v>
      </c>
    </row>
    <row r="10278" spans="1:3">
      <c r="A10278">
        <v>481927</v>
      </c>
      <c r="B10278">
        <v>4643350</v>
      </c>
      <c r="C10278" s="32">
        <v>43070.532453703701</v>
      </c>
    </row>
    <row r="10279" spans="1:3">
      <c r="A10279">
        <v>564914</v>
      </c>
      <c r="B10279">
        <v>5029530</v>
      </c>
      <c r="C10279" s="32">
        <v>43072.642141203702</v>
      </c>
    </row>
    <row r="10280" spans="1:3">
      <c r="A10280">
        <v>573061</v>
      </c>
      <c r="B10280">
        <v>381850</v>
      </c>
      <c r="C10280" s="32">
        <v>43072.545671296299</v>
      </c>
    </row>
    <row r="10281" spans="1:3">
      <c r="A10281">
        <v>450053</v>
      </c>
      <c r="B10281">
        <v>713731</v>
      </c>
      <c r="C10281" s="32">
        <v>43072.511099537034</v>
      </c>
    </row>
    <row r="10282" spans="1:3">
      <c r="A10282">
        <v>757149</v>
      </c>
      <c r="B10282">
        <v>3607361</v>
      </c>
      <c r="C10282" s="32">
        <v>43072.580636574072</v>
      </c>
    </row>
    <row r="10283" spans="1:3">
      <c r="A10283">
        <v>285252</v>
      </c>
      <c r="B10283">
        <v>2553450</v>
      </c>
      <c r="C10283" s="32">
        <v>43072.633275462962</v>
      </c>
    </row>
    <row r="10284" spans="1:3">
      <c r="A10284">
        <v>607681</v>
      </c>
      <c r="B10284">
        <v>3500710</v>
      </c>
      <c r="C10284" s="32">
        <v>43071.662326388891</v>
      </c>
    </row>
    <row r="10285" spans="1:3">
      <c r="A10285">
        <v>767435</v>
      </c>
      <c r="B10285">
        <v>2087597</v>
      </c>
      <c r="C10285" s="32">
        <v>43070.670266203706</v>
      </c>
    </row>
    <row r="10286" spans="1:3">
      <c r="A10286">
        <v>686193</v>
      </c>
      <c r="B10286">
        <v>4022701</v>
      </c>
      <c r="C10286" s="32">
        <v>43072.338634259257</v>
      </c>
    </row>
    <row r="10287" spans="1:3">
      <c r="A10287">
        <v>433354</v>
      </c>
      <c r="B10287">
        <v>3002561</v>
      </c>
      <c r="C10287" s="32">
        <v>43072.559166666666</v>
      </c>
    </row>
    <row r="10288" spans="1:3">
      <c r="A10288">
        <v>492293</v>
      </c>
      <c r="B10288">
        <v>235534</v>
      </c>
      <c r="C10288" s="32">
        <v>43072.058854166666</v>
      </c>
    </row>
    <row r="10289" spans="1:3">
      <c r="A10289">
        <v>782507</v>
      </c>
      <c r="B10289">
        <v>3776866</v>
      </c>
      <c r="C10289" s="32">
        <v>43072.323842592596</v>
      </c>
    </row>
    <row r="10290" spans="1:3">
      <c r="A10290">
        <v>558152</v>
      </c>
      <c r="B10290">
        <v>1320293</v>
      </c>
      <c r="C10290" s="32">
        <v>43071.472037037034</v>
      </c>
    </row>
    <row r="10291" spans="1:3">
      <c r="A10291">
        <v>788871</v>
      </c>
      <c r="B10291">
        <v>4643350</v>
      </c>
      <c r="C10291" s="32">
        <v>43071.000428240739</v>
      </c>
    </row>
    <row r="10292" spans="1:3">
      <c r="A10292">
        <v>41878</v>
      </c>
      <c r="B10292">
        <v>3544014</v>
      </c>
      <c r="C10292" s="32">
        <v>43072.538807870369</v>
      </c>
    </row>
    <row r="10293" spans="1:3">
      <c r="A10293">
        <v>496762</v>
      </c>
      <c r="B10293">
        <v>2028981</v>
      </c>
      <c r="C10293" s="32">
        <v>43072.475474537037</v>
      </c>
    </row>
    <row r="10294" spans="1:3">
      <c r="A10294">
        <v>583876</v>
      </c>
      <c r="B10294">
        <v>767106</v>
      </c>
      <c r="C10294" s="32">
        <v>43070.615497685183</v>
      </c>
    </row>
    <row r="10295" spans="1:3">
      <c r="A10295">
        <v>581058</v>
      </c>
      <c r="B10295">
        <v>4756105</v>
      </c>
      <c r="C10295" s="32">
        <v>43071.49796296296</v>
      </c>
    </row>
    <row r="10296" spans="1:3">
      <c r="A10296">
        <v>552169</v>
      </c>
      <c r="B10296">
        <v>2520377</v>
      </c>
      <c r="C10296" s="32">
        <v>43072.26284722222</v>
      </c>
    </row>
    <row r="10297" spans="1:3">
      <c r="A10297">
        <v>553645</v>
      </c>
      <c r="B10297">
        <v>3524510</v>
      </c>
      <c r="C10297" s="32">
        <v>43070.200196759259</v>
      </c>
    </row>
    <row r="10298" spans="1:3">
      <c r="A10298">
        <v>561785</v>
      </c>
      <c r="B10298">
        <v>85955</v>
      </c>
      <c r="C10298" s="32">
        <v>43072.614166666666</v>
      </c>
    </row>
    <row r="10299" spans="1:3">
      <c r="A10299">
        <v>794890</v>
      </c>
      <c r="B10299">
        <v>4690421</v>
      </c>
      <c r="C10299" s="32">
        <v>43071.52584490741</v>
      </c>
    </row>
    <row r="10300" spans="1:3">
      <c r="A10300">
        <v>968202</v>
      </c>
      <c r="B10300">
        <v>4284875</v>
      </c>
      <c r="C10300" s="32">
        <v>43070.983703703707</v>
      </c>
    </row>
    <row r="10301" spans="1:3">
      <c r="A10301">
        <v>100246</v>
      </c>
      <c r="B10301">
        <v>2629787</v>
      </c>
      <c r="C10301" s="32">
        <v>43072.632465277777</v>
      </c>
    </row>
    <row r="10302" spans="1:3">
      <c r="A10302">
        <v>411058</v>
      </c>
      <c r="B10302">
        <v>3669044</v>
      </c>
      <c r="C10302" s="32">
        <v>43071.545381944445</v>
      </c>
    </row>
    <row r="10303" spans="1:3">
      <c r="A10303">
        <v>742782</v>
      </c>
      <c r="B10303">
        <v>2052526</v>
      </c>
      <c r="C10303" s="32">
        <v>43071.217962962961</v>
      </c>
    </row>
    <row r="10304" spans="1:3">
      <c r="A10304">
        <v>783088</v>
      </c>
      <c r="B10304">
        <v>1467750</v>
      </c>
      <c r="C10304" s="32">
        <v>43070.578321759262</v>
      </c>
    </row>
    <row r="10305" spans="1:3">
      <c r="A10305">
        <v>666769</v>
      </c>
      <c r="B10305">
        <v>4604594</v>
      </c>
      <c r="C10305" s="32">
        <v>43070.747002314813</v>
      </c>
    </row>
    <row r="10306" spans="1:3">
      <c r="A10306">
        <v>212479</v>
      </c>
      <c r="B10306">
        <v>2558244</v>
      </c>
      <c r="C10306" s="32">
        <v>43070.167199074072</v>
      </c>
    </row>
    <row r="10307" spans="1:3">
      <c r="A10307">
        <v>124438</v>
      </c>
      <c r="B10307">
        <v>3607361</v>
      </c>
      <c r="C10307" s="32">
        <v>43069.984375</v>
      </c>
    </row>
    <row r="10308" spans="1:3">
      <c r="A10308">
        <v>264822</v>
      </c>
      <c r="B10308">
        <v>3002561</v>
      </c>
      <c r="C10308" s="32">
        <v>43071.285763888889</v>
      </c>
    </row>
    <row r="10309" spans="1:3">
      <c r="A10309">
        <v>406824</v>
      </c>
      <c r="B10309">
        <v>4919077</v>
      </c>
      <c r="C10309" s="32">
        <v>43071.903877314813</v>
      </c>
    </row>
    <row r="10310" spans="1:3">
      <c r="A10310">
        <v>149428</v>
      </c>
      <c r="B10310">
        <v>1471163</v>
      </c>
      <c r="C10310" s="32">
        <v>43072.304710648146</v>
      </c>
    </row>
    <row r="10311" spans="1:3">
      <c r="A10311">
        <v>774547</v>
      </c>
      <c r="B10311">
        <v>4550135</v>
      </c>
      <c r="C10311" s="32">
        <v>43070.834270833337</v>
      </c>
    </row>
    <row r="10312" spans="1:3">
      <c r="A10312">
        <v>887498</v>
      </c>
      <c r="B10312">
        <v>3844144</v>
      </c>
      <c r="C10312" s="32">
        <v>43071.42769675926</v>
      </c>
    </row>
    <row r="10313" spans="1:3">
      <c r="A10313">
        <v>868077</v>
      </c>
      <c r="B10313">
        <v>4181361</v>
      </c>
      <c r="C10313" s="32">
        <v>43072.595682870371</v>
      </c>
    </row>
    <row r="10314" spans="1:3">
      <c r="A10314">
        <v>976037</v>
      </c>
      <c r="B10314">
        <v>2096639</v>
      </c>
      <c r="C10314" s="32">
        <v>43070.331562500003</v>
      </c>
    </row>
    <row r="10315" spans="1:3">
      <c r="A10315">
        <v>15478</v>
      </c>
      <c r="B10315">
        <v>491223</v>
      </c>
      <c r="C10315" s="32">
        <v>43070.346736111111</v>
      </c>
    </row>
    <row r="10316" spans="1:3">
      <c r="A10316">
        <v>244642</v>
      </c>
      <c r="B10316">
        <v>3579754</v>
      </c>
      <c r="C10316" s="32">
        <v>43072.655486111114</v>
      </c>
    </row>
    <row r="10317" spans="1:3">
      <c r="A10317">
        <v>907127</v>
      </c>
      <c r="B10317">
        <v>3738615</v>
      </c>
      <c r="C10317" s="32">
        <v>43071.296701388892</v>
      </c>
    </row>
    <row r="10318" spans="1:3">
      <c r="A10318">
        <v>548089</v>
      </c>
      <c r="B10318">
        <v>1879194</v>
      </c>
      <c r="C10318" s="32">
        <v>43070.533460648148</v>
      </c>
    </row>
    <row r="10319" spans="1:3">
      <c r="A10319">
        <v>414377</v>
      </c>
      <c r="B10319">
        <v>590997</v>
      </c>
      <c r="C10319" s="32">
        <v>43071.397291666668</v>
      </c>
    </row>
    <row r="10320" spans="1:3">
      <c r="A10320">
        <v>417173</v>
      </c>
      <c r="B10320">
        <v>2486578</v>
      </c>
      <c r="C10320" s="32">
        <v>43072.102476851855</v>
      </c>
    </row>
    <row r="10321" spans="1:3">
      <c r="A10321">
        <v>404378</v>
      </c>
      <c r="B10321">
        <v>4357323</v>
      </c>
      <c r="C10321" s="32">
        <v>43071.621782407405</v>
      </c>
    </row>
    <row r="10322" spans="1:3">
      <c r="A10322">
        <v>461785</v>
      </c>
      <c r="B10322">
        <v>3706262</v>
      </c>
      <c r="C10322" s="32">
        <v>43070.294120370374</v>
      </c>
    </row>
    <row r="10323" spans="1:3">
      <c r="A10323">
        <v>504437</v>
      </c>
      <c r="B10323">
        <v>2453525</v>
      </c>
      <c r="C10323" s="32">
        <v>43071.166643518518</v>
      </c>
    </row>
    <row r="10324" spans="1:3">
      <c r="A10324">
        <v>100707</v>
      </c>
      <c r="B10324">
        <v>2409814</v>
      </c>
      <c r="C10324" s="32">
        <v>43072.171585648146</v>
      </c>
    </row>
    <row r="10325" spans="1:3">
      <c r="A10325">
        <v>856529</v>
      </c>
      <c r="B10325">
        <v>2728585</v>
      </c>
      <c r="C10325" s="32">
        <v>43071.479189814818</v>
      </c>
    </row>
    <row r="10326" spans="1:3">
      <c r="A10326">
        <v>246300</v>
      </c>
      <c r="B10326">
        <v>2355072</v>
      </c>
      <c r="C10326" s="32">
        <v>43070.667013888888</v>
      </c>
    </row>
    <row r="10327" spans="1:3">
      <c r="A10327">
        <v>933170</v>
      </c>
      <c r="B10327">
        <v>4086613</v>
      </c>
      <c r="C10327" s="32">
        <v>43071.503877314812</v>
      </c>
    </row>
    <row r="10328" spans="1:3">
      <c r="A10328">
        <v>416563</v>
      </c>
      <c r="B10328">
        <v>4801426</v>
      </c>
      <c r="C10328" s="32">
        <v>43072.107835648145</v>
      </c>
    </row>
    <row r="10329" spans="1:3">
      <c r="A10329">
        <v>670422</v>
      </c>
      <c r="B10329">
        <v>3158249</v>
      </c>
      <c r="C10329" s="32">
        <v>43070.10224537037</v>
      </c>
    </row>
    <row r="10330" spans="1:3">
      <c r="A10330">
        <v>659456</v>
      </c>
      <c r="B10330">
        <v>1320293</v>
      </c>
      <c r="C10330" s="32">
        <v>43070.913668981484</v>
      </c>
    </row>
    <row r="10331" spans="1:3">
      <c r="A10331">
        <v>969069</v>
      </c>
      <c r="B10331">
        <v>1045172</v>
      </c>
      <c r="C10331" s="32">
        <v>43071.660324074073</v>
      </c>
    </row>
    <row r="10332" spans="1:3">
      <c r="A10332">
        <v>121077</v>
      </c>
      <c r="B10332">
        <v>1379146</v>
      </c>
      <c r="C10332" s="32">
        <v>43070.637465277781</v>
      </c>
    </row>
    <row r="10333" spans="1:3">
      <c r="A10333">
        <v>369500</v>
      </c>
      <c r="B10333">
        <v>149192</v>
      </c>
      <c r="C10333" s="32">
        <v>43071.566747685189</v>
      </c>
    </row>
    <row r="10334" spans="1:3">
      <c r="A10334">
        <v>61976</v>
      </c>
      <c r="B10334">
        <v>4181361</v>
      </c>
      <c r="C10334" s="32">
        <v>43071.972210648149</v>
      </c>
    </row>
    <row r="10335" spans="1:3">
      <c r="A10335">
        <v>866117</v>
      </c>
      <c r="B10335">
        <v>2640118</v>
      </c>
      <c r="C10335" s="32">
        <v>43072.517465277779</v>
      </c>
    </row>
    <row r="10336" spans="1:3">
      <c r="A10336">
        <v>90901</v>
      </c>
      <c r="B10336">
        <v>2355072</v>
      </c>
      <c r="C10336" s="32">
        <v>43072.169803240744</v>
      </c>
    </row>
    <row r="10337" spans="1:3">
      <c r="A10337">
        <v>704911</v>
      </c>
      <c r="B10337">
        <v>1669167</v>
      </c>
      <c r="C10337" s="32">
        <v>43071.071180555555</v>
      </c>
    </row>
    <row r="10338" spans="1:3">
      <c r="A10338">
        <v>28692</v>
      </c>
      <c r="B10338">
        <v>1396935</v>
      </c>
      <c r="C10338" s="32">
        <v>43070.863634259258</v>
      </c>
    </row>
    <row r="10339" spans="1:3">
      <c r="A10339">
        <v>856234</v>
      </c>
      <c r="B10339">
        <v>1464116</v>
      </c>
      <c r="C10339" s="32">
        <v>43070.652916666666</v>
      </c>
    </row>
    <row r="10340" spans="1:3">
      <c r="A10340">
        <v>267251</v>
      </c>
      <c r="B10340">
        <v>3002561</v>
      </c>
      <c r="C10340" s="32">
        <v>43070.603564814817</v>
      </c>
    </row>
    <row r="10341" spans="1:3">
      <c r="A10341">
        <v>516642</v>
      </c>
      <c r="B10341">
        <v>1391236</v>
      </c>
      <c r="C10341" s="32">
        <v>43071.457094907404</v>
      </c>
    </row>
    <row r="10342" spans="1:3">
      <c r="A10342">
        <v>570053</v>
      </c>
      <c r="B10342">
        <v>982926</v>
      </c>
      <c r="C10342" s="32">
        <v>43071.540335648147</v>
      </c>
    </row>
    <row r="10343" spans="1:3">
      <c r="A10343">
        <v>734655</v>
      </c>
      <c r="B10343">
        <v>2520771</v>
      </c>
      <c r="C10343" s="32">
        <v>43072.144953703704</v>
      </c>
    </row>
    <row r="10344" spans="1:3">
      <c r="A10344">
        <v>154641</v>
      </c>
      <c r="B10344">
        <v>2355072</v>
      </c>
      <c r="C10344" s="32">
        <v>43072.588726851849</v>
      </c>
    </row>
    <row r="10345" spans="1:3">
      <c r="A10345">
        <v>903747</v>
      </c>
      <c r="B10345">
        <v>2920476</v>
      </c>
      <c r="C10345" s="32">
        <v>43072.556550925925</v>
      </c>
    </row>
    <row r="10346" spans="1:3">
      <c r="A10346">
        <v>24219</v>
      </c>
      <c r="B10346">
        <v>2578647</v>
      </c>
      <c r="C10346" s="32">
        <v>43071.574236111112</v>
      </c>
    </row>
    <row r="10347" spans="1:3">
      <c r="A10347">
        <v>365513</v>
      </c>
      <c r="B10347">
        <v>4145813</v>
      </c>
      <c r="C10347" s="32">
        <v>43072.44122685185</v>
      </c>
    </row>
    <row r="10348" spans="1:3">
      <c r="A10348">
        <v>850962</v>
      </c>
      <c r="B10348">
        <v>1817004</v>
      </c>
      <c r="C10348" s="32">
        <v>43072.433449074073</v>
      </c>
    </row>
    <row r="10349" spans="1:3">
      <c r="A10349">
        <v>696536</v>
      </c>
      <c r="B10349">
        <v>2832009</v>
      </c>
      <c r="C10349" s="32">
        <v>43069.667893518519</v>
      </c>
    </row>
    <row r="10350" spans="1:3">
      <c r="A10350">
        <v>908284</v>
      </c>
      <c r="B10350">
        <v>846990</v>
      </c>
      <c r="C10350" s="32">
        <v>43071.541145833333</v>
      </c>
    </row>
    <row r="10351" spans="1:3">
      <c r="A10351">
        <v>460594</v>
      </c>
      <c r="B10351">
        <v>4936889</v>
      </c>
      <c r="C10351" s="32">
        <v>43071.569895833331</v>
      </c>
    </row>
    <row r="10352" spans="1:3">
      <c r="A10352">
        <v>483062</v>
      </c>
      <c r="B10352">
        <v>1170772</v>
      </c>
      <c r="C10352" s="32">
        <v>43072.600868055553</v>
      </c>
    </row>
    <row r="10353" spans="1:3">
      <c r="A10353">
        <v>257478</v>
      </c>
      <c r="B10353">
        <v>4756105</v>
      </c>
      <c r="C10353" s="32">
        <v>43070.073819444442</v>
      </c>
    </row>
    <row r="10354" spans="1:3">
      <c r="A10354">
        <v>405384</v>
      </c>
      <c r="B10354">
        <v>4672807</v>
      </c>
      <c r="C10354" s="32">
        <v>43070.471886574072</v>
      </c>
    </row>
    <row r="10355" spans="1:3">
      <c r="A10355">
        <v>16988</v>
      </c>
      <c r="B10355">
        <v>4789432</v>
      </c>
      <c r="C10355" s="32">
        <v>43072.545706018522</v>
      </c>
    </row>
    <row r="10356" spans="1:3">
      <c r="A10356">
        <v>256376</v>
      </c>
      <c r="B10356">
        <v>3030023</v>
      </c>
      <c r="C10356" s="32">
        <v>43070.651782407411</v>
      </c>
    </row>
    <row r="10357" spans="1:3">
      <c r="A10357">
        <v>208639</v>
      </c>
      <c r="B10357">
        <v>1250975</v>
      </c>
      <c r="C10357" s="32">
        <v>43070.263240740744</v>
      </c>
    </row>
    <row r="10358" spans="1:3">
      <c r="A10358">
        <v>700681</v>
      </c>
      <c r="B10358">
        <v>3279421</v>
      </c>
      <c r="C10358" s="32">
        <v>43072.545937499999</v>
      </c>
    </row>
    <row r="10359" spans="1:3">
      <c r="A10359">
        <v>675197</v>
      </c>
      <c r="B10359">
        <v>1464116</v>
      </c>
      <c r="C10359" s="32">
        <v>43071.227314814816</v>
      </c>
    </row>
    <row r="10360" spans="1:3">
      <c r="A10360">
        <v>680965</v>
      </c>
      <c r="B10360">
        <v>1851156</v>
      </c>
      <c r="C10360" s="32">
        <v>43072.098136574074</v>
      </c>
    </row>
    <row r="10361" spans="1:3">
      <c r="A10361">
        <v>286355</v>
      </c>
      <c r="B10361">
        <v>3607361</v>
      </c>
      <c r="C10361" s="32">
        <v>43070.58353009259</v>
      </c>
    </row>
    <row r="10362" spans="1:3">
      <c r="A10362">
        <v>435006</v>
      </c>
      <c r="B10362">
        <v>982926</v>
      </c>
      <c r="C10362" s="32">
        <v>43072.578472222223</v>
      </c>
    </row>
    <row r="10363" spans="1:3">
      <c r="A10363">
        <v>58823</v>
      </c>
      <c r="B10363">
        <v>4244487</v>
      </c>
      <c r="C10363" s="32">
        <v>43072.094965277778</v>
      </c>
    </row>
    <row r="10364" spans="1:3">
      <c r="A10364">
        <v>386355</v>
      </c>
      <c r="B10364">
        <v>1239603</v>
      </c>
      <c r="C10364" s="32">
        <v>43070.534791666665</v>
      </c>
    </row>
    <row r="10365" spans="1:3">
      <c r="A10365">
        <v>660704</v>
      </c>
      <c r="B10365">
        <v>1807584</v>
      </c>
      <c r="C10365" s="32">
        <v>43072.226342592592</v>
      </c>
    </row>
    <row r="10366" spans="1:3">
      <c r="A10366">
        <v>744349</v>
      </c>
      <c r="B10366">
        <v>2462567</v>
      </c>
      <c r="C10366" s="32">
        <v>43071.58425925926</v>
      </c>
    </row>
    <row r="10367" spans="1:3">
      <c r="A10367">
        <v>675493</v>
      </c>
      <c r="B10367">
        <v>4758477</v>
      </c>
      <c r="C10367" s="32">
        <v>43070.568240740744</v>
      </c>
    </row>
    <row r="10368" spans="1:3">
      <c r="A10368">
        <v>963728</v>
      </c>
      <c r="B10368">
        <v>1471163</v>
      </c>
      <c r="C10368" s="32">
        <v>43072.604583333334</v>
      </c>
    </row>
    <row r="10369" spans="1:3">
      <c r="A10369">
        <v>133148</v>
      </c>
      <c r="B10369">
        <v>982926</v>
      </c>
      <c r="C10369" s="32">
        <v>43071.563622685186</v>
      </c>
    </row>
    <row r="10370" spans="1:3">
      <c r="A10370">
        <v>641681</v>
      </c>
      <c r="B10370">
        <v>3790396</v>
      </c>
      <c r="C10370" s="32">
        <v>43072.349675925929</v>
      </c>
    </row>
    <row r="10371" spans="1:3">
      <c r="A10371">
        <v>111279</v>
      </c>
      <c r="B10371">
        <v>2735466</v>
      </c>
      <c r="C10371" s="32">
        <v>43072.644444444442</v>
      </c>
    </row>
    <row r="10372" spans="1:3">
      <c r="A10372">
        <v>554509</v>
      </c>
      <c r="B10372">
        <v>4690421</v>
      </c>
      <c r="C10372" s="32">
        <v>43072.278136574074</v>
      </c>
    </row>
    <row r="10373" spans="1:3">
      <c r="A10373">
        <v>616242</v>
      </c>
      <c r="B10373">
        <v>4449178</v>
      </c>
      <c r="C10373" s="32">
        <v>43072.637349537035</v>
      </c>
    </row>
    <row r="10374" spans="1:3">
      <c r="A10374">
        <v>436256</v>
      </c>
      <c r="B10374">
        <v>3607361</v>
      </c>
      <c r="C10374" s="32">
        <v>43070.917847222219</v>
      </c>
    </row>
    <row r="10375" spans="1:3">
      <c r="A10375">
        <v>577653</v>
      </c>
      <c r="B10375">
        <v>4197505</v>
      </c>
      <c r="C10375" s="32">
        <v>43072.284872685188</v>
      </c>
    </row>
    <row r="10376" spans="1:3">
      <c r="A10376">
        <v>356370</v>
      </c>
      <c r="B10376">
        <v>3607361</v>
      </c>
      <c r="C10376" s="32">
        <v>43071.472546296296</v>
      </c>
    </row>
    <row r="10377" spans="1:3">
      <c r="A10377">
        <v>530726</v>
      </c>
      <c r="B10377">
        <v>2465336</v>
      </c>
      <c r="C10377" s="32">
        <v>43071.172488425924</v>
      </c>
    </row>
    <row r="10378" spans="1:3">
      <c r="A10378">
        <v>451279</v>
      </c>
      <c r="B10378">
        <v>3880463</v>
      </c>
      <c r="C10378" s="32">
        <v>43071.486909722225</v>
      </c>
    </row>
    <row r="10379" spans="1:3">
      <c r="A10379">
        <v>203371</v>
      </c>
      <c r="B10379">
        <v>2926020</v>
      </c>
      <c r="C10379" s="32">
        <v>43072.287083333336</v>
      </c>
    </row>
    <row r="10380" spans="1:3">
      <c r="A10380">
        <v>770114</v>
      </c>
      <c r="B10380">
        <v>2131531</v>
      </c>
      <c r="C10380" s="32">
        <v>43070.197905092595</v>
      </c>
    </row>
    <row r="10381" spans="1:3">
      <c r="A10381">
        <v>471633</v>
      </c>
      <c r="B10381">
        <v>1320293</v>
      </c>
      <c r="C10381" s="32">
        <v>43070.050092592595</v>
      </c>
    </row>
    <row r="10382" spans="1:3">
      <c r="A10382">
        <v>1001576</v>
      </c>
      <c r="B10382">
        <v>1414043</v>
      </c>
      <c r="C10382" s="32">
        <v>43072.308946759258</v>
      </c>
    </row>
    <row r="10383" spans="1:3">
      <c r="A10383">
        <v>15825</v>
      </c>
      <c r="B10383">
        <v>1464116</v>
      </c>
      <c r="C10383" s="32">
        <v>43072.344247685185</v>
      </c>
    </row>
    <row r="10384" spans="1:3">
      <c r="A10384">
        <v>196564</v>
      </c>
      <c r="B10384">
        <v>570735</v>
      </c>
      <c r="C10384" s="32">
        <v>43070.032777777778</v>
      </c>
    </row>
    <row r="10385" spans="1:3">
      <c r="A10385">
        <v>325068</v>
      </c>
      <c r="B10385">
        <v>4217906</v>
      </c>
      <c r="C10385" s="32">
        <v>43071.451388888891</v>
      </c>
    </row>
    <row r="10386" spans="1:3">
      <c r="A10386">
        <v>977589</v>
      </c>
      <c r="B10386">
        <v>1320293</v>
      </c>
      <c r="C10386" s="32">
        <v>43072.329363425924</v>
      </c>
    </row>
    <row r="10387" spans="1:3">
      <c r="A10387">
        <v>904480</v>
      </c>
      <c r="B10387">
        <v>2940518</v>
      </c>
      <c r="C10387" s="32">
        <v>43071.516724537039</v>
      </c>
    </row>
    <row r="10388" spans="1:3">
      <c r="A10388">
        <v>806221</v>
      </c>
      <c r="B10388">
        <v>4282651</v>
      </c>
      <c r="C10388" s="32">
        <v>43070.551412037035</v>
      </c>
    </row>
    <row r="10389" spans="1:3">
      <c r="A10389">
        <v>81493</v>
      </c>
      <c r="B10389">
        <v>154040</v>
      </c>
      <c r="C10389" s="32">
        <v>43071.316319444442</v>
      </c>
    </row>
    <row r="10390" spans="1:3">
      <c r="A10390">
        <v>221460</v>
      </c>
      <c r="B10390">
        <v>1080785</v>
      </c>
      <c r="C10390" s="32">
        <v>43072.079965277779</v>
      </c>
    </row>
    <row r="10391" spans="1:3">
      <c r="A10391">
        <v>972612</v>
      </c>
      <c r="B10391">
        <v>1612623</v>
      </c>
      <c r="C10391" s="32">
        <v>43072.130578703705</v>
      </c>
    </row>
    <row r="10392" spans="1:3">
      <c r="A10392">
        <v>467057</v>
      </c>
      <c r="B10392">
        <v>4756105</v>
      </c>
      <c r="C10392" s="32">
        <v>43072.111215277779</v>
      </c>
    </row>
    <row r="10393" spans="1:3">
      <c r="A10393">
        <v>663515</v>
      </c>
      <c r="B10393">
        <v>1900834</v>
      </c>
      <c r="C10393" s="32">
        <v>43070.633842592593</v>
      </c>
    </row>
    <row r="10394" spans="1:3">
      <c r="A10394">
        <v>1006423</v>
      </c>
      <c r="B10394">
        <v>1628657</v>
      </c>
      <c r="C10394" s="32">
        <v>43072.252615740741</v>
      </c>
    </row>
    <row r="10395" spans="1:3">
      <c r="A10395">
        <v>146343</v>
      </c>
      <c r="B10395">
        <v>1320293</v>
      </c>
      <c r="C10395" s="32">
        <v>43071.655821759261</v>
      </c>
    </row>
    <row r="10396" spans="1:3">
      <c r="A10396">
        <v>184723</v>
      </c>
      <c r="B10396">
        <v>1733868</v>
      </c>
      <c r="C10396" s="32">
        <v>43071.544849537036</v>
      </c>
    </row>
    <row r="10397" spans="1:3">
      <c r="A10397">
        <v>856860</v>
      </c>
      <c r="B10397">
        <v>119741</v>
      </c>
      <c r="C10397" s="32">
        <v>43071.384062500001</v>
      </c>
    </row>
    <row r="10398" spans="1:3">
      <c r="A10398">
        <v>277565</v>
      </c>
      <c r="B10398">
        <v>2735466</v>
      </c>
      <c r="C10398" s="32">
        <v>43071.534687500003</v>
      </c>
    </row>
    <row r="10399" spans="1:3">
      <c r="A10399">
        <v>349940</v>
      </c>
      <c r="B10399">
        <v>982926</v>
      </c>
      <c r="C10399" s="32">
        <v>43072.620428240742</v>
      </c>
    </row>
    <row r="10400" spans="1:3">
      <c r="A10400">
        <v>902537</v>
      </c>
      <c r="B10400">
        <v>4181361</v>
      </c>
      <c r="C10400" s="32">
        <v>43070.642372685186</v>
      </c>
    </row>
    <row r="10401" spans="1:3">
      <c r="A10401">
        <v>587246</v>
      </c>
      <c r="B10401">
        <v>4962280</v>
      </c>
      <c r="C10401" s="32">
        <v>43072.540833333333</v>
      </c>
    </row>
    <row r="10402" spans="1:3">
      <c r="A10402">
        <v>132706</v>
      </c>
      <c r="B10402">
        <v>3253357</v>
      </c>
      <c r="C10402" s="32">
        <v>43072.175127314818</v>
      </c>
    </row>
    <row r="10403" spans="1:3">
      <c r="A10403">
        <v>433849</v>
      </c>
      <c r="B10403">
        <v>4606718</v>
      </c>
      <c r="C10403" s="32">
        <v>43072.280347222222</v>
      </c>
    </row>
    <row r="10404" spans="1:3">
      <c r="A10404">
        <v>67822</v>
      </c>
      <c r="B10404">
        <v>965809</v>
      </c>
      <c r="C10404" s="32">
        <v>43071.609861111108</v>
      </c>
    </row>
    <row r="10405" spans="1:3">
      <c r="A10405">
        <v>522173</v>
      </c>
      <c r="B10405">
        <v>3738615</v>
      </c>
      <c r="C10405" s="32">
        <v>43072.609398148146</v>
      </c>
    </row>
    <row r="10406" spans="1:3">
      <c r="A10406">
        <v>181534</v>
      </c>
      <c r="B10406">
        <v>4145813</v>
      </c>
      <c r="C10406" s="32">
        <v>43072.270995370367</v>
      </c>
    </row>
    <row r="10407" spans="1:3">
      <c r="A10407">
        <v>351310</v>
      </c>
      <c r="B10407">
        <v>982926</v>
      </c>
      <c r="C10407" s="32">
        <v>43072.11818287037</v>
      </c>
    </row>
    <row r="10408" spans="1:3">
      <c r="A10408">
        <v>360999</v>
      </c>
      <c r="B10408">
        <v>3188631</v>
      </c>
      <c r="C10408" s="32">
        <v>43072.453298611108</v>
      </c>
    </row>
    <row r="10409" spans="1:3">
      <c r="A10409">
        <v>11993</v>
      </c>
      <c r="B10409">
        <v>3351726</v>
      </c>
      <c r="C10409" s="32">
        <v>43071.659641203703</v>
      </c>
    </row>
    <row r="10410" spans="1:3">
      <c r="A10410">
        <v>45932</v>
      </c>
      <c r="B10410">
        <v>4358294</v>
      </c>
      <c r="C10410" s="32">
        <v>43071.195567129631</v>
      </c>
    </row>
    <row r="10411" spans="1:3">
      <c r="A10411">
        <v>38174</v>
      </c>
      <c r="B10411">
        <v>4756105</v>
      </c>
      <c r="C10411" s="32">
        <v>43071.591354166667</v>
      </c>
    </row>
    <row r="10412" spans="1:3">
      <c r="A10412">
        <v>562299</v>
      </c>
      <c r="B10412">
        <v>982926</v>
      </c>
      <c r="C10412" s="32">
        <v>43072.501747685186</v>
      </c>
    </row>
    <row r="10413" spans="1:3">
      <c r="A10413">
        <v>957101</v>
      </c>
      <c r="B10413">
        <v>1568197</v>
      </c>
      <c r="C10413" s="32">
        <v>43070.698622685188</v>
      </c>
    </row>
    <row r="10414" spans="1:3">
      <c r="A10414">
        <v>966265</v>
      </c>
      <c r="B10414">
        <v>381850</v>
      </c>
      <c r="C10414" s="32">
        <v>43072.52447916667</v>
      </c>
    </row>
    <row r="10415" spans="1:3">
      <c r="A10415">
        <v>274219</v>
      </c>
      <c r="B10415">
        <v>3232473</v>
      </c>
      <c r="C10415" s="32">
        <v>43070.665729166663</v>
      </c>
    </row>
    <row r="10416" spans="1:3">
      <c r="A10416">
        <v>887080</v>
      </c>
      <c r="B10416">
        <v>1609467</v>
      </c>
      <c r="C10416" s="32">
        <v>43071.251608796294</v>
      </c>
    </row>
    <row r="10417" spans="1:3">
      <c r="A10417">
        <v>633781</v>
      </c>
      <c r="B10417">
        <v>411153</v>
      </c>
      <c r="C10417" s="32">
        <v>43071.319386574076</v>
      </c>
    </row>
    <row r="10418" spans="1:3">
      <c r="A10418">
        <v>814002</v>
      </c>
      <c r="B10418">
        <v>4756105</v>
      </c>
      <c r="C10418" s="32">
        <v>43071.948067129626</v>
      </c>
    </row>
    <row r="10419" spans="1:3">
      <c r="A10419">
        <v>343193</v>
      </c>
      <c r="B10419">
        <v>1029459</v>
      </c>
      <c r="C10419" s="32">
        <v>43072.443078703705</v>
      </c>
    </row>
    <row r="10420" spans="1:3">
      <c r="A10420">
        <v>53284</v>
      </c>
      <c r="B10420">
        <v>4145813</v>
      </c>
      <c r="C10420" s="32">
        <v>43070.035428240742</v>
      </c>
    </row>
    <row r="10421" spans="1:3">
      <c r="A10421">
        <v>320096</v>
      </c>
      <c r="B10421">
        <v>903809</v>
      </c>
      <c r="C10421" s="32">
        <v>43070.067696759259</v>
      </c>
    </row>
    <row r="10422" spans="1:3">
      <c r="A10422">
        <v>1003900</v>
      </c>
      <c r="B10422">
        <v>982926</v>
      </c>
      <c r="C10422" s="32">
        <v>43071.287303240744</v>
      </c>
    </row>
    <row r="10423" spans="1:3">
      <c r="A10423">
        <v>417328</v>
      </c>
      <c r="B10423">
        <v>1320293</v>
      </c>
      <c r="C10423" s="32">
        <v>43071.462511574071</v>
      </c>
    </row>
    <row r="10424" spans="1:3">
      <c r="A10424">
        <v>122486</v>
      </c>
      <c r="B10424">
        <v>903809</v>
      </c>
      <c r="C10424" s="32">
        <v>43071.542488425926</v>
      </c>
    </row>
    <row r="10425" spans="1:3">
      <c r="A10425">
        <v>698570</v>
      </c>
      <c r="B10425">
        <v>149192</v>
      </c>
      <c r="C10425" s="32">
        <v>43069.916377314818</v>
      </c>
    </row>
    <row r="10426" spans="1:3">
      <c r="A10426">
        <v>524738</v>
      </c>
      <c r="B10426">
        <v>3738615</v>
      </c>
      <c r="C10426" s="32">
        <v>43072.511180555557</v>
      </c>
    </row>
    <row r="10427" spans="1:3">
      <c r="A10427">
        <v>923368</v>
      </c>
      <c r="B10427">
        <v>620409</v>
      </c>
      <c r="C10427" s="32">
        <v>43070.632256944446</v>
      </c>
    </row>
    <row r="10428" spans="1:3">
      <c r="A10428">
        <v>850918</v>
      </c>
      <c r="B10428">
        <v>2596428</v>
      </c>
      <c r="C10428" s="32">
        <v>43071.263935185183</v>
      </c>
    </row>
    <row r="10429" spans="1:3">
      <c r="A10429">
        <v>585273</v>
      </c>
      <c r="B10429">
        <v>3607361</v>
      </c>
      <c r="C10429" s="32">
        <v>43070.61005787037</v>
      </c>
    </row>
    <row r="10430" spans="1:3">
      <c r="A10430">
        <v>581096</v>
      </c>
      <c r="B10430">
        <v>4756105</v>
      </c>
      <c r="C10430" s="32">
        <v>43070.679884259262</v>
      </c>
    </row>
    <row r="10431" spans="1:3">
      <c r="A10431">
        <v>8238</v>
      </c>
      <c r="B10431">
        <v>1474371</v>
      </c>
      <c r="C10431" s="32">
        <v>43070.449212962965</v>
      </c>
    </row>
    <row r="10432" spans="1:3">
      <c r="A10432">
        <v>186658</v>
      </c>
      <c r="B10432">
        <v>2735466</v>
      </c>
      <c r="C10432" s="32">
        <v>43072.091168981482</v>
      </c>
    </row>
    <row r="10433" spans="1:3">
      <c r="A10433">
        <v>504644</v>
      </c>
      <c r="B10433">
        <v>4801426</v>
      </c>
      <c r="C10433" s="32">
        <v>43071.201724537037</v>
      </c>
    </row>
    <row r="10434" spans="1:3">
      <c r="A10434">
        <v>432126</v>
      </c>
      <c r="B10434">
        <v>1620537</v>
      </c>
      <c r="C10434" s="32">
        <v>43072.189351851855</v>
      </c>
    </row>
    <row r="10435" spans="1:3">
      <c r="A10435">
        <v>499141</v>
      </c>
      <c r="B10435">
        <v>2735466</v>
      </c>
      <c r="C10435" s="32">
        <v>43070.709062499998</v>
      </c>
    </row>
    <row r="10436" spans="1:3">
      <c r="A10436">
        <v>468980</v>
      </c>
      <c r="B10436">
        <v>3002561</v>
      </c>
      <c r="C10436" s="32">
        <v>43072.55982638889</v>
      </c>
    </row>
    <row r="10437" spans="1:3">
      <c r="A10437">
        <v>636717</v>
      </c>
      <c r="B10437">
        <v>2948269</v>
      </c>
      <c r="C10437" s="32">
        <v>43071.482476851852</v>
      </c>
    </row>
    <row r="10438" spans="1:3">
      <c r="A10438">
        <v>121860</v>
      </c>
      <c r="B10438">
        <v>570735</v>
      </c>
      <c r="C10438" s="32">
        <v>43072.561979166669</v>
      </c>
    </row>
    <row r="10439" spans="1:3">
      <c r="A10439">
        <v>155044</v>
      </c>
      <c r="B10439">
        <v>883960</v>
      </c>
      <c r="C10439" s="32">
        <v>43072.110231481478</v>
      </c>
    </row>
    <row r="10440" spans="1:3">
      <c r="A10440">
        <v>33839</v>
      </c>
      <c r="B10440">
        <v>965809</v>
      </c>
      <c r="C10440" s="32">
        <v>43070.312905092593</v>
      </c>
    </row>
    <row r="10441" spans="1:3">
      <c r="A10441">
        <v>471386</v>
      </c>
      <c r="B10441">
        <v>2689922</v>
      </c>
      <c r="C10441" s="32">
        <v>43070.55127314815</v>
      </c>
    </row>
    <row r="10442" spans="1:3">
      <c r="A10442">
        <v>729797</v>
      </c>
      <c r="B10442">
        <v>924708</v>
      </c>
      <c r="C10442" s="32">
        <v>43071.650983796295</v>
      </c>
    </row>
    <row r="10443" spans="1:3">
      <c r="A10443">
        <v>313302</v>
      </c>
      <c r="B10443">
        <v>4789432</v>
      </c>
      <c r="C10443" s="32">
        <v>43071.382222222222</v>
      </c>
    </row>
    <row r="10444" spans="1:3">
      <c r="A10444">
        <v>845473</v>
      </c>
      <c r="B10444">
        <v>982926</v>
      </c>
      <c r="C10444" s="32">
        <v>43070.660810185182</v>
      </c>
    </row>
    <row r="10445" spans="1:3">
      <c r="A10445">
        <v>749900</v>
      </c>
      <c r="B10445">
        <v>1278525</v>
      </c>
      <c r="C10445" s="32">
        <v>43071.571956018517</v>
      </c>
    </row>
    <row r="10446" spans="1:3">
      <c r="A10446">
        <v>600869</v>
      </c>
      <c r="B10446">
        <v>4734879</v>
      </c>
      <c r="C10446" s="32">
        <v>43072.065150462964</v>
      </c>
    </row>
    <row r="10447" spans="1:3">
      <c r="A10447">
        <v>830414</v>
      </c>
      <c r="B10447">
        <v>4756105</v>
      </c>
      <c r="C10447" s="32">
        <v>43072.659004629626</v>
      </c>
    </row>
    <row r="10448" spans="1:3">
      <c r="A10448">
        <v>439741</v>
      </c>
      <c r="B10448">
        <v>1807416</v>
      </c>
      <c r="C10448" s="32">
        <v>43071.573217592595</v>
      </c>
    </row>
    <row r="10449" spans="1:3">
      <c r="A10449">
        <v>736358</v>
      </c>
      <c r="B10449">
        <v>4181361</v>
      </c>
      <c r="C10449" s="32">
        <v>43072.202962962961</v>
      </c>
    </row>
    <row r="10450" spans="1:3">
      <c r="A10450">
        <v>182246</v>
      </c>
      <c r="B10450">
        <v>982926</v>
      </c>
      <c r="C10450" s="32">
        <v>43071.274270833332</v>
      </c>
    </row>
    <row r="10451" spans="1:3">
      <c r="A10451">
        <v>26890</v>
      </c>
      <c r="B10451">
        <v>2964603</v>
      </c>
      <c r="C10451" s="32">
        <v>43071.368530092594</v>
      </c>
    </row>
    <row r="10452" spans="1:3">
      <c r="A10452">
        <v>562559</v>
      </c>
      <c r="B10452">
        <v>2578647</v>
      </c>
      <c r="C10452" s="32">
        <v>43072.300011574072</v>
      </c>
    </row>
    <row r="10453" spans="1:3">
      <c r="A10453">
        <v>999805</v>
      </c>
      <c r="B10453">
        <v>2319611</v>
      </c>
      <c r="C10453" s="32">
        <v>43071.23133101852</v>
      </c>
    </row>
    <row r="10454" spans="1:3">
      <c r="A10454">
        <v>831232</v>
      </c>
      <c r="B10454">
        <v>411153</v>
      </c>
      <c r="C10454" s="32">
        <v>43070.516423611109</v>
      </c>
    </row>
    <row r="10455" spans="1:3">
      <c r="A10455">
        <v>8160</v>
      </c>
      <c r="B10455">
        <v>3848953</v>
      </c>
      <c r="C10455" s="32">
        <v>43072.351875</v>
      </c>
    </row>
    <row r="10456" spans="1:3">
      <c r="A10456">
        <v>107245</v>
      </c>
      <c r="B10456">
        <v>2885642</v>
      </c>
      <c r="C10456" s="32">
        <v>43072.107129629629</v>
      </c>
    </row>
    <row r="10457" spans="1:3">
      <c r="A10457">
        <v>767006</v>
      </c>
      <c r="B10457">
        <v>4874384</v>
      </c>
      <c r="C10457" s="32">
        <v>43072.553043981483</v>
      </c>
    </row>
    <row r="10458" spans="1:3">
      <c r="A10458">
        <v>874308</v>
      </c>
      <c r="B10458">
        <v>2920476</v>
      </c>
      <c r="C10458" s="32">
        <v>43072.038738425923</v>
      </c>
    </row>
    <row r="10459" spans="1:3">
      <c r="A10459">
        <v>694628</v>
      </c>
      <c r="B10459">
        <v>2877672</v>
      </c>
      <c r="C10459" s="32">
        <v>43071.974328703705</v>
      </c>
    </row>
    <row r="10460" spans="1:3">
      <c r="A10460">
        <v>287993</v>
      </c>
      <c r="B10460">
        <v>4697972</v>
      </c>
      <c r="C10460" s="32">
        <v>43070.254386574074</v>
      </c>
    </row>
    <row r="10461" spans="1:3">
      <c r="A10461">
        <v>362079</v>
      </c>
      <c r="B10461">
        <v>4992952</v>
      </c>
      <c r="C10461" s="32">
        <v>43072.194421296299</v>
      </c>
    </row>
    <row r="10462" spans="1:3">
      <c r="A10462">
        <v>157302</v>
      </c>
      <c r="B10462">
        <v>4145813</v>
      </c>
      <c r="C10462" s="32">
        <v>43070.141608796293</v>
      </c>
    </row>
    <row r="10463" spans="1:3">
      <c r="A10463">
        <v>474856</v>
      </c>
      <c r="B10463">
        <v>3158249</v>
      </c>
      <c r="C10463" s="32">
        <v>43070.487743055557</v>
      </c>
    </row>
    <row r="10464" spans="1:3">
      <c r="A10464">
        <v>532959</v>
      </c>
      <c r="B10464">
        <v>941949</v>
      </c>
      <c r="C10464" s="32">
        <v>43070.65016203704</v>
      </c>
    </row>
    <row r="10465" spans="1:3">
      <c r="A10465">
        <v>440254</v>
      </c>
      <c r="B10465">
        <v>4690421</v>
      </c>
      <c r="C10465" s="32">
        <v>43069.668900462966</v>
      </c>
    </row>
    <row r="10466" spans="1:3">
      <c r="A10466">
        <v>425286</v>
      </c>
      <c r="B10466">
        <v>2096639</v>
      </c>
      <c r="C10466" s="32">
        <v>43072.446527777778</v>
      </c>
    </row>
    <row r="10467" spans="1:3">
      <c r="A10467">
        <v>582286</v>
      </c>
      <c r="B10467">
        <v>149192</v>
      </c>
      <c r="C10467" s="32">
        <v>43070.217638888891</v>
      </c>
    </row>
    <row r="10468" spans="1:3">
      <c r="A10468">
        <v>831459</v>
      </c>
      <c r="B10468">
        <v>4282985</v>
      </c>
      <c r="C10468" s="32">
        <v>43071.275023148148</v>
      </c>
    </row>
    <row r="10469" spans="1:3">
      <c r="A10469">
        <v>531704</v>
      </c>
      <c r="B10469">
        <v>982926</v>
      </c>
      <c r="C10469" s="32">
        <v>43071.344074074077</v>
      </c>
    </row>
    <row r="10470" spans="1:3">
      <c r="A10470">
        <v>917185</v>
      </c>
      <c r="B10470">
        <v>3607361</v>
      </c>
      <c r="C10470" s="32">
        <v>43072.115266203706</v>
      </c>
    </row>
    <row r="10471" spans="1:3">
      <c r="A10471">
        <v>9118</v>
      </c>
      <c r="B10471">
        <v>3767409</v>
      </c>
      <c r="C10471" s="32">
        <v>43072.258043981485</v>
      </c>
    </row>
    <row r="10472" spans="1:3">
      <c r="A10472">
        <v>964763</v>
      </c>
      <c r="B10472">
        <v>1879194</v>
      </c>
      <c r="C10472" s="32">
        <v>43071.49359953704</v>
      </c>
    </row>
    <row r="10473" spans="1:3">
      <c r="A10473">
        <v>336384</v>
      </c>
      <c r="B10473">
        <v>3607361</v>
      </c>
      <c r="C10473" s="32">
        <v>43070.587627314817</v>
      </c>
    </row>
    <row r="10474" spans="1:3">
      <c r="A10474">
        <v>503374</v>
      </c>
      <c r="B10474">
        <v>3002561</v>
      </c>
      <c r="C10474" s="32">
        <v>43071.35900462963</v>
      </c>
    </row>
    <row r="10475" spans="1:3">
      <c r="A10475">
        <v>644353</v>
      </c>
      <c r="B10475">
        <v>4690421</v>
      </c>
      <c r="C10475" s="32">
        <v>43071.105358796296</v>
      </c>
    </row>
    <row r="10476" spans="1:3">
      <c r="A10476">
        <v>794181</v>
      </c>
      <c r="B10476">
        <v>2052526</v>
      </c>
      <c r="C10476" s="32">
        <v>43070.508437500001</v>
      </c>
    </row>
    <row r="10477" spans="1:3">
      <c r="A10477">
        <v>670719</v>
      </c>
      <c r="B10477">
        <v>4145813</v>
      </c>
      <c r="C10477" s="32">
        <v>43071.997499999998</v>
      </c>
    </row>
    <row r="10478" spans="1:3">
      <c r="A10478">
        <v>45652</v>
      </c>
      <c r="B10478">
        <v>846990</v>
      </c>
      <c r="C10478" s="32">
        <v>43072.351863425924</v>
      </c>
    </row>
    <row r="10479" spans="1:3">
      <c r="A10479">
        <v>413384</v>
      </c>
      <c r="B10479">
        <v>3840905</v>
      </c>
      <c r="C10479" s="32">
        <v>43071.212569444448</v>
      </c>
    </row>
    <row r="10480" spans="1:3">
      <c r="A10480">
        <v>52351</v>
      </c>
      <c r="B10480">
        <v>3738615</v>
      </c>
      <c r="C10480" s="32">
        <v>43071.028171296297</v>
      </c>
    </row>
    <row r="10481" spans="1:3">
      <c r="A10481">
        <v>682268</v>
      </c>
      <c r="B10481">
        <v>285583</v>
      </c>
      <c r="C10481" s="32">
        <v>43070.291770833333</v>
      </c>
    </row>
    <row r="10482" spans="1:3">
      <c r="A10482">
        <v>599915</v>
      </c>
      <c r="B10482">
        <v>4643350</v>
      </c>
      <c r="C10482" s="32">
        <v>43070.547789351855</v>
      </c>
    </row>
    <row r="10483" spans="1:3">
      <c r="A10483">
        <v>436851</v>
      </c>
      <c r="B10483">
        <v>3002561</v>
      </c>
      <c r="C10483" s="32">
        <v>43071.348958333336</v>
      </c>
    </row>
    <row r="10484" spans="1:3">
      <c r="A10484">
        <v>437038</v>
      </c>
      <c r="B10484">
        <v>4558987</v>
      </c>
      <c r="C10484" s="32">
        <v>43070.537997685184</v>
      </c>
    </row>
    <row r="10485" spans="1:3">
      <c r="A10485">
        <v>228267</v>
      </c>
      <c r="B10485">
        <v>2520771</v>
      </c>
      <c r="C10485" s="32">
        <v>43071.605011574073</v>
      </c>
    </row>
    <row r="10486" spans="1:3">
      <c r="A10486">
        <v>236401</v>
      </c>
      <c r="B10486">
        <v>753984</v>
      </c>
      <c r="C10486" s="32">
        <v>43072.128252314818</v>
      </c>
    </row>
    <row r="10487" spans="1:3">
      <c r="A10487">
        <v>920581</v>
      </c>
      <c r="B10487">
        <v>4882154</v>
      </c>
      <c r="C10487" s="32">
        <v>43072.653182870374</v>
      </c>
    </row>
    <row r="10488" spans="1:3">
      <c r="A10488">
        <v>538052</v>
      </c>
      <c r="B10488">
        <v>2520377</v>
      </c>
      <c r="C10488" s="32">
        <v>43072.224317129629</v>
      </c>
    </row>
    <row r="10489" spans="1:3">
      <c r="A10489">
        <v>37870</v>
      </c>
      <c r="B10489">
        <v>2945933</v>
      </c>
      <c r="C10489" s="32">
        <v>43072.557685185187</v>
      </c>
    </row>
    <row r="10490" spans="1:3">
      <c r="A10490">
        <v>511023</v>
      </c>
      <c r="B10490">
        <v>119741</v>
      </c>
      <c r="C10490" s="32">
        <v>43071.414282407408</v>
      </c>
    </row>
    <row r="10491" spans="1:3">
      <c r="A10491">
        <v>140003</v>
      </c>
      <c r="B10491">
        <v>2355072</v>
      </c>
      <c r="C10491" s="32">
        <v>43072.471967592595</v>
      </c>
    </row>
    <row r="10492" spans="1:3">
      <c r="A10492">
        <v>506356</v>
      </c>
      <c r="B10492">
        <v>4756105</v>
      </c>
      <c r="C10492" s="32">
        <v>43069.668622685182</v>
      </c>
    </row>
    <row r="10493" spans="1:3">
      <c r="A10493">
        <v>61933</v>
      </c>
      <c r="B10493">
        <v>4181361</v>
      </c>
      <c r="C10493" s="32">
        <v>43070.439664351848</v>
      </c>
    </row>
    <row r="10494" spans="1:3">
      <c r="A10494">
        <v>400534</v>
      </c>
      <c r="B10494">
        <v>4145813</v>
      </c>
      <c r="C10494" s="32">
        <v>43070.534837962965</v>
      </c>
    </row>
    <row r="10495" spans="1:3">
      <c r="A10495">
        <v>745575</v>
      </c>
      <c r="B10495">
        <v>2465336</v>
      </c>
      <c r="C10495" s="32">
        <v>43072.530717592592</v>
      </c>
    </row>
    <row r="10496" spans="1:3">
      <c r="A10496">
        <v>878043</v>
      </c>
      <c r="B10496">
        <v>570735</v>
      </c>
      <c r="C10496" s="32">
        <v>43070.29409722222</v>
      </c>
    </row>
    <row r="10497" spans="1:3">
      <c r="A10497">
        <v>342323</v>
      </c>
      <c r="B10497">
        <v>1879194</v>
      </c>
      <c r="C10497" s="32">
        <v>43071.686412037037</v>
      </c>
    </row>
    <row r="10498" spans="1:3">
      <c r="A10498">
        <v>363002</v>
      </c>
      <c r="B10498">
        <v>4167958</v>
      </c>
      <c r="C10498" s="32">
        <v>43070.292187500003</v>
      </c>
    </row>
    <row r="10499" spans="1:3">
      <c r="A10499">
        <v>350883</v>
      </c>
      <c r="B10499">
        <v>1305897</v>
      </c>
      <c r="C10499" s="32">
        <v>43072.462650462963</v>
      </c>
    </row>
    <row r="10500" spans="1:3">
      <c r="A10500">
        <v>976730</v>
      </c>
      <c r="B10500">
        <v>3673501</v>
      </c>
      <c r="C10500" s="32">
        <v>43072.663900462961</v>
      </c>
    </row>
    <row r="10501" spans="1:3">
      <c r="A10501">
        <v>590584</v>
      </c>
      <c r="B10501">
        <v>1132429</v>
      </c>
      <c r="C10501" s="32">
        <v>43070.851423611108</v>
      </c>
    </row>
    <row r="10502" spans="1:3">
      <c r="A10502">
        <v>72307</v>
      </c>
      <c r="B10502">
        <v>2736436</v>
      </c>
      <c r="C10502" s="32">
        <v>43072.140717592592</v>
      </c>
    </row>
    <row r="10503" spans="1:3">
      <c r="A10503">
        <v>57572</v>
      </c>
      <c r="B10503">
        <v>982926</v>
      </c>
      <c r="C10503" s="32">
        <v>43070.346180555556</v>
      </c>
    </row>
    <row r="10504" spans="1:3">
      <c r="A10504">
        <v>469835</v>
      </c>
      <c r="B10504">
        <v>965809</v>
      </c>
      <c r="C10504" s="32">
        <v>43071.671736111108</v>
      </c>
    </row>
    <row r="10505" spans="1:3">
      <c r="A10505">
        <v>406368</v>
      </c>
      <c r="B10505">
        <v>149192</v>
      </c>
      <c r="C10505" s="32">
        <v>43071.23946759259</v>
      </c>
    </row>
    <row r="10506" spans="1:3">
      <c r="A10506">
        <v>552420</v>
      </c>
      <c r="B10506">
        <v>2201685</v>
      </c>
      <c r="C10506" s="32">
        <v>43069.929270833331</v>
      </c>
    </row>
    <row r="10507" spans="1:3">
      <c r="A10507">
        <v>558933</v>
      </c>
      <c r="B10507">
        <v>2085893</v>
      </c>
      <c r="C10507" s="32">
        <v>43072.13385416667</v>
      </c>
    </row>
    <row r="10508" spans="1:3">
      <c r="A10508">
        <v>649768</v>
      </c>
      <c r="B10508">
        <v>3081594</v>
      </c>
      <c r="C10508" s="32">
        <v>43072.616180555553</v>
      </c>
    </row>
    <row r="10509" spans="1:3">
      <c r="A10509">
        <v>41909</v>
      </c>
      <c r="B10509">
        <v>4145813</v>
      </c>
      <c r="C10509" s="32">
        <v>43070.580752314818</v>
      </c>
    </row>
    <row r="10510" spans="1:3">
      <c r="A10510">
        <v>319440</v>
      </c>
      <c r="B10510">
        <v>982926</v>
      </c>
      <c r="C10510" s="32">
        <v>43070.627187500002</v>
      </c>
    </row>
    <row r="10511" spans="1:3">
      <c r="A10511">
        <v>876058</v>
      </c>
      <c r="B10511">
        <v>4077585</v>
      </c>
      <c r="C10511" s="32">
        <v>43070.393125000002</v>
      </c>
    </row>
    <row r="10512" spans="1:3">
      <c r="A10512">
        <v>71393</v>
      </c>
      <c r="B10512">
        <v>1488813</v>
      </c>
      <c r="C10512" s="32">
        <v>43072.58148148148</v>
      </c>
    </row>
    <row r="10513" spans="1:3">
      <c r="A10513">
        <v>658093</v>
      </c>
      <c r="B10513">
        <v>3747017</v>
      </c>
      <c r="C10513" s="32">
        <v>43072.562581018516</v>
      </c>
    </row>
    <row r="10514" spans="1:3">
      <c r="A10514">
        <v>153884</v>
      </c>
      <c r="B10514">
        <v>4690421</v>
      </c>
      <c r="C10514" s="32">
        <v>43072.25990740741</v>
      </c>
    </row>
    <row r="10515" spans="1:3">
      <c r="A10515">
        <v>254251</v>
      </c>
      <c r="B10515">
        <v>737184</v>
      </c>
      <c r="C10515" s="32">
        <v>43072.383738425924</v>
      </c>
    </row>
    <row r="10516" spans="1:3">
      <c r="A10516">
        <v>582376</v>
      </c>
      <c r="B10516">
        <v>3002561</v>
      </c>
      <c r="C10516" s="32">
        <v>43069.716099537036</v>
      </c>
    </row>
    <row r="10517" spans="1:3">
      <c r="A10517">
        <v>924210</v>
      </c>
      <c r="B10517">
        <v>4801426</v>
      </c>
      <c r="C10517" s="32">
        <v>43071.607881944445</v>
      </c>
    </row>
    <row r="10518" spans="1:3">
      <c r="A10518">
        <v>432240</v>
      </c>
      <c r="B10518">
        <v>4145813</v>
      </c>
      <c r="C10518" s="32">
        <v>43071.563726851855</v>
      </c>
    </row>
    <row r="10519" spans="1:3">
      <c r="A10519">
        <v>262119</v>
      </c>
      <c r="B10519">
        <v>1879194</v>
      </c>
      <c r="C10519" s="32">
        <v>43070.484872685185</v>
      </c>
    </row>
    <row r="10520" spans="1:3">
      <c r="A10520">
        <v>814902</v>
      </c>
      <c r="B10520">
        <v>1299190</v>
      </c>
      <c r="C10520" s="32">
        <v>43071.581608796296</v>
      </c>
    </row>
    <row r="10521" spans="1:3">
      <c r="A10521">
        <v>788351</v>
      </c>
      <c r="B10521">
        <v>2735466</v>
      </c>
      <c r="C10521" s="32">
        <v>43072.450277777774</v>
      </c>
    </row>
    <row r="10522" spans="1:3">
      <c r="A10522">
        <v>271109</v>
      </c>
      <c r="B10522">
        <v>1349561</v>
      </c>
      <c r="C10522" s="32">
        <v>43070.131666666668</v>
      </c>
    </row>
    <row r="10523" spans="1:3">
      <c r="A10523">
        <v>272868</v>
      </c>
      <c r="B10523">
        <v>4756105</v>
      </c>
      <c r="C10523" s="32">
        <v>43071.484155092592</v>
      </c>
    </row>
    <row r="10524" spans="1:3">
      <c r="A10524">
        <v>515401</v>
      </c>
      <c r="B10524">
        <v>2314022</v>
      </c>
      <c r="C10524" s="32">
        <v>43071.541655092595</v>
      </c>
    </row>
    <row r="10525" spans="1:3">
      <c r="A10525">
        <v>952066</v>
      </c>
      <c r="B10525">
        <v>2885642</v>
      </c>
      <c r="C10525" s="32">
        <v>43072.050879629627</v>
      </c>
    </row>
    <row r="10526" spans="1:3">
      <c r="A10526">
        <v>839644</v>
      </c>
      <c r="B10526">
        <v>3549297</v>
      </c>
      <c r="C10526" s="32">
        <v>43072.590358796297</v>
      </c>
    </row>
    <row r="10527" spans="1:3">
      <c r="A10527">
        <v>917237</v>
      </c>
      <c r="B10527">
        <v>1711596</v>
      </c>
      <c r="C10527" s="32">
        <v>43072.173449074071</v>
      </c>
    </row>
    <row r="10528" spans="1:3">
      <c r="A10528">
        <v>140316</v>
      </c>
      <c r="B10528">
        <v>4827537</v>
      </c>
      <c r="C10528" s="32">
        <v>43072.363206018519</v>
      </c>
    </row>
    <row r="10529" spans="1:3">
      <c r="A10529">
        <v>127641</v>
      </c>
      <c r="B10529">
        <v>1320293</v>
      </c>
      <c r="C10529" s="32">
        <v>43071.679837962962</v>
      </c>
    </row>
    <row r="10530" spans="1:3">
      <c r="A10530">
        <v>476207</v>
      </c>
      <c r="B10530">
        <v>2520377</v>
      </c>
      <c r="C10530" s="32">
        <v>43072.209131944444</v>
      </c>
    </row>
    <row r="10531" spans="1:3">
      <c r="A10531">
        <v>441832</v>
      </c>
      <c r="B10531">
        <v>3398567</v>
      </c>
      <c r="C10531" s="32">
        <v>43072.075509259259</v>
      </c>
    </row>
    <row r="10532" spans="1:3">
      <c r="A10532">
        <v>350331</v>
      </c>
      <c r="B10532">
        <v>4576874</v>
      </c>
      <c r="C10532" s="32">
        <v>43071.268831018519</v>
      </c>
    </row>
    <row r="10533" spans="1:3">
      <c r="A10533">
        <v>559694</v>
      </c>
      <c r="B10533">
        <v>3598912</v>
      </c>
      <c r="C10533" s="32">
        <v>43071.611631944441</v>
      </c>
    </row>
    <row r="10534" spans="1:3">
      <c r="A10534">
        <v>816652</v>
      </c>
      <c r="B10534">
        <v>4069500</v>
      </c>
      <c r="C10534" s="32">
        <v>43069.993252314816</v>
      </c>
    </row>
    <row r="10535" spans="1:3">
      <c r="A10535">
        <v>647989</v>
      </c>
      <c r="B10535">
        <v>3340725</v>
      </c>
      <c r="C10535" s="32">
        <v>43072.46738425926</v>
      </c>
    </row>
    <row r="10536" spans="1:3">
      <c r="A10536">
        <v>780424</v>
      </c>
      <c r="B10536">
        <v>2433095</v>
      </c>
      <c r="C10536" s="32">
        <v>43070.70857638889</v>
      </c>
    </row>
    <row r="10537" spans="1:3">
      <c r="A10537">
        <v>666179</v>
      </c>
      <c r="B10537">
        <v>181182</v>
      </c>
      <c r="C10537" s="32">
        <v>43072.419386574074</v>
      </c>
    </row>
    <row r="10538" spans="1:3">
      <c r="A10538">
        <v>361794</v>
      </c>
      <c r="B10538">
        <v>2361828</v>
      </c>
      <c r="C10538" s="32">
        <v>43070.667546296296</v>
      </c>
    </row>
    <row r="10539" spans="1:3">
      <c r="A10539">
        <v>778757</v>
      </c>
      <c r="B10539">
        <v>1646753</v>
      </c>
      <c r="C10539" s="32">
        <v>43070.140243055554</v>
      </c>
    </row>
    <row r="10540" spans="1:3">
      <c r="A10540">
        <v>833519</v>
      </c>
      <c r="B10540">
        <v>2520377</v>
      </c>
      <c r="C10540" s="32">
        <v>43071.591504629629</v>
      </c>
    </row>
    <row r="10541" spans="1:3">
      <c r="A10541">
        <v>480182</v>
      </c>
      <c r="B10541">
        <v>982926</v>
      </c>
      <c r="C10541" s="32">
        <v>43071.372361111113</v>
      </c>
    </row>
    <row r="10542" spans="1:3">
      <c r="A10542">
        <v>964126</v>
      </c>
      <c r="B10542">
        <v>274067</v>
      </c>
      <c r="C10542" s="32">
        <v>43070.44290509259</v>
      </c>
    </row>
    <row r="10543" spans="1:3">
      <c r="A10543">
        <v>45129</v>
      </c>
      <c r="B10543">
        <v>4589142</v>
      </c>
      <c r="C10543" s="32">
        <v>43071.426817129628</v>
      </c>
    </row>
    <row r="10544" spans="1:3">
      <c r="A10544">
        <v>170252</v>
      </c>
      <c r="B10544">
        <v>4339722</v>
      </c>
      <c r="C10544" s="32">
        <v>43071.52579861111</v>
      </c>
    </row>
    <row r="10545" spans="1:3">
      <c r="A10545">
        <v>396611</v>
      </c>
      <c r="B10545">
        <v>2975713</v>
      </c>
      <c r="C10545" s="32">
        <v>43070.256956018522</v>
      </c>
    </row>
    <row r="10546" spans="1:3">
      <c r="A10546">
        <v>109692</v>
      </c>
      <c r="B10546">
        <v>3736316</v>
      </c>
      <c r="C10546" s="32">
        <v>43071.456597222219</v>
      </c>
    </row>
    <row r="10547" spans="1:3">
      <c r="A10547">
        <v>617798</v>
      </c>
      <c r="B10547">
        <v>1231891</v>
      </c>
      <c r="C10547" s="32">
        <v>43072.175312500003</v>
      </c>
    </row>
    <row r="10548" spans="1:3">
      <c r="A10548">
        <v>796506</v>
      </c>
      <c r="B10548">
        <v>583485</v>
      </c>
      <c r="C10548" s="32">
        <v>43071.997696759259</v>
      </c>
    </row>
    <row r="10549" spans="1:3">
      <c r="A10549">
        <v>693321</v>
      </c>
      <c r="B10549">
        <v>846990</v>
      </c>
      <c r="C10549" s="32">
        <v>43071.618622685186</v>
      </c>
    </row>
    <row r="10550" spans="1:3">
      <c r="A10550">
        <v>668529</v>
      </c>
      <c r="B10550">
        <v>2188684</v>
      </c>
      <c r="C10550" s="32">
        <v>43071.523993055554</v>
      </c>
    </row>
    <row r="10551" spans="1:3">
      <c r="A10551">
        <v>289802</v>
      </c>
      <c r="B10551">
        <v>1464116</v>
      </c>
      <c r="C10551" s="32">
        <v>43072.067997685182</v>
      </c>
    </row>
    <row r="10552" spans="1:3">
      <c r="A10552">
        <v>145074</v>
      </c>
      <c r="B10552">
        <v>3002561</v>
      </c>
      <c r="C10552" s="32">
        <v>43071.242777777778</v>
      </c>
    </row>
    <row r="10553" spans="1:3">
      <c r="A10553">
        <v>109991</v>
      </c>
      <c r="B10553">
        <v>1575622</v>
      </c>
      <c r="C10553" s="32">
        <v>43072.196863425925</v>
      </c>
    </row>
    <row r="10554" spans="1:3">
      <c r="A10554">
        <v>466401</v>
      </c>
      <c r="B10554">
        <v>235534</v>
      </c>
      <c r="C10554" s="32">
        <v>43071.35596064815</v>
      </c>
    </row>
    <row r="10555" spans="1:3">
      <c r="A10555">
        <v>906256</v>
      </c>
      <c r="B10555">
        <v>149192</v>
      </c>
      <c r="C10555" s="32">
        <v>43071.325648148151</v>
      </c>
    </row>
    <row r="10556" spans="1:3">
      <c r="A10556">
        <v>416064</v>
      </c>
      <c r="B10556">
        <v>4672807</v>
      </c>
      <c r="C10556" s="32">
        <v>43070.426087962966</v>
      </c>
    </row>
    <row r="10557" spans="1:3">
      <c r="A10557">
        <v>510822</v>
      </c>
      <c r="B10557">
        <v>3378887</v>
      </c>
      <c r="C10557" s="32">
        <v>43069.973969907405</v>
      </c>
    </row>
    <row r="10558" spans="1:3">
      <c r="A10558">
        <v>469728</v>
      </c>
      <c r="B10558">
        <v>2355072</v>
      </c>
      <c r="C10558" s="32">
        <v>43071.223530092589</v>
      </c>
    </row>
    <row r="10559" spans="1:3">
      <c r="A10559">
        <v>979438</v>
      </c>
      <c r="B10559">
        <v>4756105</v>
      </c>
      <c r="C10559" s="32">
        <v>43072.514456018522</v>
      </c>
    </row>
    <row r="10560" spans="1:3">
      <c r="A10560">
        <v>469540</v>
      </c>
      <c r="B10560">
        <v>4756105</v>
      </c>
      <c r="C10560" s="32">
        <v>43071.037314814814</v>
      </c>
    </row>
    <row r="10561" spans="1:3">
      <c r="A10561">
        <v>806825</v>
      </c>
      <c r="B10561">
        <v>2465336</v>
      </c>
      <c r="C10561" s="32">
        <v>43072.576261574075</v>
      </c>
    </row>
    <row r="10562" spans="1:3">
      <c r="A10562">
        <v>147885</v>
      </c>
      <c r="B10562">
        <v>2465336</v>
      </c>
      <c r="C10562" s="32">
        <v>43070.74</v>
      </c>
    </row>
    <row r="10563" spans="1:3">
      <c r="A10563">
        <v>425248</v>
      </c>
      <c r="B10563">
        <v>2626421</v>
      </c>
      <c r="C10563" s="32">
        <v>43069.739444444444</v>
      </c>
    </row>
    <row r="10564" spans="1:3">
      <c r="A10564">
        <v>861962</v>
      </c>
      <c r="B10564">
        <v>2735466</v>
      </c>
      <c r="C10564" s="32">
        <v>43070.954398148147</v>
      </c>
    </row>
    <row r="10565" spans="1:3">
      <c r="A10565">
        <v>731934</v>
      </c>
      <c r="B10565">
        <v>2520377</v>
      </c>
      <c r="C10565" s="32">
        <v>43070.383425925924</v>
      </c>
    </row>
    <row r="10566" spans="1:3">
      <c r="A10566">
        <v>600490</v>
      </c>
      <c r="B10566">
        <v>2355072</v>
      </c>
      <c r="C10566" s="32">
        <v>43070.090127314812</v>
      </c>
    </row>
    <row r="10567" spans="1:3">
      <c r="A10567">
        <v>219349</v>
      </c>
      <c r="B10567">
        <v>3231625</v>
      </c>
      <c r="C10567" s="32">
        <v>43070.090300925927</v>
      </c>
    </row>
    <row r="10568" spans="1:3">
      <c r="A10568">
        <v>936091</v>
      </c>
      <c r="B10568">
        <v>3738615</v>
      </c>
      <c r="C10568" s="32">
        <v>43071.18204861111</v>
      </c>
    </row>
    <row r="10569" spans="1:3">
      <c r="A10569">
        <v>301798</v>
      </c>
      <c r="B10569">
        <v>1674316</v>
      </c>
      <c r="C10569" s="32">
        <v>43070.581122685187</v>
      </c>
    </row>
    <row r="10570" spans="1:3">
      <c r="A10570">
        <v>292737</v>
      </c>
      <c r="B10570">
        <v>2241047</v>
      </c>
      <c r="C10570" s="32">
        <v>43069.748368055552</v>
      </c>
    </row>
    <row r="10571" spans="1:3">
      <c r="A10571">
        <v>556951</v>
      </c>
      <c r="B10571">
        <v>1050007</v>
      </c>
      <c r="C10571" s="32">
        <v>43070.658819444441</v>
      </c>
    </row>
    <row r="10572" spans="1:3">
      <c r="A10572">
        <v>897471</v>
      </c>
      <c r="B10572">
        <v>4449178</v>
      </c>
      <c r="C10572" s="32">
        <v>43072.602962962963</v>
      </c>
    </row>
    <row r="10573" spans="1:3">
      <c r="A10573">
        <v>338527</v>
      </c>
      <c r="B10573">
        <v>1567637</v>
      </c>
      <c r="C10573" s="32">
        <v>43071.357094907406</v>
      </c>
    </row>
    <row r="10574" spans="1:3">
      <c r="A10574">
        <v>181655</v>
      </c>
      <c r="B10574">
        <v>2735466</v>
      </c>
      <c r="C10574" s="32">
        <v>43071.367824074077</v>
      </c>
    </row>
    <row r="10575" spans="1:3">
      <c r="A10575">
        <v>408720</v>
      </c>
      <c r="B10575">
        <v>982926</v>
      </c>
      <c r="C10575" s="32">
        <v>43072.586481481485</v>
      </c>
    </row>
    <row r="10576" spans="1:3">
      <c r="A10576">
        <v>11089</v>
      </c>
      <c r="B10576">
        <v>1320293</v>
      </c>
      <c r="C10576" s="32">
        <v>43072.647673611114</v>
      </c>
    </row>
    <row r="10577" spans="1:3">
      <c r="A10577">
        <v>968994</v>
      </c>
      <c r="B10577">
        <v>1464116</v>
      </c>
      <c r="C10577" s="32">
        <v>43072.493125000001</v>
      </c>
    </row>
    <row r="10578" spans="1:3">
      <c r="A10578">
        <v>665872</v>
      </c>
      <c r="B10578">
        <v>1768869</v>
      </c>
      <c r="C10578" s="32">
        <v>43071.741909722223</v>
      </c>
    </row>
    <row r="10579" spans="1:3">
      <c r="A10579">
        <v>69901</v>
      </c>
      <c r="B10579">
        <v>2194744</v>
      </c>
      <c r="C10579" s="32">
        <v>43072.43409722222</v>
      </c>
    </row>
    <row r="10580" spans="1:3">
      <c r="A10580">
        <v>699889</v>
      </c>
      <c r="B10580">
        <v>4355436</v>
      </c>
      <c r="C10580" s="32">
        <v>43071.294907407406</v>
      </c>
    </row>
    <row r="10581" spans="1:3">
      <c r="A10581">
        <v>991311</v>
      </c>
      <c r="B10581">
        <v>854059</v>
      </c>
      <c r="C10581" s="32">
        <v>43070.412673611114</v>
      </c>
    </row>
    <row r="10582" spans="1:3">
      <c r="A10582">
        <v>616751</v>
      </c>
      <c r="B10582">
        <v>4145813</v>
      </c>
      <c r="C10582" s="32">
        <v>43071.091481481482</v>
      </c>
    </row>
    <row r="10583" spans="1:3">
      <c r="A10583">
        <v>88362</v>
      </c>
      <c r="B10583">
        <v>4874384</v>
      </c>
      <c r="C10583" s="32">
        <v>43072.566689814812</v>
      </c>
    </row>
    <row r="10584" spans="1:3">
      <c r="A10584">
        <v>963634</v>
      </c>
      <c r="B10584">
        <v>1029459</v>
      </c>
      <c r="C10584" s="32">
        <v>43071.599687499998</v>
      </c>
    </row>
    <row r="10585" spans="1:3">
      <c r="A10585">
        <v>555331</v>
      </c>
      <c r="B10585">
        <v>339305</v>
      </c>
      <c r="C10585" s="32">
        <v>43069.953136574077</v>
      </c>
    </row>
    <row r="10586" spans="1:3">
      <c r="A10586">
        <v>812087</v>
      </c>
      <c r="B10586">
        <v>2640118</v>
      </c>
      <c r="C10586" s="32">
        <v>43072.476041666669</v>
      </c>
    </row>
    <row r="10587" spans="1:3">
      <c r="A10587">
        <v>758729</v>
      </c>
      <c r="B10587">
        <v>5146409</v>
      </c>
      <c r="C10587" s="32">
        <v>43070.420405092591</v>
      </c>
    </row>
    <row r="10588" spans="1:3">
      <c r="A10588">
        <v>41592</v>
      </c>
      <c r="B10588">
        <v>3102419</v>
      </c>
      <c r="C10588" s="32">
        <v>43070.508263888885</v>
      </c>
    </row>
    <row r="10589" spans="1:3">
      <c r="A10589">
        <v>213277</v>
      </c>
      <c r="B10589">
        <v>4462359</v>
      </c>
      <c r="C10589" s="32">
        <v>43069.9296412037</v>
      </c>
    </row>
    <row r="10590" spans="1:3">
      <c r="A10590">
        <v>618584</v>
      </c>
      <c r="B10590">
        <v>965809</v>
      </c>
      <c r="C10590" s="32">
        <v>43069.685532407406</v>
      </c>
    </row>
    <row r="10591" spans="1:3">
      <c r="A10591">
        <v>34400</v>
      </c>
      <c r="B10591">
        <v>149192</v>
      </c>
      <c r="C10591" s="32">
        <v>43071.637430555558</v>
      </c>
    </row>
    <row r="10592" spans="1:3">
      <c r="A10592">
        <v>623796</v>
      </c>
      <c r="B10592">
        <v>1216617</v>
      </c>
      <c r="C10592" s="32">
        <v>43071.816261574073</v>
      </c>
    </row>
    <row r="10593" spans="1:3">
      <c r="A10593">
        <v>361986</v>
      </c>
      <c r="B10593">
        <v>2578647</v>
      </c>
      <c r="C10593" s="32">
        <v>43072.487824074073</v>
      </c>
    </row>
    <row r="10594" spans="1:3">
      <c r="A10594">
        <v>92817</v>
      </c>
      <c r="B10594">
        <v>1884568</v>
      </c>
      <c r="C10594" s="32">
        <v>43071.290717592594</v>
      </c>
    </row>
    <row r="10595" spans="1:3">
      <c r="A10595">
        <v>609183</v>
      </c>
      <c r="B10595">
        <v>3361496</v>
      </c>
      <c r="C10595" s="32">
        <v>43072.147233796299</v>
      </c>
    </row>
    <row r="10596" spans="1:3">
      <c r="A10596">
        <v>159639</v>
      </c>
      <c r="B10596">
        <v>2885642</v>
      </c>
      <c r="C10596" s="32">
        <v>43071.490057870367</v>
      </c>
    </row>
    <row r="10597" spans="1:3">
      <c r="A10597">
        <v>820479</v>
      </c>
      <c r="B10597">
        <v>102272</v>
      </c>
      <c r="C10597" s="32">
        <v>43072.641898148147</v>
      </c>
    </row>
    <row r="10598" spans="1:3">
      <c r="A10598">
        <v>878263</v>
      </c>
      <c r="B10598">
        <v>2735466</v>
      </c>
      <c r="C10598" s="32">
        <v>43072.628564814811</v>
      </c>
    </row>
    <row r="10599" spans="1:3">
      <c r="A10599">
        <v>498265</v>
      </c>
      <c r="B10599">
        <v>2475942</v>
      </c>
      <c r="C10599" s="32">
        <v>43071.124097222222</v>
      </c>
    </row>
    <row r="10600" spans="1:3">
      <c r="A10600">
        <v>842760</v>
      </c>
      <c r="B10600">
        <v>3738615</v>
      </c>
      <c r="C10600" s="32">
        <v>43071.284803240742</v>
      </c>
    </row>
    <row r="10601" spans="1:3">
      <c r="A10601">
        <v>458450</v>
      </c>
      <c r="B10601">
        <v>1029459</v>
      </c>
      <c r="C10601" s="32">
        <v>43069.674444444441</v>
      </c>
    </row>
    <row r="10602" spans="1:3">
      <c r="A10602">
        <v>161406</v>
      </c>
      <c r="B10602">
        <v>3598912</v>
      </c>
      <c r="C10602" s="32">
        <v>43070.585474537038</v>
      </c>
    </row>
    <row r="10603" spans="1:3">
      <c r="A10603">
        <v>900143</v>
      </c>
      <c r="B10603">
        <v>1678374</v>
      </c>
      <c r="C10603" s="32">
        <v>43072.629548611112</v>
      </c>
    </row>
    <row r="10604" spans="1:3">
      <c r="A10604">
        <v>949193</v>
      </c>
      <c r="B10604">
        <v>3483675</v>
      </c>
      <c r="C10604" s="32">
        <v>43070.306643518517</v>
      </c>
    </row>
    <row r="10605" spans="1:3">
      <c r="A10605">
        <v>763735</v>
      </c>
      <c r="B10605">
        <v>1609467</v>
      </c>
      <c r="C10605" s="32">
        <v>43072.289421296293</v>
      </c>
    </row>
    <row r="10606" spans="1:3">
      <c r="A10606">
        <v>598044</v>
      </c>
      <c r="B10606">
        <v>1464116</v>
      </c>
      <c r="C10606" s="32">
        <v>43071.455949074072</v>
      </c>
    </row>
    <row r="10607" spans="1:3">
      <c r="A10607">
        <v>396234</v>
      </c>
      <c r="B10607">
        <v>3923569</v>
      </c>
      <c r="C10607" s="32">
        <v>43072.579548611109</v>
      </c>
    </row>
    <row r="10608" spans="1:3">
      <c r="A10608">
        <v>80847</v>
      </c>
      <c r="B10608">
        <v>3738615</v>
      </c>
      <c r="C10608" s="32">
        <v>43070.239537037036</v>
      </c>
    </row>
    <row r="10609" spans="1:3">
      <c r="A10609">
        <v>904597</v>
      </c>
      <c r="B10609">
        <v>3736936</v>
      </c>
      <c r="C10609" s="32">
        <v>43070.683715277781</v>
      </c>
    </row>
    <row r="10610" spans="1:3">
      <c r="A10610">
        <v>232029</v>
      </c>
      <c r="B10610">
        <v>1320293</v>
      </c>
      <c r="C10610" s="32">
        <v>43071.598923611113</v>
      </c>
    </row>
    <row r="10611" spans="1:3">
      <c r="A10611">
        <v>905679</v>
      </c>
      <c r="B10611">
        <v>4632044</v>
      </c>
      <c r="C10611" s="32">
        <v>43069.699976851851</v>
      </c>
    </row>
    <row r="10612" spans="1:3">
      <c r="A10612">
        <v>458785</v>
      </c>
      <c r="B10612">
        <v>4145813</v>
      </c>
      <c r="C10612" s="32">
        <v>43072.411793981482</v>
      </c>
    </row>
    <row r="10613" spans="1:3">
      <c r="A10613">
        <v>229723</v>
      </c>
      <c r="B10613">
        <v>4756105</v>
      </c>
      <c r="C10613" s="32">
        <v>43071.296331018515</v>
      </c>
    </row>
    <row r="10614" spans="1:3">
      <c r="A10614">
        <v>271289</v>
      </c>
      <c r="B10614">
        <v>1299190</v>
      </c>
      <c r="C10614" s="32">
        <v>43070.552164351851</v>
      </c>
    </row>
    <row r="10615" spans="1:3">
      <c r="A10615">
        <v>631808</v>
      </c>
      <c r="B10615">
        <v>4476428</v>
      </c>
      <c r="C10615" s="32">
        <v>43070.59</v>
      </c>
    </row>
    <row r="10616" spans="1:3">
      <c r="A10616">
        <v>882494</v>
      </c>
      <c r="B10616">
        <v>2355072</v>
      </c>
      <c r="C10616" s="32">
        <v>43072.63790509259</v>
      </c>
    </row>
    <row r="10617" spans="1:3">
      <c r="A10617">
        <v>890420</v>
      </c>
      <c r="B10617">
        <v>3607361</v>
      </c>
      <c r="C10617" s="32">
        <v>43072.08048611111</v>
      </c>
    </row>
    <row r="10618" spans="1:3">
      <c r="A10618">
        <v>580667</v>
      </c>
      <c r="B10618">
        <v>1008362</v>
      </c>
      <c r="C10618" s="32">
        <v>43072.060787037037</v>
      </c>
    </row>
    <row r="10619" spans="1:3">
      <c r="A10619">
        <v>616188</v>
      </c>
      <c r="B10619">
        <v>982926</v>
      </c>
      <c r="C10619" s="32">
        <v>43072.663761574076</v>
      </c>
    </row>
    <row r="10620" spans="1:3">
      <c r="A10620">
        <v>215346</v>
      </c>
      <c r="B10620">
        <v>4145813</v>
      </c>
      <c r="C10620" s="32">
        <v>43071.153043981481</v>
      </c>
    </row>
    <row r="10621" spans="1:3">
      <c r="A10621">
        <v>453983</v>
      </c>
      <c r="B10621">
        <v>4801426</v>
      </c>
      <c r="C10621" s="32">
        <v>43071.121331018519</v>
      </c>
    </row>
    <row r="10622" spans="1:3">
      <c r="A10622">
        <v>156514</v>
      </c>
      <c r="B10622">
        <v>4357323</v>
      </c>
      <c r="C10622" s="32">
        <v>43071.111527777779</v>
      </c>
    </row>
    <row r="10623" spans="1:3">
      <c r="A10623">
        <v>927881</v>
      </c>
      <c r="B10623">
        <v>3672452</v>
      </c>
      <c r="C10623" s="32">
        <v>43070.250648148147</v>
      </c>
    </row>
    <row r="10624" spans="1:3">
      <c r="A10624">
        <v>137466</v>
      </c>
      <c r="B10624">
        <v>1573426</v>
      </c>
      <c r="C10624" s="32">
        <v>43072.639270833337</v>
      </c>
    </row>
    <row r="10625" spans="1:3">
      <c r="A10625">
        <v>389732</v>
      </c>
      <c r="B10625">
        <v>1521931</v>
      </c>
      <c r="C10625" s="32">
        <v>43071.694965277777</v>
      </c>
    </row>
    <row r="10626" spans="1:3">
      <c r="A10626">
        <v>997717</v>
      </c>
      <c r="B10626">
        <v>589117</v>
      </c>
      <c r="C10626" s="32">
        <v>43070.074490740742</v>
      </c>
    </row>
    <row r="10627" spans="1:3">
      <c r="A10627">
        <v>704552</v>
      </c>
      <c r="B10627">
        <v>4181361</v>
      </c>
      <c r="C10627" s="32">
        <v>43072.269143518519</v>
      </c>
    </row>
    <row r="10628" spans="1:3">
      <c r="A10628">
        <v>546850</v>
      </c>
      <c r="B10628">
        <v>3738615</v>
      </c>
      <c r="C10628" s="32">
        <v>43072.393391203703</v>
      </c>
    </row>
    <row r="10629" spans="1:3">
      <c r="A10629">
        <v>277386</v>
      </c>
      <c r="B10629">
        <v>753984</v>
      </c>
      <c r="C10629" s="32">
        <v>43071.310810185183</v>
      </c>
    </row>
    <row r="10630" spans="1:3">
      <c r="A10630">
        <v>69730</v>
      </c>
      <c r="B10630">
        <v>3381583</v>
      </c>
      <c r="C10630" s="32">
        <v>43071.613043981481</v>
      </c>
    </row>
    <row r="10631" spans="1:3">
      <c r="A10631">
        <v>923120</v>
      </c>
      <c r="B10631">
        <v>4181361</v>
      </c>
      <c r="C10631" s="32">
        <v>43070.522824074076</v>
      </c>
    </row>
    <row r="10632" spans="1:3">
      <c r="A10632">
        <v>29100</v>
      </c>
      <c r="B10632">
        <v>4357323</v>
      </c>
      <c r="C10632" s="32">
        <v>43069.896226851852</v>
      </c>
    </row>
    <row r="10633" spans="1:3">
      <c r="A10633">
        <v>688658</v>
      </c>
      <c r="B10633">
        <v>1097635</v>
      </c>
      <c r="C10633" s="32">
        <v>43071.612037037034</v>
      </c>
    </row>
    <row r="10634" spans="1:3">
      <c r="A10634">
        <v>63385</v>
      </c>
      <c r="B10634">
        <v>3123784</v>
      </c>
      <c r="C10634" s="32">
        <v>43072.149907407409</v>
      </c>
    </row>
    <row r="10635" spans="1:3">
      <c r="A10635">
        <v>284715</v>
      </c>
      <c r="B10635">
        <v>2520377</v>
      </c>
      <c r="C10635" s="32">
        <v>43071.247928240744</v>
      </c>
    </row>
    <row r="10636" spans="1:3">
      <c r="A10636">
        <v>351735</v>
      </c>
      <c r="B10636">
        <v>3002561</v>
      </c>
      <c r="C10636" s="32">
        <v>43072.652372685188</v>
      </c>
    </row>
    <row r="10637" spans="1:3">
      <c r="A10637">
        <v>582359</v>
      </c>
      <c r="B10637">
        <v>965809</v>
      </c>
      <c r="C10637" s="32">
        <v>43070.66715277778</v>
      </c>
    </row>
    <row r="10638" spans="1:3">
      <c r="A10638">
        <v>6929</v>
      </c>
      <c r="B10638">
        <v>3975787</v>
      </c>
      <c r="C10638" s="32">
        <v>43072.357199074075</v>
      </c>
    </row>
    <row r="10639" spans="1:3">
      <c r="A10639">
        <v>961992</v>
      </c>
      <c r="B10639">
        <v>4181361</v>
      </c>
      <c r="C10639" s="32">
        <v>43072.465173611112</v>
      </c>
    </row>
    <row r="10640" spans="1:3">
      <c r="A10640">
        <v>730810</v>
      </c>
      <c r="B10640">
        <v>2924150</v>
      </c>
      <c r="C10640" s="32">
        <v>43072.304965277777</v>
      </c>
    </row>
    <row r="10641" spans="1:3">
      <c r="A10641">
        <v>641407</v>
      </c>
      <c r="B10641">
        <v>3248072</v>
      </c>
      <c r="C10641" s="32">
        <v>43072.609606481485</v>
      </c>
    </row>
    <row r="10642" spans="1:3">
      <c r="A10642">
        <v>712463</v>
      </c>
      <c r="B10642">
        <v>1299190</v>
      </c>
      <c r="C10642" s="32">
        <v>43071.236006944448</v>
      </c>
    </row>
    <row r="10643" spans="1:3">
      <c r="A10643">
        <v>894887</v>
      </c>
      <c r="B10643">
        <v>4763051</v>
      </c>
      <c r="C10643" s="32">
        <v>43070.077013888891</v>
      </c>
    </row>
    <row r="10644" spans="1:3">
      <c r="A10644">
        <v>99697</v>
      </c>
      <c r="B10644">
        <v>3738615</v>
      </c>
      <c r="C10644" s="32">
        <v>43072.461458333331</v>
      </c>
    </row>
    <row r="10645" spans="1:3">
      <c r="A10645">
        <v>283422</v>
      </c>
      <c r="B10645">
        <v>4801426</v>
      </c>
      <c r="C10645" s="32">
        <v>43072.183587962965</v>
      </c>
    </row>
    <row r="10646" spans="1:3">
      <c r="A10646">
        <v>255960</v>
      </c>
      <c r="B10646">
        <v>4558987</v>
      </c>
      <c r="C10646" s="32">
        <v>43070.53833333333</v>
      </c>
    </row>
    <row r="10647" spans="1:3">
      <c r="A10647">
        <v>437720</v>
      </c>
      <c r="B10647">
        <v>4756105</v>
      </c>
      <c r="C10647" s="32">
        <v>43070.610671296294</v>
      </c>
    </row>
    <row r="10648" spans="1:3">
      <c r="A10648">
        <v>506873</v>
      </c>
      <c r="B10648">
        <v>4217906</v>
      </c>
      <c r="C10648" s="32">
        <v>43071.568796296298</v>
      </c>
    </row>
    <row r="10649" spans="1:3">
      <c r="A10649">
        <v>125407</v>
      </c>
      <c r="B10649">
        <v>2892802</v>
      </c>
      <c r="C10649" s="32">
        <v>43071.183194444442</v>
      </c>
    </row>
    <row r="10650" spans="1:3">
      <c r="A10650">
        <v>127802</v>
      </c>
      <c r="B10650">
        <v>4339722</v>
      </c>
      <c r="C10650" s="32">
        <v>43071.930937500001</v>
      </c>
    </row>
    <row r="10651" spans="1:3">
      <c r="A10651">
        <v>282909</v>
      </c>
      <c r="B10651">
        <v>2877672</v>
      </c>
      <c r="C10651" s="32">
        <v>43072.093055555553</v>
      </c>
    </row>
    <row r="10652" spans="1:3">
      <c r="A10652">
        <v>725285</v>
      </c>
      <c r="B10652">
        <v>1391195</v>
      </c>
      <c r="C10652" s="32">
        <v>43072.524062500001</v>
      </c>
    </row>
    <row r="10653" spans="1:3">
      <c r="A10653">
        <v>899154</v>
      </c>
      <c r="B10653">
        <v>4789432</v>
      </c>
      <c r="C10653" s="32">
        <v>43070.519247685188</v>
      </c>
    </row>
    <row r="10654" spans="1:3">
      <c r="A10654">
        <v>292465</v>
      </c>
      <c r="B10654">
        <v>1464116</v>
      </c>
      <c r="C10654" s="32">
        <v>43072.319456018522</v>
      </c>
    </row>
    <row r="10655" spans="1:3">
      <c r="A10655">
        <v>213344</v>
      </c>
      <c r="B10655">
        <v>3768664</v>
      </c>
      <c r="C10655" s="32">
        <v>43070.648587962962</v>
      </c>
    </row>
    <row r="10656" spans="1:3">
      <c r="A10656">
        <v>450782</v>
      </c>
      <c r="B10656">
        <v>3607361</v>
      </c>
      <c r="C10656" s="32">
        <v>43071.352060185185</v>
      </c>
    </row>
    <row r="10657" spans="1:3">
      <c r="A10657">
        <v>179602</v>
      </c>
      <c r="B10657">
        <v>4731191</v>
      </c>
      <c r="C10657" s="32">
        <v>43071.15221064815</v>
      </c>
    </row>
    <row r="10658" spans="1:3">
      <c r="A10658">
        <v>765838</v>
      </c>
      <c r="B10658">
        <v>238434</v>
      </c>
      <c r="C10658" s="32">
        <v>43072.609895833331</v>
      </c>
    </row>
    <row r="10659" spans="1:3">
      <c r="A10659">
        <v>417681</v>
      </c>
      <c r="B10659">
        <v>4801426</v>
      </c>
      <c r="C10659" s="32">
        <v>43072.469305555554</v>
      </c>
    </row>
    <row r="10660" spans="1:3">
      <c r="A10660">
        <v>585754</v>
      </c>
      <c r="B10660">
        <v>235534</v>
      </c>
      <c r="C10660" s="32">
        <v>43072.421249999999</v>
      </c>
    </row>
    <row r="10661" spans="1:3">
      <c r="A10661">
        <v>387108</v>
      </c>
      <c r="B10661">
        <v>3607361</v>
      </c>
      <c r="C10661" s="32">
        <v>43070.501793981479</v>
      </c>
    </row>
    <row r="10662" spans="1:3">
      <c r="A10662">
        <v>6344</v>
      </c>
      <c r="B10662">
        <v>4789432</v>
      </c>
      <c r="C10662" s="32">
        <v>43071.167199074072</v>
      </c>
    </row>
    <row r="10663" spans="1:3">
      <c r="A10663">
        <v>501928</v>
      </c>
      <c r="B10663">
        <v>4145813</v>
      </c>
      <c r="C10663" s="32">
        <v>43072.318807870368</v>
      </c>
    </row>
    <row r="10664" spans="1:3">
      <c r="A10664">
        <v>879570</v>
      </c>
      <c r="B10664">
        <v>4789432</v>
      </c>
      <c r="C10664" s="32">
        <v>43072.230925925927</v>
      </c>
    </row>
    <row r="10665" spans="1:3">
      <c r="A10665">
        <v>415638</v>
      </c>
      <c r="B10665">
        <v>2939262</v>
      </c>
      <c r="C10665" s="32">
        <v>43071.156608796293</v>
      </c>
    </row>
    <row r="10666" spans="1:3">
      <c r="A10666">
        <v>47244</v>
      </c>
      <c r="B10666">
        <v>2217187</v>
      </c>
      <c r="C10666" s="32">
        <v>43071.11613425926</v>
      </c>
    </row>
    <row r="10667" spans="1:3">
      <c r="A10667">
        <v>62580</v>
      </c>
      <c r="B10667">
        <v>2355072</v>
      </c>
      <c r="C10667" s="32">
        <v>43071.206631944442</v>
      </c>
    </row>
    <row r="10668" spans="1:3">
      <c r="A10668">
        <v>184019</v>
      </c>
      <c r="B10668">
        <v>4082778</v>
      </c>
      <c r="C10668" s="32">
        <v>43071.455104166664</v>
      </c>
    </row>
    <row r="10669" spans="1:3">
      <c r="A10669">
        <v>275963</v>
      </c>
      <c r="B10669">
        <v>50601</v>
      </c>
      <c r="C10669" s="32">
        <v>43071.361990740741</v>
      </c>
    </row>
    <row r="10670" spans="1:3">
      <c r="A10670">
        <v>421299</v>
      </c>
      <c r="B10670">
        <v>3791831</v>
      </c>
      <c r="C10670" s="32">
        <v>43070.618784722225</v>
      </c>
    </row>
    <row r="10671" spans="1:3">
      <c r="A10671">
        <v>953615</v>
      </c>
      <c r="B10671">
        <v>2520377</v>
      </c>
      <c r="C10671" s="32">
        <v>43070.590231481481</v>
      </c>
    </row>
    <row r="10672" spans="1:3">
      <c r="A10672">
        <v>324731</v>
      </c>
      <c r="B10672">
        <v>1331853</v>
      </c>
      <c r="C10672" s="32">
        <v>43071.735937500001</v>
      </c>
    </row>
    <row r="10673" spans="1:3">
      <c r="A10673">
        <v>707211</v>
      </c>
      <c r="B10673">
        <v>3885598</v>
      </c>
      <c r="C10673" s="32">
        <v>43071.312673611108</v>
      </c>
    </row>
    <row r="10674" spans="1:3">
      <c r="A10674">
        <v>821939</v>
      </c>
      <c r="B10674">
        <v>2920476</v>
      </c>
      <c r="C10674" s="32">
        <v>43071.248067129629</v>
      </c>
    </row>
    <row r="10675" spans="1:3">
      <c r="A10675">
        <v>398839</v>
      </c>
      <c r="B10675">
        <v>841696</v>
      </c>
      <c r="C10675" s="32">
        <v>43071.567766203705</v>
      </c>
    </row>
    <row r="10676" spans="1:3">
      <c r="A10676">
        <v>334213</v>
      </c>
      <c r="B10676">
        <v>4145813</v>
      </c>
      <c r="C10676" s="32">
        <v>43071.249675925923</v>
      </c>
    </row>
    <row r="10677" spans="1:3">
      <c r="A10677">
        <v>230938</v>
      </c>
      <c r="B10677">
        <v>866301</v>
      </c>
      <c r="C10677" s="32">
        <v>43070.981539351851</v>
      </c>
    </row>
    <row r="10678" spans="1:3">
      <c r="A10678">
        <v>483408</v>
      </c>
      <c r="B10678">
        <v>4022701</v>
      </c>
      <c r="C10678" s="32">
        <v>43072.067847222221</v>
      </c>
    </row>
    <row r="10679" spans="1:3">
      <c r="A10679">
        <v>272679</v>
      </c>
      <c r="B10679">
        <v>149192</v>
      </c>
      <c r="C10679" s="32">
        <v>43072.386099537034</v>
      </c>
    </row>
    <row r="10680" spans="1:3">
      <c r="A10680">
        <v>56627</v>
      </c>
      <c r="B10680">
        <v>4801426</v>
      </c>
      <c r="C10680" s="32">
        <v>43071.721273148149</v>
      </c>
    </row>
    <row r="10681" spans="1:3">
      <c r="A10681">
        <v>806377</v>
      </c>
      <c r="B10681">
        <v>2355072</v>
      </c>
      <c r="C10681" s="32">
        <v>43071.45821759259</v>
      </c>
    </row>
    <row r="10682" spans="1:3">
      <c r="A10682">
        <v>309915</v>
      </c>
      <c r="B10682">
        <v>2885642</v>
      </c>
      <c r="C10682" s="32">
        <v>43069.76771990741</v>
      </c>
    </row>
    <row r="10683" spans="1:3">
      <c r="A10683">
        <v>409294</v>
      </c>
      <c r="B10683">
        <v>904454</v>
      </c>
      <c r="C10683" s="32">
        <v>43069.940439814818</v>
      </c>
    </row>
    <row r="10684" spans="1:3">
      <c r="A10684">
        <v>264366</v>
      </c>
      <c r="B10684">
        <v>374203</v>
      </c>
      <c r="C10684" s="32">
        <v>43070.541817129626</v>
      </c>
    </row>
    <row r="10685" spans="1:3">
      <c r="A10685">
        <v>362807</v>
      </c>
      <c r="B10685">
        <v>2124307</v>
      </c>
      <c r="C10685" s="32">
        <v>43071.119780092595</v>
      </c>
    </row>
    <row r="10686" spans="1:3">
      <c r="A10686">
        <v>174966</v>
      </c>
      <c r="B10686">
        <v>2649368</v>
      </c>
      <c r="C10686" s="32">
        <v>43072.513773148145</v>
      </c>
    </row>
    <row r="10687" spans="1:3">
      <c r="A10687">
        <v>224815</v>
      </c>
      <c r="B10687">
        <v>1464116</v>
      </c>
      <c r="C10687" s="32">
        <v>43070.689525462964</v>
      </c>
    </row>
    <row r="10688" spans="1:3">
      <c r="A10688">
        <v>425869</v>
      </c>
      <c r="B10688">
        <v>4310023</v>
      </c>
      <c r="C10688" s="32">
        <v>43071.036238425928</v>
      </c>
    </row>
    <row r="10689" spans="1:3">
      <c r="A10689">
        <v>101639</v>
      </c>
      <c r="B10689">
        <v>1080785</v>
      </c>
      <c r="C10689" s="32">
        <v>43072.180046296293</v>
      </c>
    </row>
    <row r="10690" spans="1:3">
      <c r="A10690">
        <v>618350</v>
      </c>
      <c r="B10690">
        <v>4181361</v>
      </c>
      <c r="C10690" s="32">
        <v>43071.384479166663</v>
      </c>
    </row>
    <row r="10691" spans="1:3">
      <c r="A10691">
        <v>681881</v>
      </c>
      <c r="B10691">
        <v>2558244</v>
      </c>
      <c r="C10691" s="32">
        <v>43071.633726851855</v>
      </c>
    </row>
    <row r="10692" spans="1:3">
      <c r="A10692">
        <v>805898</v>
      </c>
      <c r="B10692">
        <v>4580532</v>
      </c>
      <c r="C10692" s="32">
        <v>43071.985081018516</v>
      </c>
    </row>
    <row r="10693" spans="1:3">
      <c r="A10693">
        <v>94025</v>
      </c>
      <c r="B10693">
        <v>2355072</v>
      </c>
      <c r="C10693" s="32">
        <v>43070.116886574076</v>
      </c>
    </row>
    <row r="10694" spans="1:3">
      <c r="A10694">
        <v>902876</v>
      </c>
      <c r="B10694">
        <v>2529187</v>
      </c>
      <c r="C10694" s="32">
        <v>43072.601388888892</v>
      </c>
    </row>
    <row r="10695" spans="1:3">
      <c r="A10695">
        <v>1014096</v>
      </c>
      <c r="B10695">
        <v>4357323</v>
      </c>
      <c r="C10695" s="32">
        <v>43070.635393518518</v>
      </c>
    </row>
    <row r="10696" spans="1:3">
      <c r="A10696">
        <v>234737</v>
      </c>
      <c r="B10696">
        <v>4756105</v>
      </c>
      <c r="C10696" s="32">
        <v>43071.006805555553</v>
      </c>
    </row>
    <row r="10697" spans="1:3">
      <c r="A10697">
        <v>27137</v>
      </c>
      <c r="B10697">
        <v>4419230</v>
      </c>
      <c r="C10697" s="32">
        <v>43070.531168981484</v>
      </c>
    </row>
    <row r="10698" spans="1:3">
      <c r="A10698">
        <v>912697</v>
      </c>
      <c r="B10698">
        <v>2572604</v>
      </c>
      <c r="C10698" s="32">
        <v>43070.224722222221</v>
      </c>
    </row>
    <row r="10699" spans="1:3">
      <c r="A10699">
        <v>266251</v>
      </c>
      <c r="B10699">
        <v>1787510</v>
      </c>
      <c r="C10699" s="32">
        <v>43072.533437500002</v>
      </c>
    </row>
    <row r="10700" spans="1:3">
      <c r="A10700">
        <v>899812</v>
      </c>
      <c r="B10700">
        <v>2590256</v>
      </c>
      <c r="C10700" s="32">
        <v>43072.58</v>
      </c>
    </row>
    <row r="10701" spans="1:3">
      <c r="A10701">
        <v>829302</v>
      </c>
      <c r="B10701">
        <v>1575622</v>
      </c>
      <c r="C10701" s="32">
        <v>43071.541562500002</v>
      </c>
    </row>
    <row r="10702" spans="1:3">
      <c r="A10702">
        <v>131626</v>
      </c>
      <c r="B10702">
        <v>982926</v>
      </c>
      <c r="C10702" s="32">
        <v>43070.519456018519</v>
      </c>
    </row>
    <row r="10703" spans="1:3">
      <c r="A10703">
        <v>122485</v>
      </c>
      <c r="B10703">
        <v>4789432</v>
      </c>
      <c r="C10703" s="32">
        <v>43072.237442129626</v>
      </c>
    </row>
    <row r="10704" spans="1:3">
      <c r="A10704">
        <v>824959</v>
      </c>
      <c r="B10704">
        <v>4163659</v>
      </c>
      <c r="C10704" s="32">
        <v>43071.544976851852</v>
      </c>
    </row>
    <row r="10705" spans="1:3">
      <c r="A10705">
        <v>374723</v>
      </c>
      <c r="B10705">
        <v>4145813</v>
      </c>
      <c r="C10705" s="32">
        <v>43071.132534722223</v>
      </c>
    </row>
    <row r="10706" spans="1:3">
      <c r="A10706">
        <v>80355</v>
      </c>
      <c r="B10706">
        <v>2520377</v>
      </c>
      <c r="C10706" s="32">
        <v>43071.638113425928</v>
      </c>
    </row>
    <row r="10707" spans="1:3">
      <c r="A10707">
        <v>408915</v>
      </c>
      <c r="B10707">
        <v>4756105</v>
      </c>
      <c r="C10707" s="32">
        <v>43071.488287037035</v>
      </c>
    </row>
    <row r="10708" spans="1:3">
      <c r="A10708">
        <v>30182</v>
      </c>
      <c r="B10708">
        <v>982926</v>
      </c>
      <c r="C10708" s="32">
        <v>43071.055277777778</v>
      </c>
    </row>
    <row r="10709" spans="1:3">
      <c r="A10709">
        <v>77771</v>
      </c>
      <c r="B10709">
        <v>1320293</v>
      </c>
      <c r="C10709" s="32">
        <v>43071.607060185182</v>
      </c>
    </row>
    <row r="10710" spans="1:3">
      <c r="A10710">
        <v>861877</v>
      </c>
      <c r="B10710">
        <v>4466876</v>
      </c>
      <c r="C10710" s="32">
        <v>43070.512615740743</v>
      </c>
    </row>
    <row r="10711" spans="1:3">
      <c r="A10711">
        <v>484146</v>
      </c>
      <c r="B10711">
        <v>643645</v>
      </c>
      <c r="C10711" s="32">
        <v>43071.271180555559</v>
      </c>
    </row>
    <row r="10712" spans="1:3">
      <c r="A10712">
        <v>132858</v>
      </c>
      <c r="B10712">
        <v>4217906</v>
      </c>
      <c r="C10712" s="32">
        <v>43071.765405092592</v>
      </c>
    </row>
    <row r="10713" spans="1:3">
      <c r="A10713">
        <v>823794</v>
      </c>
      <c r="B10713">
        <v>866301</v>
      </c>
      <c r="C10713" s="32">
        <v>43072.514282407406</v>
      </c>
    </row>
    <row r="10714" spans="1:3">
      <c r="A10714">
        <v>1501</v>
      </c>
      <c r="B10714">
        <v>4756105</v>
      </c>
      <c r="C10714" s="32">
        <v>43070.608854166669</v>
      </c>
    </row>
    <row r="10715" spans="1:3">
      <c r="A10715">
        <v>747085</v>
      </c>
      <c r="B10715">
        <v>3002561</v>
      </c>
      <c r="C10715" s="32">
        <v>43070.264236111114</v>
      </c>
    </row>
    <row r="10716" spans="1:3">
      <c r="A10716">
        <v>866605</v>
      </c>
      <c r="B10716">
        <v>866301</v>
      </c>
      <c r="C10716" s="32">
        <v>43071.547777777778</v>
      </c>
    </row>
    <row r="10717" spans="1:3">
      <c r="A10717">
        <v>854046</v>
      </c>
      <c r="B10717">
        <v>2066955</v>
      </c>
      <c r="C10717" s="32">
        <v>43071.806944444441</v>
      </c>
    </row>
    <row r="10718" spans="1:3">
      <c r="A10718">
        <v>519452</v>
      </c>
      <c r="B10718">
        <v>327651</v>
      </c>
      <c r="C10718" s="32">
        <v>43070.592175925929</v>
      </c>
    </row>
    <row r="10719" spans="1:3">
      <c r="A10719">
        <v>570038</v>
      </c>
      <c r="B10719">
        <v>2154867</v>
      </c>
      <c r="C10719" s="32">
        <v>43072.564108796294</v>
      </c>
    </row>
    <row r="10720" spans="1:3">
      <c r="A10720">
        <v>333719</v>
      </c>
      <c r="B10720">
        <v>4159072</v>
      </c>
      <c r="C10720" s="32">
        <v>43070.42287037037</v>
      </c>
    </row>
    <row r="10721" spans="1:3">
      <c r="A10721">
        <v>391896</v>
      </c>
      <c r="B10721">
        <v>2922264</v>
      </c>
      <c r="C10721" s="32">
        <v>43070.054340277777</v>
      </c>
    </row>
    <row r="10722" spans="1:3">
      <c r="A10722">
        <v>150015</v>
      </c>
      <c r="B10722">
        <v>3002561</v>
      </c>
      <c r="C10722" s="32">
        <v>43071.559513888889</v>
      </c>
    </row>
    <row r="10723" spans="1:3">
      <c r="A10723">
        <v>118798</v>
      </c>
      <c r="B10723">
        <v>238434</v>
      </c>
      <c r="C10723" s="32">
        <v>43070.733275462961</v>
      </c>
    </row>
    <row r="10724" spans="1:3">
      <c r="A10724">
        <v>659954</v>
      </c>
      <c r="B10724">
        <v>1876707</v>
      </c>
      <c r="C10724" s="32">
        <v>43071.508946759262</v>
      </c>
    </row>
    <row r="10725" spans="1:3">
      <c r="A10725">
        <v>1008514</v>
      </c>
      <c r="B10725">
        <v>4357323</v>
      </c>
      <c r="C10725" s="32">
        <v>43069.711099537039</v>
      </c>
    </row>
    <row r="10726" spans="1:3">
      <c r="A10726">
        <v>337197</v>
      </c>
      <c r="B10726">
        <v>982926</v>
      </c>
      <c r="C10726" s="32">
        <v>43069.976527777777</v>
      </c>
    </row>
    <row r="10727" spans="1:3">
      <c r="A10727">
        <v>242602</v>
      </c>
      <c r="B10727">
        <v>4148053</v>
      </c>
      <c r="C10727" s="32">
        <v>43071.397905092592</v>
      </c>
    </row>
    <row r="10728" spans="1:3">
      <c r="A10728">
        <v>753593</v>
      </c>
      <c r="B10728">
        <v>4756105</v>
      </c>
      <c r="C10728" s="32">
        <v>43072.651238425926</v>
      </c>
    </row>
    <row r="10729" spans="1:3">
      <c r="A10729">
        <v>287925</v>
      </c>
      <c r="B10729">
        <v>2520377</v>
      </c>
      <c r="C10729" s="32">
        <v>43071.573946759258</v>
      </c>
    </row>
    <row r="10730" spans="1:3">
      <c r="A10730">
        <v>301416</v>
      </c>
      <c r="B10730">
        <v>4181361</v>
      </c>
      <c r="C10730" s="32">
        <v>43072.41878472222</v>
      </c>
    </row>
    <row r="10731" spans="1:3">
      <c r="A10731">
        <v>123288</v>
      </c>
      <c r="B10731">
        <v>1216617</v>
      </c>
      <c r="C10731" s="32">
        <v>43072.333611111113</v>
      </c>
    </row>
    <row r="10732" spans="1:3">
      <c r="A10732">
        <v>392423</v>
      </c>
      <c r="B10732">
        <v>4918438</v>
      </c>
      <c r="C10732" s="32">
        <v>43072.214479166665</v>
      </c>
    </row>
    <row r="10733" spans="1:3">
      <c r="A10733">
        <v>734989</v>
      </c>
      <c r="B10733">
        <v>3616520</v>
      </c>
      <c r="C10733" s="32">
        <v>43072.596956018519</v>
      </c>
    </row>
    <row r="10734" spans="1:3">
      <c r="A10734">
        <v>365035</v>
      </c>
      <c r="B10734">
        <v>2520377</v>
      </c>
      <c r="C10734" s="32">
        <v>43070.58630787037</v>
      </c>
    </row>
    <row r="10735" spans="1:3">
      <c r="A10735">
        <v>459928</v>
      </c>
      <c r="B10735">
        <v>2939262</v>
      </c>
      <c r="C10735" s="32">
        <v>43071.987835648149</v>
      </c>
    </row>
    <row r="10736" spans="1:3">
      <c r="A10736">
        <v>71840</v>
      </c>
      <c r="B10736">
        <v>1102540</v>
      </c>
      <c r="C10736" s="32">
        <v>43070.604189814818</v>
      </c>
    </row>
    <row r="10737" spans="1:3">
      <c r="A10737">
        <v>520576</v>
      </c>
      <c r="B10737">
        <v>801221</v>
      </c>
      <c r="C10737" s="32">
        <v>43071.626331018517</v>
      </c>
    </row>
    <row r="10738" spans="1:3">
      <c r="A10738">
        <v>363230</v>
      </c>
      <c r="B10738">
        <v>2735466</v>
      </c>
      <c r="C10738" s="32">
        <v>43071.65384259259</v>
      </c>
    </row>
    <row r="10739" spans="1:3">
      <c r="A10739">
        <v>693377</v>
      </c>
      <c r="B10739">
        <v>4672807</v>
      </c>
      <c r="C10739" s="32">
        <v>43072.138553240744</v>
      </c>
    </row>
    <row r="10740" spans="1:3">
      <c r="A10740">
        <v>458269</v>
      </c>
      <c r="B10740">
        <v>4789432</v>
      </c>
      <c r="C10740" s="32">
        <v>43070.733668981484</v>
      </c>
    </row>
    <row r="10741" spans="1:3">
      <c r="A10741">
        <v>20597</v>
      </c>
      <c r="B10741">
        <v>2520377</v>
      </c>
      <c r="C10741" s="32">
        <v>43072.474050925928</v>
      </c>
    </row>
    <row r="10742" spans="1:3">
      <c r="A10742">
        <v>75426</v>
      </c>
      <c r="B10742">
        <v>685742</v>
      </c>
      <c r="C10742" s="32">
        <v>43072.551990740743</v>
      </c>
    </row>
    <row r="10743" spans="1:3">
      <c r="A10743">
        <v>235702</v>
      </c>
      <c r="B10743">
        <v>4357323</v>
      </c>
      <c r="C10743" s="32">
        <v>43072.449837962966</v>
      </c>
    </row>
    <row r="10744" spans="1:3">
      <c r="A10744">
        <v>500129</v>
      </c>
      <c r="B10744">
        <v>1464116</v>
      </c>
      <c r="C10744" s="32">
        <v>43071.530613425923</v>
      </c>
    </row>
    <row r="10745" spans="1:3">
      <c r="A10745">
        <v>684387</v>
      </c>
      <c r="B10745">
        <v>3004853</v>
      </c>
      <c r="C10745" s="32">
        <v>43072.601805555554</v>
      </c>
    </row>
    <row r="10746" spans="1:3">
      <c r="A10746">
        <v>689176</v>
      </c>
      <c r="B10746">
        <v>4882154</v>
      </c>
      <c r="C10746" s="32">
        <v>43070.227083333331</v>
      </c>
    </row>
    <row r="10747" spans="1:3">
      <c r="A10747">
        <v>104453</v>
      </c>
      <c r="B10747">
        <v>4145813</v>
      </c>
      <c r="C10747" s="32">
        <v>43071.580810185187</v>
      </c>
    </row>
    <row r="10748" spans="1:3">
      <c r="A10748">
        <v>302956</v>
      </c>
      <c r="B10748">
        <v>2465336</v>
      </c>
      <c r="C10748" s="32">
        <v>43070.583182870374</v>
      </c>
    </row>
    <row r="10749" spans="1:3">
      <c r="A10749">
        <v>247606</v>
      </c>
      <c r="B10749">
        <v>337775</v>
      </c>
      <c r="C10749" s="32">
        <v>43071.643310185187</v>
      </c>
    </row>
    <row r="10750" spans="1:3">
      <c r="A10750">
        <v>650894</v>
      </c>
      <c r="B10750">
        <v>149192</v>
      </c>
      <c r="C10750" s="32">
        <v>43072.334907407407</v>
      </c>
    </row>
    <row r="10751" spans="1:3">
      <c r="A10751">
        <v>899485</v>
      </c>
      <c r="B10751">
        <v>2558244</v>
      </c>
      <c r="C10751" s="32">
        <v>43071.197453703702</v>
      </c>
    </row>
    <row r="10752" spans="1:3">
      <c r="A10752">
        <v>391961</v>
      </c>
      <c r="B10752">
        <v>2626490</v>
      </c>
      <c r="C10752" s="32">
        <v>43072.09710648148</v>
      </c>
    </row>
    <row r="10753" spans="1:3">
      <c r="A10753">
        <v>169240</v>
      </c>
      <c r="B10753">
        <v>235534</v>
      </c>
      <c r="C10753" s="32">
        <v>43071.380729166667</v>
      </c>
    </row>
    <row r="10754" spans="1:3">
      <c r="A10754">
        <v>740855</v>
      </c>
      <c r="B10754">
        <v>4643350</v>
      </c>
      <c r="C10754" s="32">
        <v>43071.294953703706</v>
      </c>
    </row>
    <row r="10755" spans="1:3">
      <c r="A10755">
        <v>867332</v>
      </c>
      <c r="B10755">
        <v>4339722</v>
      </c>
      <c r="C10755" s="32">
        <v>43070.320127314815</v>
      </c>
    </row>
    <row r="10756" spans="1:3">
      <c r="A10756">
        <v>647946</v>
      </c>
      <c r="B10756">
        <v>800581</v>
      </c>
      <c r="C10756" s="32">
        <v>43071.649976851855</v>
      </c>
    </row>
    <row r="10757" spans="1:3">
      <c r="A10757">
        <v>290620</v>
      </c>
      <c r="B10757">
        <v>1635619</v>
      </c>
      <c r="C10757" s="32">
        <v>43071.603888888887</v>
      </c>
    </row>
    <row r="10758" spans="1:3">
      <c r="A10758">
        <v>162587</v>
      </c>
      <c r="B10758">
        <v>4159072</v>
      </c>
      <c r="C10758" s="32">
        <v>43071.520474537036</v>
      </c>
    </row>
    <row r="10759" spans="1:3">
      <c r="A10759">
        <v>650975</v>
      </c>
      <c r="B10759">
        <v>3607361</v>
      </c>
      <c r="C10759" s="32">
        <v>43071.572581018518</v>
      </c>
    </row>
    <row r="10760" spans="1:3">
      <c r="A10760">
        <v>75426</v>
      </c>
      <c r="B10760">
        <v>2685357</v>
      </c>
      <c r="C10760" s="32">
        <v>43072.551585648151</v>
      </c>
    </row>
    <row r="10761" spans="1:3">
      <c r="A10761">
        <v>816780</v>
      </c>
      <c r="B10761">
        <v>2425725</v>
      </c>
      <c r="C10761" s="32">
        <v>43070.322650462964</v>
      </c>
    </row>
    <row r="10762" spans="1:3">
      <c r="A10762">
        <v>820480</v>
      </c>
      <c r="B10762">
        <v>3159480</v>
      </c>
      <c r="C10762" s="32">
        <v>43071.615902777776</v>
      </c>
    </row>
    <row r="10763" spans="1:3">
      <c r="A10763">
        <v>30602</v>
      </c>
      <c r="B10763">
        <v>4756105</v>
      </c>
      <c r="C10763" s="32">
        <v>43072.56422453704</v>
      </c>
    </row>
    <row r="10764" spans="1:3">
      <c r="A10764">
        <v>940502</v>
      </c>
      <c r="B10764">
        <v>1851156</v>
      </c>
      <c r="C10764" s="32">
        <v>43072.403865740744</v>
      </c>
    </row>
    <row r="10765" spans="1:3">
      <c r="A10765">
        <v>187789</v>
      </c>
      <c r="B10765">
        <v>4181361</v>
      </c>
      <c r="C10765" s="32">
        <v>43070.69189814815</v>
      </c>
    </row>
    <row r="10766" spans="1:3">
      <c r="A10766">
        <v>420942</v>
      </c>
      <c r="B10766">
        <v>3904106</v>
      </c>
      <c r="C10766" s="32">
        <v>43071.274236111109</v>
      </c>
    </row>
    <row r="10767" spans="1:3">
      <c r="A10767">
        <v>744256</v>
      </c>
      <c r="B10767">
        <v>2640118</v>
      </c>
      <c r="C10767" s="32">
        <v>43071.004918981482</v>
      </c>
    </row>
    <row r="10768" spans="1:3">
      <c r="A10768">
        <v>874309</v>
      </c>
      <c r="B10768">
        <v>4217906</v>
      </c>
      <c r="C10768" s="32">
        <v>43071.702233796299</v>
      </c>
    </row>
    <row r="10769" spans="1:3">
      <c r="A10769">
        <v>879011</v>
      </c>
      <c r="B10769">
        <v>1567637</v>
      </c>
      <c r="C10769" s="32">
        <v>43070.772094907406</v>
      </c>
    </row>
    <row r="10770" spans="1:3">
      <c r="A10770">
        <v>311917</v>
      </c>
      <c r="B10770">
        <v>2520771</v>
      </c>
      <c r="C10770" s="32">
        <v>43072.023784722223</v>
      </c>
    </row>
    <row r="10771" spans="1:3">
      <c r="A10771">
        <v>740478</v>
      </c>
      <c r="B10771">
        <v>2640118</v>
      </c>
      <c r="C10771" s="32">
        <v>43071.711701388886</v>
      </c>
    </row>
    <row r="10772" spans="1:3">
      <c r="A10772">
        <v>742869</v>
      </c>
      <c r="B10772">
        <v>4756105</v>
      </c>
      <c r="C10772" s="32">
        <v>43071.271412037036</v>
      </c>
    </row>
    <row r="10773" spans="1:3">
      <c r="A10773">
        <v>665068</v>
      </c>
      <c r="B10773">
        <v>4719814</v>
      </c>
      <c r="C10773" s="32">
        <v>43070.646331018521</v>
      </c>
    </row>
    <row r="10774" spans="1:3">
      <c r="A10774">
        <v>343294</v>
      </c>
      <c r="B10774">
        <v>285583</v>
      </c>
      <c r="C10774" s="32">
        <v>43071.136967592596</v>
      </c>
    </row>
    <row r="10775" spans="1:3">
      <c r="A10775">
        <v>728864</v>
      </c>
      <c r="B10775">
        <v>2735466</v>
      </c>
      <c r="C10775" s="32">
        <v>43070.541458333333</v>
      </c>
    </row>
    <row r="10776" spans="1:3">
      <c r="A10776">
        <v>292379</v>
      </c>
      <c r="B10776">
        <v>941949</v>
      </c>
      <c r="C10776" s="32">
        <v>43070.166712962964</v>
      </c>
    </row>
    <row r="10777" spans="1:3">
      <c r="A10777">
        <v>713335</v>
      </c>
      <c r="B10777">
        <v>1299190</v>
      </c>
      <c r="C10777" s="32">
        <v>43071.129351851851</v>
      </c>
    </row>
    <row r="10778" spans="1:3">
      <c r="A10778">
        <v>468490</v>
      </c>
      <c r="B10778">
        <v>3607361</v>
      </c>
      <c r="C10778" s="32">
        <v>43071.666481481479</v>
      </c>
    </row>
    <row r="10779" spans="1:3">
      <c r="A10779">
        <v>932937</v>
      </c>
      <c r="B10779">
        <v>1881956</v>
      </c>
      <c r="C10779" s="32">
        <v>43070.117662037039</v>
      </c>
    </row>
    <row r="10780" spans="1:3">
      <c r="A10780">
        <v>31979</v>
      </c>
      <c r="B10780">
        <v>4069500</v>
      </c>
      <c r="C10780" s="32">
        <v>43070.25236111111</v>
      </c>
    </row>
    <row r="10781" spans="1:3">
      <c r="A10781">
        <v>559912</v>
      </c>
      <c r="B10781">
        <v>2520771</v>
      </c>
      <c r="C10781" s="32">
        <v>43072.158900462964</v>
      </c>
    </row>
    <row r="10782" spans="1:3">
      <c r="A10782">
        <v>67099</v>
      </c>
      <c r="B10782">
        <v>3547172</v>
      </c>
      <c r="C10782" s="32">
        <v>43070.501898148148</v>
      </c>
    </row>
    <row r="10783" spans="1:3">
      <c r="A10783">
        <v>986597</v>
      </c>
      <c r="B10783">
        <v>1516409</v>
      </c>
      <c r="C10783" s="32">
        <v>43072.432337962964</v>
      </c>
    </row>
    <row r="10784" spans="1:3">
      <c r="A10784">
        <v>955785</v>
      </c>
      <c r="B10784">
        <v>260238</v>
      </c>
      <c r="C10784" s="32">
        <v>43072.511493055557</v>
      </c>
    </row>
    <row r="10785" spans="1:3">
      <c r="A10785">
        <v>285675</v>
      </c>
      <c r="B10785">
        <v>4697972</v>
      </c>
      <c r="C10785" s="32">
        <v>43070.228159722225</v>
      </c>
    </row>
    <row r="10786" spans="1:3">
      <c r="A10786">
        <v>456063</v>
      </c>
      <c r="B10786">
        <v>4217906</v>
      </c>
      <c r="C10786" s="32">
        <v>43072.545601851853</v>
      </c>
    </row>
    <row r="10787" spans="1:3">
      <c r="A10787">
        <v>357647</v>
      </c>
      <c r="B10787">
        <v>4756105</v>
      </c>
      <c r="C10787" s="32">
        <v>43072.614988425928</v>
      </c>
    </row>
    <row r="10788" spans="1:3">
      <c r="A10788">
        <v>765366</v>
      </c>
      <c r="B10788">
        <v>3561974</v>
      </c>
      <c r="C10788" s="32">
        <v>43071.66474537037</v>
      </c>
    </row>
    <row r="10789" spans="1:3">
      <c r="A10789">
        <v>929714</v>
      </c>
      <c r="B10789">
        <v>3189162</v>
      </c>
      <c r="C10789" s="32">
        <v>43072.318935185183</v>
      </c>
    </row>
    <row r="10790" spans="1:3">
      <c r="A10790">
        <v>261013</v>
      </c>
      <c r="B10790">
        <v>5066426</v>
      </c>
      <c r="C10790" s="32">
        <v>43070.979814814818</v>
      </c>
    </row>
    <row r="10791" spans="1:3">
      <c r="A10791">
        <v>390018</v>
      </c>
      <c r="B10791">
        <v>4145813</v>
      </c>
      <c r="C10791" s="32">
        <v>43071.696157407408</v>
      </c>
    </row>
    <row r="10792" spans="1:3">
      <c r="A10792">
        <v>436876</v>
      </c>
      <c r="B10792">
        <v>2520771</v>
      </c>
      <c r="C10792" s="32">
        <v>43071.088599537034</v>
      </c>
    </row>
    <row r="10793" spans="1:3">
      <c r="A10793">
        <v>182460</v>
      </c>
      <c r="B10793">
        <v>982926</v>
      </c>
      <c r="C10793" s="32">
        <v>43071.465254629627</v>
      </c>
    </row>
    <row r="10794" spans="1:3">
      <c r="A10794">
        <v>874819</v>
      </c>
      <c r="B10794">
        <v>2939262</v>
      </c>
      <c r="C10794" s="32">
        <v>43072.246099537035</v>
      </c>
    </row>
    <row r="10795" spans="1:3">
      <c r="A10795">
        <v>265805</v>
      </c>
      <c r="B10795">
        <v>4173315</v>
      </c>
      <c r="C10795" s="32">
        <v>43072.641724537039</v>
      </c>
    </row>
    <row r="10796" spans="1:3">
      <c r="A10796">
        <v>419640</v>
      </c>
      <c r="B10796">
        <v>2698437</v>
      </c>
      <c r="C10796" s="32">
        <v>43070.106585648151</v>
      </c>
    </row>
    <row r="10797" spans="1:3">
      <c r="A10797">
        <v>72945</v>
      </c>
      <c r="B10797">
        <v>1481335</v>
      </c>
      <c r="C10797" s="32">
        <v>43069.755937499998</v>
      </c>
    </row>
    <row r="10798" spans="1:3">
      <c r="A10798">
        <v>663984</v>
      </c>
      <c r="B10798">
        <v>3776866</v>
      </c>
      <c r="C10798" s="32">
        <v>43072.655868055554</v>
      </c>
    </row>
    <row r="10799" spans="1:3">
      <c r="A10799">
        <v>192880</v>
      </c>
      <c r="B10799">
        <v>4756105</v>
      </c>
      <c r="C10799" s="32">
        <v>43071.660613425927</v>
      </c>
    </row>
    <row r="10800" spans="1:3">
      <c r="A10800">
        <v>887831</v>
      </c>
      <c r="B10800">
        <v>4242717</v>
      </c>
      <c r="C10800" s="32">
        <v>43071.617152777777</v>
      </c>
    </row>
    <row r="10801" spans="1:3">
      <c r="A10801">
        <v>954333</v>
      </c>
      <c r="B10801">
        <v>1575622</v>
      </c>
      <c r="C10801" s="32">
        <v>43070.13685185185</v>
      </c>
    </row>
    <row r="10802" spans="1:3">
      <c r="A10802">
        <v>224459</v>
      </c>
      <c r="B10802">
        <v>2964603</v>
      </c>
      <c r="C10802" s="32">
        <v>43070.453773148147</v>
      </c>
    </row>
    <row r="10803" spans="1:3">
      <c r="A10803">
        <v>528273</v>
      </c>
      <c r="B10803">
        <v>4462359</v>
      </c>
      <c r="C10803" s="32">
        <v>43070.027314814812</v>
      </c>
    </row>
    <row r="10804" spans="1:3">
      <c r="A10804">
        <v>901060</v>
      </c>
      <c r="B10804">
        <v>4276787</v>
      </c>
      <c r="C10804" s="32">
        <v>43070.82576388889</v>
      </c>
    </row>
    <row r="10805" spans="1:3">
      <c r="A10805">
        <v>953664</v>
      </c>
      <c r="B10805">
        <v>4756105</v>
      </c>
      <c r="C10805" s="32">
        <v>43072.199583333335</v>
      </c>
    </row>
    <row r="10806" spans="1:3">
      <c r="A10806">
        <v>56258</v>
      </c>
      <c r="B10806">
        <v>4082778</v>
      </c>
      <c r="C10806" s="32">
        <v>43071.649965277778</v>
      </c>
    </row>
    <row r="10807" spans="1:3">
      <c r="A10807">
        <v>160183</v>
      </c>
      <c r="B10807">
        <v>4181361</v>
      </c>
      <c r="C10807" s="32">
        <v>43072.570659722223</v>
      </c>
    </row>
    <row r="10808" spans="1:3">
      <c r="A10808">
        <v>269305</v>
      </c>
      <c r="B10808">
        <v>4756105</v>
      </c>
      <c r="C10808" s="32">
        <v>43072.093668981484</v>
      </c>
    </row>
    <row r="10809" spans="1:3">
      <c r="A10809">
        <v>430497</v>
      </c>
      <c r="B10809">
        <v>321567</v>
      </c>
      <c r="C10809" s="32">
        <v>43072.370625000003</v>
      </c>
    </row>
    <row r="10810" spans="1:3">
      <c r="A10810">
        <v>567510</v>
      </c>
      <c r="B10810">
        <v>1928278</v>
      </c>
      <c r="C10810" s="32">
        <v>43071.043680555558</v>
      </c>
    </row>
    <row r="10811" spans="1:3">
      <c r="A10811">
        <v>818992</v>
      </c>
      <c r="B10811">
        <v>4458428</v>
      </c>
      <c r="C10811" s="32">
        <v>43070.476331018515</v>
      </c>
    </row>
    <row r="10812" spans="1:3">
      <c r="A10812">
        <v>420351</v>
      </c>
      <c r="B10812">
        <v>4242717</v>
      </c>
      <c r="C10812" s="32">
        <v>43071.546967592592</v>
      </c>
    </row>
    <row r="10813" spans="1:3">
      <c r="A10813">
        <v>691725</v>
      </c>
      <c r="B10813">
        <v>2877672</v>
      </c>
      <c r="C10813" s="32">
        <v>43070.082557870373</v>
      </c>
    </row>
    <row r="10814" spans="1:3">
      <c r="A10814">
        <v>11168</v>
      </c>
      <c r="B10814">
        <v>2939262</v>
      </c>
      <c r="C10814" s="32">
        <v>43072.071423611109</v>
      </c>
    </row>
    <row r="10815" spans="1:3">
      <c r="A10815">
        <v>454530</v>
      </c>
      <c r="B10815">
        <v>3002561</v>
      </c>
      <c r="C10815" s="32">
        <v>43072.564097222225</v>
      </c>
    </row>
    <row r="10816" spans="1:3">
      <c r="A10816">
        <v>467219</v>
      </c>
      <c r="B10816">
        <v>865039</v>
      </c>
      <c r="C10816" s="32">
        <v>43072.127581018518</v>
      </c>
    </row>
    <row r="10817" spans="1:3">
      <c r="A10817">
        <v>132176</v>
      </c>
      <c r="B10817">
        <v>2355072</v>
      </c>
      <c r="C10817" s="32">
        <v>43071.407395833332</v>
      </c>
    </row>
    <row r="10818" spans="1:3">
      <c r="A10818">
        <v>297482</v>
      </c>
      <c r="B10818">
        <v>2920476</v>
      </c>
      <c r="C10818" s="32">
        <v>43071.99800925926</v>
      </c>
    </row>
    <row r="10819" spans="1:3">
      <c r="A10819">
        <v>375328</v>
      </c>
      <c r="B10819">
        <v>3781390</v>
      </c>
      <c r="C10819" s="32">
        <v>43072.068726851852</v>
      </c>
    </row>
    <row r="10820" spans="1:3">
      <c r="A10820">
        <v>642883</v>
      </c>
      <c r="B10820">
        <v>1320293</v>
      </c>
      <c r="C10820" s="32">
        <v>43072.157743055555</v>
      </c>
    </row>
    <row r="10821" spans="1:3">
      <c r="A10821">
        <v>682362</v>
      </c>
      <c r="B10821">
        <v>2448593</v>
      </c>
      <c r="C10821" s="32">
        <v>43072.050347222219</v>
      </c>
    </row>
    <row r="10822" spans="1:3">
      <c r="A10822">
        <v>315322</v>
      </c>
      <c r="B10822">
        <v>669762</v>
      </c>
      <c r="C10822" s="32">
        <v>43072.249756944446</v>
      </c>
    </row>
    <row r="10823" spans="1:3">
      <c r="A10823">
        <v>375907</v>
      </c>
      <c r="B10823">
        <v>3065645</v>
      </c>
      <c r="C10823" s="32">
        <v>43071.707002314812</v>
      </c>
    </row>
    <row r="10824" spans="1:3">
      <c r="A10824">
        <v>21476</v>
      </c>
      <c r="B10824">
        <v>4801426</v>
      </c>
      <c r="C10824" s="32">
        <v>43072.209074074075</v>
      </c>
    </row>
    <row r="10825" spans="1:3">
      <c r="A10825">
        <v>214703</v>
      </c>
      <c r="B10825">
        <v>255969</v>
      </c>
      <c r="C10825" s="32">
        <v>43072.422893518517</v>
      </c>
    </row>
    <row r="10826" spans="1:3">
      <c r="A10826">
        <v>186350</v>
      </c>
      <c r="B10826">
        <v>570735</v>
      </c>
      <c r="C10826" s="32">
        <v>43070.17664351852</v>
      </c>
    </row>
    <row r="10827" spans="1:3">
      <c r="A10827">
        <v>197699</v>
      </c>
      <c r="B10827">
        <v>1102540</v>
      </c>
      <c r="C10827" s="32">
        <v>43070.315000000002</v>
      </c>
    </row>
    <row r="10828" spans="1:3">
      <c r="A10828">
        <v>27616</v>
      </c>
      <c r="B10828">
        <v>2529187</v>
      </c>
      <c r="C10828" s="32">
        <v>43070.185069444444</v>
      </c>
    </row>
    <row r="10829" spans="1:3">
      <c r="A10829">
        <v>526759</v>
      </c>
      <c r="B10829">
        <v>1299190</v>
      </c>
      <c r="C10829" s="32">
        <v>43070.153217592589</v>
      </c>
    </row>
    <row r="10830" spans="1:3">
      <c r="A10830">
        <v>403721</v>
      </c>
      <c r="B10830">
        <v>3351726</v>
      </c>
      <c r="C10830" s="32">
        <v>43071.568935185183</v>
      </c>
    </row>
    <row r="10831" spans="1:3">
      <c r="A10831">
        <v>302461</v>
      </c>
      <c r="B10831">
        <v>3108044</v>
      </c>
      <c r="C10831" s="32">
        <v>43071.524745370371</v>
      </c>
    </row>
    <row r="10832" spans="1:3">
      <c r="A10832">
        <v>800913</v>
      </c>
      <c r="B10832">
        <v>1231891</v>
      </c>
      <c r="C10832" s="32">
        <v>43070.274143518516</v>
      </c>
    </row>
    <row r="10833" spans="1:3">
      <c r="A10833">
        <v>187749</v>
      </c>
      <c r="B10833">
        <v>2185551</v>
      </c>
      <c r="C10833" s="32">
        <v>43072.193101851852</v>
      </c>
    </row>
    <row r="10834" spans="1:3">
      <c r="A10834">
        <v>569397</v>
      </c>
      <c r="B10834">
        <v>1567637</v>
      </c>
      <c r="C10834" s="32">
        <v>43072.021412037036</v>
      </c>
    </row>
    <row r="10835" spans="1:3">
      <c r="A10835">
        <v>593027</v>
      </c>
      <c r="B10835">
        <v>3407883</v>
      </c>
      <c r="C10835" s="32">
        <v>43072.163298611114</v>
      </c>
    </row>
    <row r="10836" spans="1:3">
      <c r="A10836">
        <v>569437</v>
      </c>
      <c r="B10836">
        <v>2465336</v>
      </c>
      <c r="C10836" s="32">
        <v>43070.222071759257</v>
      </c>
    </row>
    <row r="10837" spans="1:3">
      <c r="A10837">
        <v>420076</v>
      </c>
      <c r="B10837">
        <v>4181361</v>
      </c>
      <c r="C10837" s="32">
        <v>43071.687569444446</v>
      </c>
    </row>
    <row r="10838" spans="1:3">
      <c r="A10838">
        <v>631250</v>
      </c>
      <c r="B10838">
        <v>2885642</v>
      </c>
      <c r="C10838" s="32">
        <v>43071.31486111111</v>
      </c>
    </row>
    <row r="10839" spans="1:3">
      <c r="A10839">
        <v>24030</v>
      </c>
      <c r="B10839">
        <v>1787510</v>
      </c>
      <c r="C10839" s="32">
        <v>43072.185960648145</v>
      </c>
    </row>
    <row r="10840" spans="1:3">
      <c r="A10840">
        <v>149853</v>
      </c>
      <c r="B10840">
        <v>119741</v>
      </c>
      <c r="C10840" s="32">
        <v>43071.184317129628</v>
      </c>
    </row>
    <row r="10841" spans="1:3">
      <c r="A10841">
        <v>542057</v>
      </c>
      <c r="B10841">
        <v>2520377</v>
      </c>
      <c r="C10841" s="32">
        <v>43070.936516203707</v>
      </c>
    </row>
    <row r="10842" spans="1:3">
      <c r="A10842">
        <v>554440</v>
      </c>
      <c r="B10842">
        <v>2945933</v>
      </c>
      <c r="C10842" s="32">
        <v>43071.145208333335</v>
      </c>
    </row>
    <row r="10843" spans="1:3">
      <c r="A10843">
        <v>640052</v>
      </c>
      <c r="B10843">
        <v>154040</v>
      </c>
      <c r="C10843" s="32">
        <v>43070.433634259258</v>
      </c>
    </row>
    <row r="10844" spans="1:3">
      <c r="A10844">
        <v>725338</v>
      </c>
      <c r="B10844">
        <v>3002561</v>
      </c>
      <c r="C10844" s="32">
        <v>43070.357766203706</v>
      </c>
    </row>
    <row r="10845" spans="1:3">
      <c r="A10845">
        <v>696220</v>
      </c>
      <c r="B10845">
        <v>2355072</v>
      </c>
      <c r="C10845" s="32">
        <v>43072.560891203706</v>
      </c>
    </row>
    <row r="10846" spans="1:3">
      <c r="A10846">
        <v>677032</v>
      </c>
      <c r="B10846">
        <v>2626421</v>
      </c>
      <c r="C10846" s="32">
        <v>43072.426076388889</v>
      </c>
    </row>
    <row r="10847" spans="1:3">
      <c r="A10847">
        <v>953234</v>
      </c>
      <c r="B10847">
        <v>1859277</v>
      </c>
      <c r="C10847" s="32">
        <v>43070.485879629632</v>
      </c>
    </row>
    <row r="10848" spans="1:3">
      <c r="A10848">
        <v>272306</v>
      </c>
      <c r="B10848">
        <v>982926</v>
      </c>
      <c r="C10848" s="32">
        <v>43070.45957175926</v>
      </c>
    </row>
    <row r="10849" spans="1:3">
      <c r="A10849">
        <v>666510</v>
      </c>
      <c r="B10849">
        <v>4756105</v>
      </c>
      <c r="C10849" s="32">
        <v>43072.608124999999</v>
      </c>
    </row>
    <row r="10850" spans="1:3">
      <c r="A10850">
        <v>964477</v>
      </c>
      <c r="B10850">
        <v>2640118</v>
      </c>
      <c r="C10850" s="32">
        <v>43070.616122685184</v>
      </c>
    </row>
    <row r="10851" spans="1:3">
      <c r="A10851">
        <v>379187</v>
      </c>
      <c r="B10851">
        <v>983613</v>
      </c>
      <c r="C10851" s="32">
        <v>43071.182002314818</v>
      </c>
    </row>
    <row r="10852" spans="1:3">
      <c r="A10852">
        <v>271354</v>
      </c>
      <c r="B10852">
        <v>2520771</v>
      </c>
      <c r="C10852" s="32">
        <v>43072.152349537035</v>
      </c>
    </row>
    <row r="10853" spans="1:3">
      <c r="A10853">
        <v>302025</v>
      </c>
      <c r="B10853">
        <v>2355072</v>
      </c>
      <c r="C10853" s="32">
        <v>43070.171793981484</v>
      </c>
    </row>
    <row r="10854" spans="1:3">
      <c r="A10854">
        <v>715230</v>
      </c>
      <c r="B10854">
        <v>1320293</v>
      </c>
      <c r="C10854" s="32">
        <v>43071.457326388889</v>
      </c>
    </row>
    <row r="10855" spans="1:3">
      <c r="A10855">
        <v>887554</v>
      </c>
      <c r="B10855">
        <v>3879308</v>
      </c>
      <c r="C10855" s="32">
        <v>43072.138981481483</v>
      </c>
    </row>
    <row r="10856" spans="1:3">
      <c r="A10856">
        <v>651715</v>
      </c>
      <c r="B10856">
        <v>2321441</v>
      </c>
      <c r="C10856" s="32">
        <v>43072.54420138889</v>
      </c>
    </row>
    <row r="10857" spans="1:3">
      <c r="A10857">
        <v>40251</v>
      </c>
      <c r="B10857">
        <v>2520377</v>
      </c>
      <c r="C10857" s="32">
        <v>43071.582789351851</v>
      </c>
    </row>
    <row r="10858" spans="1:3">
      <c r="A10858">
        <v>305457</v>
      </c>
      <c r="B10858">
        <v>2827444</v>
      </c>
      <c r="C10858" s="32">
        <v>43071.395949074074</v>
      </c>
    </row>
    <row r="10859" spans="1:3">
      <c r="A10859">
        <v>719399</v>
      </c>
      <c r="B10859">
        <v>149192</v>
      </c>
      <c r="C10859" s="32">
        <v>43072.096342592595</v>
      </c>
    </row>
    <row r="10860" spans="1:3">
      <c r="A10860">
        <v>772866</v>
      </c>
      <c r="B10860">
        <v>4145813</v>
      </c>
      <c r="C10860" s="32">
        <v>43072.089016203703</v>
      </c>
    </row>
    <row r="10861" spans="1:3">
      <c r="A10861">
        <v>737485</v>
      </c>
      <c r="B10861">
        <v>4731191</v>
      </c>
      <c r="C10861" s="32">
        <v>43070.63858796296</v>
      </c>
    </row>
    <row r="10862" spans="1:3">
      <c r="A10862">
        <v>336490</v>
      </c>
      <c r="B10862">
        <v>2735466</v>
      </c>
      <c r="C10862" s="32">
        <v>43071.431064814817</v>
      </c>
    </row>
    <row r="10863" spans="1:3">
      <c r="A10863">
        <v>532281</v>
      </c>
      <c r="B10863">
        <v>883960</v>
      </c>
      <c r="C10863" s="32">
        <v>43072.03738425926</v>
      </c>
    </row>
    <row r="10864" spans="1:3">
      <c r="A10864">
        <v>448044</v>
      </c>
      <c r="B10864">
        <v>4756105</v>
      </c>
      <c r="C10864" s="32">
        <v>43070.668402777781</v>
      </c>
    </row>
    <row r="10865" spans="1:3">
      <c r="A10865">
        <v>853832</v>
      </c>
      <c r="B10865">
        <v>1089685</v>
      </c>
      <c r="C10865" s="32">
        <v>43069.753472222219</v>
      </c>
    </row>
    <row r="10866" spans="1:3">
      <c r="A10866">
        <v>525688</v>
      </c>
      <c r="B10866">
        <v>1216617</v>
      </c>
      <c r="C10866" s="32">
        <v>43072.060520833336</v>
      </c>
    </row>
    <row r="10867" spans="1:3">
      <c r="A10867">
        <v>1009134</v>
      </c>
      <c r="B10867">
        <v>2735466</v>
      </c>
      <c r="C10867" s="32">
        <v>43071.630682870367</v>
      </c>
    </row>
    <row r="10868" spans="1:3">
      <c r="A10868">
        <v>773437</v>
      </c>
      <c r="B10868">
        <v>2096639</v>
      </c>
      <c r="C10868" s="32">
        <v>43072.61577546296</v>
      </c>
    </row>
    <row r="10869" spans="1:3">
      <c r="A10869">
        <v>317407</v>
      </c>
      <c r="B10869">
        <v>2520377</v>
      </c>
      <c r="C10869" s="32">
        <v>43072.602060185185</v>
      </c>
    </row>
    <row r="10870" spans="1:3">
      <c r="A10870">
        <v>110445</v>
      </c>
      <c r="B10870">
        <v>2465336</v>
      </c>
      <c r="C10870" s="32">
        <v>43071.277129629627</v>
      </c>
    </row>
    <row r="10871" spans="1:3">
      <c r="A10871">
        <v>361343</v>
      </c>
      <c r="B10871">
        <v>2920476</v>
      </c>
      <c r="C10871" s="32">
        <v>43070.552164351851</v>
      </c>
    </row>
    <row r="10872" spans="1:3">
      <c r="A10872">
        <v>585097</v>
      </c>
      <c r="B10872">
        <v>4418144</v>
      </c>
      <c r="C10872" s="32">
        <v>43072.375787037039</v>
      </c>
    </row>
    <row r="10873" spans="1:3">
      <c r="A10873">
        <v>496555</v>
      </c>
      <c r="B10873">
        <v>3738615</v>
      </c>
      <c r="C10873" s="32">
        <v>43071.071504629632</v>
      </c>
    </row>
    <row r="10874" spans="1:3">
      <c r="A10874">
        <v>28241</v>
      </c>
      <c r="B10874">
        <v>4391936</v>
      </c>
      <c r="C10874" s="32">
        <v>43070.635740740741</v>
      </c>
    </row>
    <row r="10875" spans="1:3">
      <c r="A10875">
        <v>987218</v>
      </c>
      <c r="B10875">
        <v>2433095</v>
      </c>
      <c r="C10875" s="32">
        <v>43072.643229166664</v>
      </c>
    </row>
    <row r="10876" spans="1:3">
      <c r="A10876">
        <v>728161</v>
      </c>
      <c r="B10876">
        <v>535180</v>
      </c>
      <c r="C10876" s="32">
        <v>43072.406377314815</v>
      </c>
    </row>
    <row r="10877" spans="1:3">
      <c r="A10877">
        <v>894432</v>
      </c>
      <c r="B10877">
        <v>2649368</v>
      </c>
      <c r="C10877" s="32">
        <v>43071.352233796293</v>
      </c>
    </row>
    <row r="10878" spans="1:3">
      <c r="A10878">
        <v>1014552</v>
      </c>
      <c r="B10878">
        <v>832574</v>
      </c>
      <c r="C10878" s="32">
        <v>43071.242638888885</v>
      </c>
    </row>
    <row r="10879" spans="1:3">
      <c r="A10879">
        <v>529616</v>
      </c>
      <c r="B10879">
        <v>2033408</v>
      </c>
      <c r="C10879" s="32">
        <v>43071.069004629629</v>
      </c>
    </row>
    <row r="10880" spans="1:3">
      <c r="A10880">
        <v>259201</v>
      </c>
      <c r="B10880">
        <v>1875258</v>
      </c>
      <c r="C10880" s="32">
        <v>43071.604791666665</v>
      </c>
    </row>
    <row r="10881" spans="1:3">
      <c r="A10881">
        <v>481235</v>
      </c>
      <c r="B10881">
        <v>1074254</v>
      </c>
      <c r="C10881" s="32">
        <v>43070.694861111115</v>
      </c>
    </row>
    <row r="10882" spans="1:3">
      <c r="A10882">
        <v>749640</v>
      </c>
      <c r="B10882">
        <v>3680035</v>
      </c>
      <c r="C10882" s="32">
        <v>43072.188611111109</v>
      </c>
    </row>
    <row r="10883" spans="1:3">
      <c r="A10883">
        <v>162334</v>
      </c>
      <c r="B10883">
        <v>2520377</v>
      </c>
      <c r="C10883" s="32">
        <v>43070.671157407407</v>
      </c>
    </row>
    <row r="10884" spans="1:3">
      <c r="A10884">
        <v>276016</v>
      </c>
      <c r="B10884">
        <v>982926</v>
      </c>
      <c r="C10884" s="32">
        <v>43071.597673611112</v>
      </c>
    </row>
    <row r="10885" spans="1:3">
      <c r="A10885">
        <v>646064</v>
      </c>
      <c r="B10885">
        <v>2465336</v>
      </c>
      <c r="C10885" s="32">
        <v>43071.596782407411</v>
      </c>
    </row>
    <row r="10886" spans="1:3">
      <c r="A10886">
        <v>433432</v>
      </c>
      <c r="B10886">
        <v>3738615</v>
      </c>
      <c r="C10886" s="32">
        <v>43071.49428240741</v>
      </c>
    </row>
    <row r="10887" spans="1:3">
      <c r="A10887">
        <v>890007</v>
      </c>
      <c r="B10887">
        <v>1834026</v>
      </c>
      <c r="C10887" s="32">
        <v>43072.468472222223</v>
      </c>
    </row>
    <row r="10888" spans="1:3">
      <c r="A10888">
        <v>450057</v>
      </c>
      <c r="B10888">
        <v>4901188</v>
      </c>
      <c r="C10888" s="32">
        <v>43070.107986111114</v>
      </c>
    </row>
    <row r="10889" spans="1:3">
      <c r="A10889">
        <v>549800</v>
      </c>
      <c r="B10889">
        <v>4181361</v>
      </c>
      <c r="C10889" s="32">
        <v>43071.315324074072</v>
      </c>
    </row>
    <row r="10890" spans="1:3">
      <c r="A10890">
        <v>81251</v>
      </c>
      <c r="B10890">
        <v>2355072</v>
      </c>
      <c r="C10890" s="32">
        <v>43071.054861111108</v>
      </c>
    </row>
    <row r="10891" spans="1:3">
      <c r="A10891">
        <v>223471</v>
      </c>
      <c r="B10891">
        <v>235534</v>
      </c>
      <c r="C10891" s="32">
        <v>43072.126817129632</v>
      </c>
    </row>
    <row r="10892" spans="1:3">
      <c r="A10892">
        <v>848223</v>
      </c>
      <c r="B10892">
        <v>1216617</v>
      </c>
      <c r="C10892" s="32">
        <v>43071.292245370372</v>
      </c>
    </row>
    <row r="10893" spans="1:3">
      <c r="A10893">
        <v>752444</v>
      </c>
      <c r="B10893">
        <v>4602841</v>
      </c>
      <c r="C10893" s="32">
        <v>43070.683923611112</v>
      </c>
    </row>
    <row r="10894" spans="1:3">
      <c r="A10894">
        <v>186350</v>
      </c>
      <c r="B10894">
        <v>3177764</v>
      </c>
      <c r="C10894" s="32">
        <v>43070.222754629627</v>
      </c>
    </row>
    <row r="10895" spans="1:3">
      <c r="A10895">
        <v>197883</v>
      </c>
      <c r="B10895">
        <v>4181361</v>
      </c>
      <c r="C10895" s="32">
        <v>43070.535219907404</v>
      </c>
    </row>
    <row r="10896" spans="1:3">
      <c r="A10896">
        <v>745668</v>
      </c>
      <c r="B10896">
        <v>2465336</v>
      </c>
      <c r="C10896" s="32">
        <v>43071.646724537037</v>
      </c>
    </row>
    <row r="10897" spans="1:3">
      <c r="A10897">
        <v>624660</v>
      </c>
      <c r="B10897">
        <v>4756105</v>
      </c>
      <c r="C10897" s="32">
        <v>43070.144571759258</v>
      </c>
    </row>
    <row r="10898" spans="1:3">
      <c r="A10898">
        <v>583477</v>
      </c>
      <c r="B10898">
        <v>2448593</v>
      </c>
      <c r="C10898" s="32">
        <v>43072.368090277778</v>
      </c>
    </row>
    <row r="10899" spans="1:3">
      <c r="A10899">
        <v>181429</v>
      </c>
      <c r="B10899">
        <v>4801426</v>
      </c>
      <c r="C10899" s="32">
        <v>43070.539444444446</v>
      </c>
    </row>
    <row r="10900" spans="1:3">
      <c r="A10900">
        <v>833122</v>
      </c>
      <c r="B10900">
        <v>378698</v>
      </c>
      <c r="C10900" s="32">
        <v>43070.574953703705</v>
      </c>
    </row>
    <row r="10901" spans="1:3">
      <c r="A10901">
        <v>897926</v>
      </c>
      <c r="B10901">
        <v>4656779</v>
      </c>
      <c r="C10901" s="32">
        <v>43070.598090277781</v>
      </c>
    </row>
    <row r="10902" spans="1:3">
      <c r="A10902">
        <v>153674</v>
      </c>
      <c r="B10902">
        <v>1859277</v>
      </c>
      <c r="C10902" s="32">
        <v>43072.256909722222</v>
      </c>
    </row>
    <row r="10903" spans="1:3">
      <c r="A10903">
        <v>732082</v>
      </c>
      <c r="B10903">
        <v>235534</v>
      </c>
      <c r="C10903" s="32">
        <v>43071.419374999998</v>
      </c>
    </row>
    <row r="10904" spans="1:3">
      <c r="A10904">
        <v>316662</v>
      </c>
      <c r="B10904">
        <v>4672807</v>
      </c>
      <c r="C10904" s="32">
        <v>43072.30159722222</v>
      </c>
    </row>
    <row r="10905" spans="1:3">
      <c r="A10905">
        <v>70801</v>
      </c>
      <c r="B10905">
        <v>2520377</v>
      </c>
      <c r="C10905" s="32">
        <v>43069.672673611109</v>
      </c>
    </row>
    <row r="10906" spans="1:3">
      <c r="A10906">
        <v>753365</v>
      </c>
      <c r="B10906">
        <v>1789614</v>
      </c>
      <c r="C10906" s="32">
        <v>43072.504525462966</v>
      </c>
    </row>
    <row r="10907" spans="1:3">
      <c r="A10907">
        <v>817503</v>
      </c>
      <c r="B10907">
        <v>4921805</v>
      </c>
      <c r="C10907" s="32">
        <v>43070.982037037036</v>
      </c>
    </row>
    <row r="10908" spans="1:3">
      <c r="A10908">
        <v>567577</v>
      </c>
      <c r="B10908">
        <v>2736436</v>
      </c>
      <c r="C10908" s="32">
        <v>43071.139131944445</v>
      </c>
    </row>
    <row r="10909" spans="1:3">
      <c r="A10909">
        <v>387423</v>
      </c>
      <c r="B10909">
        <v>3738615</v>
      </c>
      <c r="C10909" s="32">
        <v>43071.040312500001</v>
      </c>
    </row>
    <row r="10910" spans="1:3">
      <c r="A10910">
        <v>939569</v>
      </c>
      <c r="B10910">
        <v>2579035</v>
      </c>
      <c r="C10910" s="32">
        <v>43072.455636574072</v>
      </c>
    </row>
    <row r="10911" spans="1:3">
      <c r="A10911">
        <v>138196</v>
      </c>
      <c r="B10911">
        <v>4801426</v>
      </c>
      <c r="C10911" s="32">
        <v>43071.878391203703</v>
      </c>
    </row>
    <row r="10912" spans="1:3">
      <c r="A10912">
        <v>126317</v>
      </c>
      <c r="B10912">
        <v>102272</v>
      </c>
      <c r="C10912" s="32">
        <v>43069.953912037039</v>
      </c>
    </row>
    <row r="10913" spans="1:3">
      <c r="A10913">
        <v>766521</v>
      </c>
      <c r="B10913">
        <v>800581</v>
      </c>
      <c r="C10913" s="32">
        <v>43071.290844907409</v>
      </c>
    </row>
    <row r="10914" spans="1:3">
      <c r="A10914">
        <v>857716</v>
      </c>
      <c r="B10914">
        <v>1213320</v>
      </c>
      <c r="C10914" s="32">
        <v>43072.457905092589</v>
      </c>
    </row>
    <row r="10915" spans="1:3">
      <c r="A10915">
        <v>958474</v>
      </c>
      <c r="B10915">
        <v>428367</v>
      </c>
      <c r="C10915" s="32">
        <v>43070.187418981484</v>
      </c>
    </row>
    <row r="10916" spans="1:3">
      <c r="A10916">
        <v>666352</v>
      </c>
      <c r="B10916">
        <v>982926</v>
      </c>
      <c r="C10916" s="32">
        <v>43071.005208333336</v>
      </c>
    </row>
    <row r="10917" spans="1:3">
      <c r="A10917">
        <v>264152</v>
      </c>
      <c r="B10917">
        <v>4217906</v>
      </c>
      <c r="C10917" s="32">
        <v>43072.589039351849</v>
      </c>
    </row>
    <row r="10918" spans="1:3">
      <c r="A10918">
        <v>551519</v>
      </c>
      <c r="B10918">
        <v>4181361</v>
      </c>
      <c r="C10918" s="32">
        <v>43072.378784722219</v>
      </c>
    </row>
    <row r="10919" spans="1:3">
      <c r="A10919">
        <v>974921</v>
      </c>
      <c r="B10919">
        <v>838946</v>
      </c>
      <c r="C10919" s="32">
        <v>43072.251018518517</v>
      </c>
    </row>
    <row r="10920" spans="1:3">
      <c r="A10920">
        <v>314543</v>
      </c>
      <c r="B10920">
        <v>3524510</v>
      </c>
      <c r="C10920" s="32">
        <v>43071.681157407409</v>
      </c>
    </row>
    <row r="10921" spans="1:3">
      <c r="A10921">
        <v>98505</v>
      </c>
      <c r="B10921">
        <v>1431810</v>
      </c>
      <c r="C10921" s="32">
        <v>43072.575925925928</v>
      </c>
    </row>
    <row r="10922" spans="1:3">
      <c r="A10922">
        <v>117266</v>
      </c>
      <c r="B10922">
        <v>3126591</v>
      </c>
      <c r="C10922" s="32">
        <v>43071.999780092592</v>
      </c>
    </row>
    <row r="10923" spans="1:3">
      <c r="A10923">
        <v>301678</v>
      </c>
      <c r="B10923">
        <v>4801426</v>
      </c>
      <c r="C10923" s="32">
        <v>43072.639351851853</v>
      </c>
    </row>
    <row r="10924" spans="1:3">
      <c r="A10924">
        <v>360934</v>
      </c>
      <c r="B10924">
        <v>3865465</v>
      </c>
      <c r="C10924" s="32">
        <v>43072.649363425924</v>
      </c>
    </row>
    <row r="10925" spans="1:3">
      <c r="A10925">
        <v>168763</v>
      </c>
      <c r="B10925">
        <v>3002561</v>
      </c>
      <c r="C10925" s="32">
        <v>43071.488854166666</v>
      </c>
    </row>
    <row r="10926" spans="1:3">
      <c r="A10926">
        <v>402248</v>
      </c>
      <c r="B10926">
        <v>3738615</v>
      </c>
      <c r="C10926" s="32">
        <v>43072.04347222222</v>
      </c>
    </row>
    <row r="10927" spans="1:3">
      <c r="A10927">
        <v>816115</v>
      </c>
      <c r="B10927">
        <v>982926</v>
      </c>
      <c r="C10927" s="32">
        <v>43072.418634259258</v>
      </c>
    </row>
    <row r="10928" spans="1:3">
      <c r="A10928">
        <v>389006</v>
      </c>
      <c r="B10928">
        <v>1994940</v>
      </c>
      <c r="C10928" s="32">
        <v>43070.165648148148</v>
      </c>
    </row>
    <row r="10929" spans="1:3">
      <c r="A10929">
        <v>60791</v>
      </c>
      <c r="B10929">
        <v>1379146</v>
      </c>
      <c r="C10929" s="32">
        <v>43071.651354166665</v>
      </c>
    </row>
    <row r="10930" spans="1:3">
      <c r="A10930">
        <v>712561</v>
      </c>
      <c r="B10930">
        <v>1320530</v>
      </c>
      <c r="C10930" s="32">
        <v>43070.226099537038</v>
      </c>
    </row>
    <row r="10931" spans="1:3">
      <c r="A10931">
        <v>703069</v>
      </c>
      <c r="B10931">
        <v>982926</v>
      </c>
      <c r="C10931" s="32">
        <v>43072.177858796298</v>
      </c>
    </row>
    <row r="10932" spans="1:3">
      <c r="A10932">
        <v>788142</v>
      </c>
      <c r="B10932">
        <v>1216617</v>
      </c>
      <c r="C10932" s="32">
        <v>43070.53392361111</v>
      </c>
    </row>
    <row r="10933" spans="1:3">
      <c r="A10933">
        <v>930907</v>
      </c>
      <c r="B10933">
        <v>1320293</v>
      </c>
      <c r="C10933" s="32">
        <v>43072.168032407404</v>
      </c>
    </row>
    <row r="10934" spans="1:3">
      <c r="A10934">
        <v>30026</v>
      </c>
      <c r="B10934">
        <v>1102540</v>
      </c>
      <c r="C10934" s="32">
        <v>43072.595347222225</v>
      </c>
    </row>
    <row r="10935" spans="1:3">
      <c r="A10935">
        <v>236400</v>
      </c>
      <c r="B10935">
        <v>4882154</v>
      </c>
      <c r="C10935" s="32">
        <v>43070.901631944442</v>
      </c>
    </row>
    <row r="10936" spans="1:3">
      <c r="A10936">
        <v>185194</v>
      </c>
      <c r="B10936">
        <v>3624696</v>
      </c>
      <c r="C10936" s="32">
        <v>43071.093055555553</v>
      </c>
    </row>
    <row r="10937" spans="1:3">
      <c r="A10937">
        <v>305184</v>
      </c>
      <c r="B10937">
        <v>1568197</v>
      </c>
      <c r="C10937" s="32">
        <v>43071.582858796297</v>
      </c>
    </row>
    <row r="10938" spans="1:3">
      <c r="A10938">
        <v>999163</v>
      </c>
      <c r="B10938">
        <v>1840678</v>
      </c>
      <c r="C10938" s="32">
        <v>43070.369120370371</v>
      </c>
    </row>
    <row r="10939" spans="1:3">
      <c r="A10939">
        <v>684432</v>
      </c>
      <c r="B10939">
        <v>1879194</v>
      </c>
      <c r="C10939" s="32">
        <v>43071.547476851854</v>
      </c>
    </row>
    <row r="10940" spans="1:3">
      <c r="A10940">
        <v>823198</v>
      </c>
      <c r="B10940">
        <v>4643350</v>
      </c>
      <c r="C10940" s="32">
        <v>43072.484930555554</v>
      </c>
    </row>
    <row r="10941" spans="1:3">
      <c r="A10941">
        <v>501781</v>
      </c>
      <c r="B10941">
        <v>4357323</v>
      </c>
      <c r="C10941" s="32">
        <v>43070.157951388886</v>
      </c>
    </row>
    <row r="10942" spans="1:3">
      <c r="A10942">
        <v>848744</v>
      </c>
      <c r="B10942">
        <v>4135836</v>
      </c>
      <c r="C10942" s="32">
        <v>43070.912673611114</v>
      </c>
    </row>
    <row r="10943" spans="1:3">
      <c r="A10943">
        <v>868926</v>
      </c>
      <c r="B10943">
        <v>2520771</v>
      </c>
      <c r="C10943" s="32">
        <v>43071.65934027778</v>
      </c>
    </row>
    <row r="10944" spans="1:3">
      <c r="A10944">
        <v>515362</v>
      </c>
      <c r="B10944">
        <v>4145813</v>
      </c>
      <c r="C10944" s="32">
        <v>43071.384282407409</v>
      </c>
    </row>
    <row r="10945" spans="1:3">
      <c r="A10945">
        <v>998610</v>
      </c>
      <c r="B10945">
        <v>3607361</v>
      </c>
      <c r="C10945" s="32">
        <v>43072.474386574075</v>
      </c>
    </row>
    <row r="10946" spans="1:3">
      <c r="A10946">
        <v>930218</v>
      </c>
      <c r="B10946">
        <v>283996</v>
      </c>
      <c r="C10946" s="32">
        <v>43072.218171296299</v>
      </c>
    </row>
    <row r="10947" spans="1:3">
      <c r="A10947">
        <v>605209</v>
      </c>
      <c r="B10947">
        <v>2096639</v>
      </c>
      <c r="C10947" s="32">
        <v>43072.097858796296</v>
      </c>
    </row>
    <row r="10948" spans="1:3">
      <c r="A10948">
        <v>1016192</v>
      </c>
      <c r="B10948">
        <v>3566034</v>
      </c>
      <c r="C10948" s="32">
        <v>43072.35434027778</v>
      </c>
    </row>
    <row r="10949" spans="1:3">
      <c r="A10949">
        <v>54906</v>
      </c>
      <c r="B10949">
        <v>2578647</v>
      </c>
      <c r="C10949" s="32">
        <v>43072.327303240738</v>
      </c>
    </row>
    <row r="10950" spans="1:3">
      <c r="A10950">
        <v>501618</v>
      </c>
      <c r="B10950">
        <v>4163659</v>
      </c>
      <c r="C10950" s="32">
        <v>43071.585335648146</v>
      </c>
    </row>
    <row r="10951" spans="1:3">
      <c r="A10951">
        <v>789733</v>
      </c>
      <c r="B10951">
        <v>2702525</v>
      </c>
      <c r="C10951" s="32">
        <v>43071.493888888886</v>
      </c>
    </row>
    <row r="10952" spans="1:3">
      <c r="A10952">
        <v>470777</v>
      </c>
      <c r="B10952">
        <v>4048584</v>
      </c>
      <c r="C10952" s="32">
        <v>43072.501018518517</v>
      </c>
    </row>
    <row r="10953" spans="1:3">
      <c r="A10953">
        <v>562165</v>
      </c>
      <c r="B10953">
        <v>4360192</v>
      </c>
      <c r="C10953" s="32">
        <v>43071.800798611112</v>
      </c>
    </row>
    <row r="10954" spans="1:3">
      <c r="A10954">
        <v>667249</v>
      </c>
      <c r="B10954">
        <v>570735</v>
      </c>
      <c r="C10954" s="32">
        <v>43072.641041666669</v>
      </c>
    </row>
    <row r="10955" spans="1:3">
      <c r="A10955">
        <v>591167</v>
      </c>
      <c r="B10955">
        <v>4656779</v>
      </c>
      <c r="C10955" s="32">
        <v>43071.346689814818</v>
      </c>
    </row>
    <row r="10956" spans="1:3">
      <c r="A10956">
        <v>144846</v>
      </c>
      <c r="B10956">
        <v>4801426</v>
      </c>
      <c r="C10956" s="32">
        <v>43070.326006944444</v>
      </c>
    </row>
    <row r="10957" spans="1:3">
      <c r="A10957">
        <v>678318</v>
      </c>
      <c r="B10957">
        <v>3848953</v>
      </c>
      <c r="C10957" s="32">
        <v>43071.782812500001</v>
      </c>
    </row>
    <row r="10958" spans="1:3">
      <c r="A10958">
        <v>880328</v>
      </c>
      <c r="B10958">
        <v>4801426</v>
      </c>
      <c r="C10958" s="32">
        <v>43071.412303240744</v>
      </c>
    </row>
    <row r="10959" spans="1:3">
      <c r="A10959">
        <v>19044</v>
      </c>
      <c r="B10959">
        <v>2465336</v>
      </c>
      <c r="C10959" s="32">
        <v>43071.769548611112</v>
      </c>
    </row>
    <row r="10960" spans="1:3">
      <c r="A10960">
        <v>441421</v>
      </c>
      <c r="B10960">
        <v>982926</v>
      </c>
      <c r="C10960" s="32">
        <v>43071.683009259257</v>
      </c>
    </row>
    <row r="10961" spans="1:3">
      <c r="A10961">
        <v>114755</v>
      </c>
      <c r="B10961">
        <v>2578647</v>
      </c>
      <c r="C10961" s="32">
        <v>43072.569780092592</v>
      </c>
    </row>
    <row r="10962" spans="1:3">
      <c r="A10962">
        <v>782599</v>
      </c>
      <c r="B10962">
        <v>4082778</v>
      </c>
      <c r="C10962" s="32">
        <v>43071.238310185188</v>
      </c>
    </row>
    <row r="10963" spans="1:3">
      <c r="A10963">
        <v>515179</v>
      </c>
      <c r="B10963">
        <v>2465336</v>
      </c>
      <c r="C10963" s="32">
        <v>43071.690358796295</v>
      </c>
    </row>
    <row r="10964" spans="1:3">
      <c r="A10964">
        <v>348014</v>
      </c>
      <c r="B10964">
        <v>102272</v>
      </c>
      <c r="C10964" s="32">
        <v>43072.626747685186</v>
      </c>
    </row>
    <row r="10965" spans="1:3">
      <c r="A10965">
        <v>682036</v>
      </c>
      <c r="B10965">
        <v>5055998</v>
      </c>
      <c r="C10965" s="32">
        <v>43070.83321759259</v>
      </c>
    </row>
    <row r="10966" spans="1:3">
      <c r="A10966">
        <v>229008</v>
      </c>
      <c r="B10966">
        <v>4882154</v>
      </c>
      <c r="C10966" s="32">
        <v>43071.385439814818</v>
      </c>
    </row>
    <row r="10967" spans="1:3">
      <c r="A10967">
        <v>537151</v>
      </c>
      <c r="B10967">
        <v>200278</v>
      </c>
      <c r="C10967" s="32">
        <v>43072.481400462966</v>
      </c>
    </row>
    <row r="10968" spans="1:3">
      <c r="A10968">
        <v>345422</v>
      </c>
      <c r="B10968">
        <v>965809</v>
      </c>
      <c r="C10968" s="32">
        <v>43071.617766203701</v>
      </c>
    </row>
    <row r="10969" spans="1:3">
      <c r="A10969">
        <v>423714</v>
      </c>
      <c r="B10969">
        <v>2521664</v>
      </c>
      <c r="C10969" s="32">
        <v>43072.452986111108</v>
      </c>
    </row>
    <row r="10970" spans="1:3">
      <c r="A10970">
        <v>243427</v>
      </c>
      <c r="B10970">
        <v>4756105</v>
      </c>
      <c r="C10970" s="32">
        <v>43070.609166666669</v>
      </c>
    </row>
    <row r="10971" spans="1:3">
      <c r="A10971">
        <v>382495</v>
      </c>
      <c r="B10971">
        <v>1320293</v>
      </c>
      <c r="C10971" s="32">
        <v>43072.083506944444</v>
      </c>
    </row>
    <row r="10972" spans="1:3">
      <c r="A10972">
        <v>162712</v>
      </c>
      <c r="B10972">
        <v>235534</v>
      </c>
      <c r="C10972" s="32">
        <v>43071.586574074077</v>
      </c>
    </row>
    <row r="10973" spans="1:3">
      <c r="A10973">
        <v>71840</v>
      </c>
      <c r="B10973">
        <v>2667323</v>
      </c>
      <c r="C10973" s="32">
        <v>43072.596863425926</v>
      </c>
    </row>
    <row r="10974" spans="1:3">
      <c r="A10974">
        <v>512123</v>
      </c>
      <c r="B10974">
        <v>982926</v>
      </c>
      <c r="C10974" s="32">
        <v>43070.224224537036</v>
      </c>
    </row>
    <row r="10975" spans="1:3">
      <c r="A10975">
        <v>976266</v>
      </c>
      <c r="B10975">
        <v>4145813</v>
      </c>
      <c r="C10975" s="32">
        <v>43071.512442129628</v>
      </c>
    </row>
    <row r="10976" spans="1:3">
      <c r="A10976">
        <v>785183</v>
      </c>
      <c r="B10976">
        <v>5071267</v>
      </c>
      <c r="C10976" s="32">
        <v>43071.298229166663</v>
      </c>
    </row>
    <row r="10977" spans="1:3">
      <c r="A10977">
        <v>26390</v>
      </c>
      <c r="B10977">
        <v>4181361</v>
      </c>
      <c r="C10977" s="32">
        <v>43071.095254629632</v>
      </c>
    </row>
    <row r="10978" spans="1:3">
      <c r="A10978">
        <v>593328</v>
      </c>
      <c r="B10978">
        <v>941949</v>
      </c>
      <c r="C10978" s="32">
        <v>43070.069618055553</v>
      </c>
    </row>
    <row r="10979" spans="1:3">
      <c r="A10979">
        <v>597169</v>
      </c>
      <c r="B10979">
        <v>3607361</v>
      </c>
      <c r="C10979" s="32">
        <v>43072.565208333333</v>
      </c>
    </row>
    <row r="10980" spans="1:3">
      <c r="A10980">
        <v>1016241</v>
      </c>
      <c r="B10980">
        <v>2640118</v>
      </c>
      <c r="C10980" s="32">
        <v>43071.601087962961</v>
      </c>
    </row>
    <row r="10981" spans="1:3">
      <c r="A10981">
        <v>883053</v>
      </c>
      <c r="B10981">
        <v>1817004</v>
      </c>
      <c r="C10981" s="32">
        <v>43072.59784722222</v>
      </c>
    </row>
    <row r="10982" spans="1:3">
      <c r="A10982">
        <v>660316</v>
      </c>
      <c r="B10982">
        <v>2293367</v>
      </c>
      <c r="C10982" s="32">
        <v>43072.552384259259</v>
      </c>
    </row>
    <row r="10983" spans="1:3">
      <c r="A10983">
        <v>791954</v>
      </c>
      <c r="B10983">
        <v>3102419</v>
      </c>
      <c r="C10983" s="32">
        <v>43071.357187499998</v>
      </c>
    </row>
    <row r="10984" spans="1:3">
      <c r="A10984">
        <v>329701</v>
      </c>
      <c r="B10984">
        <v>4509358</v>
      </c>
      <c r="C10984" s="32">
        <v>43071.594988425924</v>
      </c>
    </row>
    <row r="10985" spans="1:3">
      <c r="A10985">
        <v>498827</v>
      </c>
      <c r="B10985">
        <v>2858794</v>
      </c>
      <c r="C10985" s="32">
        <v>43072.594409722224</v>
      </c>
    </row>
    <row r="10986" spans="1:3">
      <c r="A10986">
        <v>808047</v>
      </c>
      <c r="B10986">
        <v>237446</v>
      </c>
      <c r="C10986" s="32">
        <v>43072.566481481481</v>
      </c>
    </row>
    <row r="10987" spans="1:3">
      <c r="A10987">
        <v>872615</v>
      </c>
      <c r="B10987">
        <v>874415</v>
      </c>
      <c r="C10987" s="32">
        <v>43069.692002314812</v>
      </c>
    </row>
    <row r="10988" spans="1:3">
      <c r="A10988">
        <v>420127</v>
      </c>
      <c r="B10988">
        <v>2096639</v>
      </c>
      <c r="C10988" s="32">
        <v>43071.357025462959</v>
      </c>
    </row>
    <row r="10989" spans="1:3">
      <c r="A10989">
        <v>1007396</v>
      </c>
      <c r="B10989">
        <v>1730594</v>
      </c>
      <c r="C10989" s="32">
        <v>43072.619131944448</v>
      </c>
    </row>
    <row r="10990" spans="1:3">
      <c r="A10990">
        <v>912960</v>
      </c>
      <c r="B10990">
        <v>4801426</v>
      </c>
      <c r="C10990" s="32">
        <v>43071.448946759258</v>
      </c>
    </row>
    <row r="10991" spans="1:3">
      <c r="A10991">
        <v>284379</v>
      </c>
      <c r="B10991">
        <v>2465336</v>
      </c>
      <c r="C10991" s="32">
        <v>43072.088819444441</v>
      </c>
    </row>
    <row r="10992" spans="1:3">
      <c r="A10992">
        <v>54146</v>
      </c>
      <c r="B10992">
        <v>1080785</v>
      </c>
      <c r="C10992" s="32">
        <v>43070.471273148149</v>
      </c>
    </row>
    <row r="10993" spans="1:3">
      <c r="A10993">
        <v>217727</v>
      </c>
      <c r="B10993">
        <v>570735</v>
      </c>
      <c r="C10993" s="32">
        <v>43070.632824074077</v>
      </c>
    </row>
    <row r="10994" spans="1:3">
      <c r="A10994">
        <v>593545</v>
      </c>
      <c r="B10994">
        <v>2465336</v>
      </c>
      <c r="C10994" s="32">
        <v>43071.301990740743</v>
      </c>
    </row>
    <row r="10995" spans="1:3">
      <c r="A10995">
        <v>318877</v>
      </c>
      <c r="B10995">
        <v>982926</v>
      </c>
      <c r="C10995" s="32">
        <v>43071.610833333332</v>
      </c>
    </row>
    <row r="10996" spans="1:3">
      <c r="A10996">
        <v>359403</v>
      </c>
      <c r="B10996">
        <v>982926</v>
      </c>
      <c r="C10996" s="32">
        <v>43072.64403935185</v>
      </c>
    </row>
    <row r="10997" spans="1:3">
      <c r="A10997">
        <v>960920</v>
      </c>
      <c r="B10997">
        <v>149192</v>
      </c>
      <c r="C10997" s="32">
        <v>43072.033935185187</v>
      </c>
    </row>
    <row r="10998" spans="1:3">
      <c r="A10998">
        <v>778496</v>
      </c>
      <c r="B10998">
        <v>2331312</v>
      </c>
      <c r="C10998" s="32">
        <v>43071.181527777779</v>
      </c>
    </row>
    <row r="10999" spans="1:3">
      <c r="A10999">
        <v>200745</v>
      </c>
      <c r="B10999">
        <v>2885642</v>
      </c>
      <c r="C10999" s="32">
        <v>43072.367222222223</v>
      </c>
    </row>
    <row r="11000" spans="1:3">
      <c r="A11000">
        <v>476831</v>
      </c>
      <c r="B11000">
        <v>163196</v>
      </c>
      <c r="C11000" s="32">
        <v>43070.517268518517</v>
      </c>
    </row>
    <row r="11001" spans="1:3">
      <c r="A11001">
        <v>972270</v>
      </c>
      <c r="B11001">
        <v>1787510</v>
      </c>
      <c r="C11001" s="32">
        <v>43072.307662037034</v>
      </c>
    </row>
    <row r="11002" spans="1:3">
      <c r="A11002">
        <v>384980</v>
      </c>
      <c r="B11002">
        <v>3002561</v>
      </c>
      <c r="C11002" s="32">
        <v>43071.183217592596</v>
      </c>
    </row>
    <row r="11003" spans="1:3">
      <c r="A11003">
        <v>351912</v>
      </c>
      <c r="B11003">
        <v>411153</v>
      </c>
      <c r="C11003" s="32">
        <v>43070.315949074073</v>
      </c>
    </row>
    <row r="11004" spans="1:3">
      <c r="A11004">
        <v>915676</v>
      </c>
      <c r="B11004">
        <v>4173315</v>
      </c>
      <c r="C11004" s="32">
        <v>43070.72583333333</v>
      </c>
    </row>
    <row r="11005" spans="1:3">
      <c r="A11005">
        <v>69430</v>
      </c>
      <c r="B11005">
        <v>2640118</v>
      </c>
      <c r="C11005" s="32">
        <v>43071.081192129626</v>
      </c>
    </row>
    <row r="11006" spans="1:3">
      <c r="A11006">
        <v>333638</v>
      </c>
      <c r="B11006">
        <v>4145813</v>
      </c>
      <c r="C11006" s="32">
        <v>43070.592615740738</v>
      </c>
    </row>
    <row r="11007" spans="1:3">
      <c r="A11007">
        <v>714234</v>
      </c>
      <c r="B11007">
        <v>4801426</v>
      </c>
      <c r="C11007" s="32">
        <v>43071.196608796294</v>
      </c>
    </row>
    <row r="11008" spans="1:3">
      <c r="A11008">
        <v>903067</v>
      </c>
      <c r="B11008">
        <v>4894095</v>
      </c>
      <c r="C11008" s="32">
        <v>43072.530868055554</v>
      </c>
    </row>
    <row r="11009" spans="1:3">
      <c r="A11009">
        <v>908198</v>
      </c>
      <c r="B11009">
        <v>2640118</v>
      </c>
      <c r="C11009" s="32">
        <v>43071.586840277778</v>
      </c>
    </row>
    <row r="11010" spans="1:3">
      <c r="A11010">
        <v>193504</v>
      </c>
      <c r="B11010">
        <v>2303546</v>
      </c>
      <c r="C11010" s="32">
        <v>43072.574803240743</v>
      </c>
    </row>
    <row r="11011" spans="1:3">
      <c r="A11011">
        <v>278405</v>
      </c>
      <c r="B11011">
        <v>4756105</v>
      </c>
      <c r="C11011" s="32">
        <v>43070.516493055555</v>
      </c>
    </row>
    <row r="11012" spans="1:3">
      <c r="A11012">
        <v>1013481</v>
      </c>
      <c r="B11012">
        <v>3738615</v>
      </c>
      <c r="C11012" s="32">
        <v>43071.482060185182</v>
      </c>
    </row>
    <row r="11013" spans="1:3">
      <c r="A11013">
        <v>665600</v>
      </c>
      <c r="B11013">
        <v>4756105</v>
      </c>
      <c r="C11013" s="32">
        <v>43071.398113425923</v>
      </c>
    </row>
    <row r="11014" spans="1:3">
      <c r="A11014">
        <v>872169</v>
      </c>
      <c r="B11014">
        <v>570735</v>
      </c>
      <c r="C11014" s="32">
        <v>43070.582233796296</v>
      </c>
    </row>
    <row r="11015" spans="1:3">
      <c r="A11015">
        <v>264451</v>
      </c>
      <c r="B11015">
        <v>2590256</v>
      </c>
      <c r="C11015" s="32">
        <v>43070.692939814813</v>
      </c>
    </row>
    <row r="11016" spans="1:3">
      <c r="A11016">
        <v>474843</v>
      </c>
      <c r="B11016">
        <v>4731191</v>
      </c>
      <c r="C11016" s="32">
        <v>43070.794965277775</v>
      </c>
    </row>
    <row r="11017" spans="1:3">
      <c r="A11017">
        <v>791345</v>
      </c>
      <c r="B11017">
        <v>4145813</v>
      </c>
      <c r="C11017" s="32">
        <v>43072.514374999999</v>
      </c>
    </row>
    <row r="11018" spans="1:3">
      <c r="A11018">
        <v>474854</v>
      </c>
      <c r="B11018">
        <v>3320579</v>
      </c>
      <c r="C11018" s="32">
        <v>43071.199745370373</v>
      </c>
    </row>
    <row r="11019" spans="1:3">
      <c r="A11019">
        <v>675627</v>
      </c>
      <c r="B11019">
        <v>906800</v>
      </c>
      <c r="C11019" s="32">
        <v>43071.283472222225</v>
      </c>
    </row>
    <row r="11020" spans="1:3">
      <c r="A11020">
        <v>757041</v>
      </c>
      <c r="B11020">
        <v>2579035</v>
      </c>
      <c r="C11020" s="32">
        <v>43071.44091435185</v>
      </c>
    </row>
    <row r="11021" spans="1:3">
      <c r="A11021">
        <v>334589</v>
      </c>
      <c r="B11021">
        <v>2361828</v>
      </c>
      <c r="C11021" s="32">
        <v>43071.055312500001</v>
      </c>
    </row>
    <row r="11022" spans="1:3">
      <c r="A11022">
        <v>477818</v>
      </c>
      <c r="B11022">
        <v>2640118</v>
      </c>
      <c r="C11022" s="32">
        <v>43071.062708333331</v>
      </c>
    </row>
    <row r="11023" spans="1:3">
      <c r="A11023">
        <v>523048</v>
      </c>
      <c r="B11023">
        <v>800581</v>
      </c>
      <c r="C11023" s="32">
        <v>43071.595081018517</v>
      </c>
    </row>
    <row r="11024" spans="1:3">
      <c r="A11024">
        <v>131748</v>
      </c>
      <c r="B11024">
        <v>149192</v>
      </c>
      <c r="C11024" s="32">
        <v>43072.594513888886</v>
      </c>
    </row>
    <row r="11025" spans="1:3">
      <c r="A11025">
        <v>202620</v>
      </c>
      <c r="B11025">
        <v>3138705</v>
      </c>
      <c r="C11025" s="32">
        <v>43069.724456018521</v>
      </c>
    </row>
    <row r="11026" spans="1:3">
      <c r="A11026">
        <v>10050</v>
      </c>
      <c r="B11026">
        <v>873792</v>
      </c>
      <c r="C11026" s="32">
        <v>43070.490231481483</v>
      </c>
    </row>
    <row r="11027" spans="1:3">
      <c r="A11027">
        <v>943720</v>
      </c>
      <c r="B11027">
        <v>3607361</v>
      </c>
      <c r="C11027" s="32">
        <v>43071.034826388888</v>
      </c>
    </row>
    <row r="11028" spans="1:3">
      <c r="A11028">
        <v>599738</v>
      </c>
      <c r="B11028">
        <v>1320293</v>
      </c>
      <c r="C11028" s="32">
        <v>43070.161527777775</v>
      </c>
    </row>
    <row r="11029" spans="1:3">
      <c r="A11029">
        <v>773215</v>
      </c>
      <c r="B11029">
        <v>2948269</v>
      </c>
      <c r="C11029" s="32">
        <v>43071.628784722219</v>
      </c>
    </row>
    <row r="11030" spans="1:3">
      <c r="A11030">
        <v>69152</v>
      </c>
      <c r="B11030">
        <v>4966058</v>
      </c>
      <c r="C11030" s="32">
        <v>43071.937789351854</v>
      </c>
    </row>
    <row r="11031" spans="1:3">
      <c r="A11031">
        <v>200968</v>
      </c>
      <c r="B11031">
        <v>149192</v>
      </c>
      <c r="C11031" s="32">
        <v>43070.525682870371</v>
      </c>
    </row>
    <row r="11032" spans="1:3">
      <c r="A11032">
        <v>507140</v>
      </c>
      <c r="B11032">
        <v>4069500</v>
      </c>
      <c r="C11032" s="32">
        <v>43071.363020833334</v>
      </c>
    </row>
    <row r="11033" spans="1:3">
      <c r="A11033">
        <v>553224</v>
      </c>
      <c r="B11033">
        <v>4756105</v>
      </c>
      <c r="C11033" s="32">
        <v>43071.108518518522</v>
      </c>
    </row>
    <row r="11034" spans="1:3">
      <c r="A11034">
        <v>640297</v>
      </c>
      <c r="B11034">
        <v>4801426</v>
      </c>
      <c r="C11034" s="32">
        <v>43072.665752314817</v>
      </c>
    </row>
    <row r="11035" spans="1:3">
      <c r="A11035">
        <v>993639</v>
      </c>
      <c r="B11035">
        <v>2228184</v>
      </c>
      <c r="C11035" s="32">
        <v>43071.217280092591</v>
      </c>
    </row>
    <row r="11036" spans="1:3">
      <c r="A11036">
        <v>157084</v>
      </c>
      <c r="B11036">
        <v>2355072</v>
      </c>
      <c r="C11036" s="32">
        <v>43071.617627314816</v>
      </c>
    </row>
    <row r="11037" spans="1:3">
      <c r="A11037">
        <v>1008154</v>
      </c>
      <c r="B11037">
        <v>2671397</v>
      </c>
      <c r="C11037" s="32">
        <v>43072.544976851852</v>
      </c>
    </row>
    <row r="11038" spans="1:3">
      <c r="A11038">
        <v>870975</v>
      </c>
      <c r="B11038">
        <v>4242717</v>
      </c>
      <c r="C11038" s="32">
        <v>43070.28460648148</v>
      </c>
    </row>
    <row r="11039" spans="1:3">
      <c r="A11039">
        <v>59448</v>
      </c>
      <c r="B11039">
        <v>3620161</v>
      </c>
      <c r="C11039" s="32">
        <v>43071.065949074073</v>
      </c>
    </row>
    <row r="11040" spans="1:3">
      <c r="A11040">
        <v>232552</v>
      </c>
      <c r="B11040">
        <v>2462567</v>
      </c>
      <c r="C11040" s="32">
        <v>43071.460995370369</v>
      </c>
    </row>
    <row r="11041" spans="1:3">
      <c r="A11041">
        <v>99809</v>
      </c>
      <c r="B11041">
        <v>149192</v>
      </c>
      <c r="C11041" s="32">
        <v>43072.570798611108</v>
      </c>
    </row>
    <row r="11042" spans="1:3">
      <c r="A11042">
        <v>509989</v>
      </c>
      <c r="B11042">
        <v>238434</v>
      </c>
      <c r="C11042" s="32">
        <v>43071.548194444447</v>
      </c>
    </row>
    <row r="11043" spans="1:3">
      <c r="A11043">
        <v>864137</v>
      </c>
      <c r="B11043">
        <v>4239903</v>
      </c>
      <c r="C11043" s="32">
        <v>43072.592164351852</v>
      </c>
    </row>
    <row r="11044" spans="1:3">
      <c r="A11044">
        <v>182759</v>
      </c>
      <c r="B11044">
        <v>4756105</v>
      </c>
      <c r="C11044" s="32">
        <v>43070.168981481482</v>
      </c>
    </row>
    <row r="11045" spans="1:3">
      <c r="A11045">
        <v>18876</v>
      </c>
      <c r="B11045">
        <v>4633953</v>
      </c>
      <c r="C11045" s="32">
        <v>43072.650451388887</v>
      </c>
    </row>
    <row r="11046" spans="1:3">
      <c r="A11046">
        <v>803051</v>
      </c>
      <c r="B11046">
        <v>3607361</v>
      </c>
      <c r="C11046" s="32">
        <v>43071.453541666669</v>
      </c>
    </row>
    <row r="11047" spans="1:3">
      <c r="A11047">
        <v>197930</v>
      </c>
      <c r="B11047">
        <v>3004853</v>
      </c>
      <c r="C11047" s="32">
        <v>43070.570416666669</v>
      </c>
    </row>
    <row r="11048" spans="1:3">
      <c r="A11048">
        <v>47355</v>
      </c>
      <c r="B11048">
        <v>1169503</v>
      </c>
      <c r="C11048" s="32">
        <v>43072.15829861111</v>
      </c>
    </row>
    <row r="11049" spans="1:3">
      <c r="A11049">
        <v>348360</v>
      </c>
      <c r="B11049">
        <v>35290</v>
      </c>
      <c r="C11049" s="32">
        <v>43072.512337962966</v>
      </c>
    </row>
    <row r="11050" spans="1:3">
      <c r="A11050">
        <v>712737</v>
      </c>
      <c r="B11050">
        <v>2201685</v>
      </c>
      <c r="C11050" s="32">
        <v>43072.65384259259</v>
      </c>
    </row>
    <row r="11051" spans="1:3">
      <c r="A11051">
        <v>627655</v>
      </c>
      <c r="B11051">
        <v>2926020</v>
      </c>
      <c r="C11051" s="32">
        <v>43072.408599537041</v>
      </c>
    </row>
    <row r="11052" spans="1:3">
      <c r="A11052">
        <v>518170</v>
      </c>
      <c r="B11052">
        <v>2465336</v>
      </c>
      <c r="C11052" s="32">
        <v>43072.341979166667</v>
      </c>
    </row>
    <row r="11053" spans="1:3">
      <c r="A11053">
        <v>548469</v>
      </c>
      <c r="B11053">
        <v>2014414</v>
      </c>
      <c r="C11053" s="32">
        <v>43072.36041666667</v>
      </c>
    </row>
    <row r="11054" spans="1:3">
      <c r="A11054">
        <v>557890</v>
      </c>
      <c r="B11054">
        <v>1789614</v>
      </c>
      <c r="C11054" s="32">
        <v>43070.41578703704</v>
      </c>
    </row>
    <row r="11055" spans="1:3">
      <c r="A11055">
        <v>489112</v>
      </c>
      <c r="B11055">
        <v>3794706</v>
      </c>
      <c r="C11055" s="32">
        <v>43071.056261574071</v>
      </c>
    </row>
    <row r="11056" spans="1:3">
      <c r="A11056">
        <v>248791</v>
      </c>
      <c r="B11056">
        <v>446701</v>
      </c>
      <c r="C11056" s="32">
        <v>43071.531898148147</v>
      </c>
    </row>
    <row r="11057" spans="1:3">
      <c r="A11057">
        <v>329561</v>
      </c>
      <c r="B11057">
        <v>4064281</v>
      </c>
      <c r="C11057" s="32">
        <v>43072.45684027778</v>
      </c>
    </row>
    <row r="11058" spans="1:3">
      <c r="A11058">
        <v>219419</v>
      </c>
      <c r="B11058">
        <v>1884322</v>
      </c>
      <c r="C11058" s="32">
        <v>43069.773182870369</v>
      </c>
    </row>
    <row r="11059" spans="1:3">
      <c r="A11059">
        <v>581669</v>
      </c>
      <c r="B11059">
        <v>2794147</v>
      </c>
      <c r="C11059" s="32">
        <v>43070.6015162037</v>
      </c>
    </row>
    <row r="11060" spans="1:3">
      <c r="A11060">
        <v>653766</v>
      </c>
      <c r="B11060">
        <v>4633953</v>
      </c>
      <c r="C11060" s="32">
        <v>43071.057118055556</v>
      </c>
    </row>
    <row r="11061" spans="1:3">
      <c r="A11061">
        <v>170576</v>
      </c>
      <c r="B11061">
        <v>4222240</v>
      </c>
      <c r="C11061" s="32">
        <v>43070.647002314814</v>
      </c>
    </row>
    <row r="11062" spans="1:3">
      <c r="A11062">
        <v>560006</v>
      </c>
      <c r="B11062">
        <v>2355072</v>
      </c>
      <c r="C11062" s="32">
        <v>43070.068576388891</v>
      </c>
    </row>
    <row r="11063" spans="1:3">
      <c r="A11063">
        <v>334016</v>
      </c>
      <c r="B11063">
        <v>4533189</v>
      </c>
      <c r="C11063" s="32">
        <v>43070.229710648149</v>
      </c>
    </row>
    <row r="11064" spans="1:3">
      <c r="A11064">
        <v>550142</v>
      </c>
      <c r="B11064">
        <v>5053508</v>
      </c>
      <c r="C11064" s="32">
        <v>43071.589085648149</v>
      </c>
    </row>
    <row r="11065" spans="1:3">
      <c r="A11065">
        <v>26977</v>
      </c>
      <c r="B11065">
        <v>1487591</v>
      </c>
      <c r="C11065" s="32">
        <v>43072.098356481481</v>
      </c>
    </row>
    <row r="11066" spans="1:3">
      <c r="A11066">
        <v>523770</v>
      </c>
      <c r="B11066">
        <v>2462567</v>
      </c>
      <c r="C11066" s="32">
        <v>43070.305046296293</v>
      </c>
    </row>
    <row r="11067" spans="1:3">
      <c r="A11067">
        <v>753609</v>
      </c>
      <c r="B11067">
        <v>3459562</v>
      </c>
      <c r="C11067" s="32">
        <v>43071.672233796293</v>
      </c>
    </row>
    <row r="11068" spans="1:3">
      <c r="A11068">
        <v>370505</v>
      </c>
      <c r="B11068">
        <v>3102419</v>
      </c>
      <c r="C11068" s="32">
        <v>43072.599722222221</v>
      </c>
    </row>
    <row r="11069" spans="1:3">
      <c r="A11069">
        <v>673915</v>
      </c>
      <c r="B11069">
        <v>2089582</v>
      </c>
      <c r="C11069" s="32">
        <v>43070.701006944444</v>
      </c>
    </row>
    <row r="11070" spans="1:3">
      <c r="A11070">
        <v>717360</v>
      </c>
      <c r="B11070">
        <v>2304296</v>
      </c>
      <c r="C11070" s="32">
        <v>43072.474756944444</v>
      </c>
    </row>
    <row r="11071" spans="1:3">
      <c r="A11071">
        <v>721239</v>
      </c>
      <c r="B11071">
        <v>4756105</v>
      </c>
      <c r="C11071" s="32">
        <v>43070.264178240737</v>
      </c>
    </row>
    <row r="11072" spans="1:3">
      <c r="A11072">
        <v>507453</v>
      </c>
      <c r="B11072">
        <v>3087458</v>
      </c>
      <c r="C11072" s="32">
        <v>43071.259282407409</v>
      </c>
    </row>
    <row r="11073" spans="1:3">
      <c r="A11073">
        <v>158754</v>
      </c>
      <c r="B11073">
        <v>3694486</v>
      </c>
      <c r="C11073" s="32">
        <v>43070.26295138889</v>
      </c>
    </row>
    <row r="11074" spans="1:3">
      <c r="A11074">
        <v>181757</v>
      </c>
      <c r="B11074">
        <v>1216617</v>
      </c>
      <c r="C11074" s="32">
        <v>43070.369212962964</v>
      </c>
    </row>
    <row r="11075" spans="1:3">
      <c r="A11075">
        <v>543302</v>
      </c>
      <c r="B11075">
        <v>4908092</v>
      </c>
      <c r="C11075" s="32">
        <v>43070.688437500001</v>
      </c>
    </row>
    <row r="11076" spans="1:3">
      <c r="A11076">
        <v>485825</v>
      </c>
      <c r="B11076">
        <v>4756105</v>
      </c>
      <c r="C11076" s="32">
        <v>43072.103622685187</v>
      </c>
    </row>
    <row r="11077" spans="1:3">
      <c r="A11077">
        <v>6776</v>
      </c>
      <c r="B11077">
        <v>4672807</v>
      </c>
      <c r="C11077" s="32">
        <v>43072.369583333333</v>
      </c>
    </row>
    <row r="11078" spans="1:3">
      <c r="A11078">
        <v>615826</v>
      </c>
      <c r="B11078">
        <v>411153</v>
      </c>
      <c r="C11078" s="32">
        <v>43071.964259259257</v>
      </c>
    </row>
    <row r="11079" spans="1:3">
      <c r="A11079">
        <v>355555</v>
      </c>
      <c r="B11079">
        <v>4918438</v>
      </c>
      <c r="C11079" s="32">
        <v>43070.62400462963</v>
      </c>
    </row>
    <row r="11080" spans="1:3">
      <c r="A11080">
        <v>332223</v>
      </c>
      <c r="B11080">
        <v>1025720</v>
      </c>
      <c r="C11080" s="32">
        <v>43072.562743055554</v>
      </c>
    </row>
    <row r="11081" spans="1:3">
      <c r="A11081">
        <v>471635</v>
      </c>
      <c r="B11081">
        <v>4357323</v>
      </c>
      <c r="C11081" s="32">
        <v>43071.568553240744</v>
      </c>
    </row>
    <row r="11082" spans="1:3">
      <c r="A11082">
        <v>23516</v>
      </c>
      <c r="B11082">
        <v>2640118</v>
      </c>
      <c r="C11082" s="32">
        <v>43072.150949074072</v>
      </c>
    </row>
    <row r="11083" spans="1:3">
      <c r="A11083">
        <v>762224</v>
      </c>
      <c r="B11083">
        <v>3160926</v>
      </c>
      <c r="C11083" s="32">
        <v>43071.291250000002</v>
      </c>
    </row>
    <row r="11084" spans="1:3">
      <c r="A11084">
        <v>442619</v>
      </c>
      <c r="B11084">
        <v>1046047</v>
      </c>
      <c r="C11084" s="32">
        <v>43071.349328703705</v>
      </c>
    </row>
    <row r="11085" spans="1:3">
      <c r="A11085">
        <v>550283</v>
      </c>
      <c r="B11085">
        <v>4370528</v>
      </c>
      <c r="C11085" s="32">
        <v>43070.203148148146</v>
      </c>
    </row>
    <row r="11086" spans="1:3">
      <c r="A11086">
        <v>975145</v>
      </c>
      <c r="B11086">
        <v>4801426</v>
      </c>
      <c r="C11086" s="32">
        <v>43070.624756944446</v>
      </c>
    </row>
    <row r="11087" spans="1:3">
      <c r="A11087">
        <v>657961</v>
      </c>
      <c r="B11087">
        <v>120033</v>
      </c>
      <c r="C11087" s="32">
        <v>43072.349745370368</v>
      </c>
    </row>
    <row r="11088" spans="1:3">
      <c r="A11088">
        <v>193927</v>
      </c>
      <c r="B11088">
        <v>4756105</v>
      </c>
      <c r="C11088" s="32">
        <v>43070.361527777779</v>
      </c>
    </row>
    <row r="11089" spans="1:3">
      <c r="A11089">
        <v>913493</v>
      </c>
      <c r="B11089">
        <v>3455617</v>
      </c>
      <c r="C11089" s="32">
        <v>43072.379444444443</v>
      </c>
    </row>
    <row r="11090" spans="1:3">
      <c r="A11090">
        <v>875448</v>
      </c>
      <c r="B11090">
        <v>1265358</v>
      </c>
      <c r="C11090" s="32">
        <v>43070.111180555556</v>
      </c>
    </row>
    <row r="11091" spans="1:3">
      <c r="A11091">
        <v>659311</v>
      </c>
      <c r="B11091">
        <v>957119</v>
      </c>
      <c r="C11091" s="32">
        <v>43070.366550925923</v>
      </c>
    </row>
    <row r="11092" spans="1:3">
      <c r="A11092">
        <v>539652</v>
      </c>
      <c r="B11092">
        <v>992700</v>
      </c>
      <c r="C11092" s="32">
        <v>43071.78534722222</v>
      </c>
    </row>
    <row r="11093" spans="1:3">
      <c r="A11093">
        <v>496762</v>
      </c>
      <c r="B11093">
        <v>3351726</v>
      </c>
      <c r="C11093" s="32">
        <v>43072.491701388892</v>
      </c>
    </row>
    <row r="11094" spans="1:3">
      <c r="A11094">
        <v>386578</v>
      </c>
      <c r="B11094">
        <v>3738615</v>
      </c>
      <c r="C11094" s="32">
        <v>43072.522465277776</v>
      </c>
    </row>
    <row r="11095" spans="1:3">
      <c r="A11095">
        <v>859419</v>
      </c>
      <c r="B11095">
        <v>3299155</v>
      </c>
      <c r="C11095" s="32">
        <v>43071.0231712963</v>
      </c>
    </row>
    <row r="11096" spans="1:3">
      <c r="A11096">
        <v>431589</v>
      </c>
      <c r="B11096">
        <v>2671397</v>
      </c>
      <c r="C11096" s="32">
        <v>43069.887164351851</v>
      </c>
    </row>
    <row r="11097" spans="1:3">
      <c r="A11097">
        <v>454613</v>
      </c>
      <c r="B11097">
        <v>2355072</v>
      </c>
      <c r="C11097" s="32">
        <v>43071.669641203705</v>
      </c>
    </row>
    <row r="11098" spans="1:3">
      <c r="A11098">
        <v>309053</v>
      </c>
      <c r="B11098">
        <v>4690421</v>
      </c>
      <c r="C11098" s="32">
        <v>43070.80259259259</v>
      </c>
    </row>
    <row r="11099" spans="1:3">
      <c r="A11099">
        <v>94229</v>
      </c>
      <c r="B11099">
        <v>4170419</v>
      </c>
      <c r="C11099" s="32">
        <v>43072.587175925924</v>
      </c>
    </row>
    <row r="11100" spans="1:3">
      <c r="A11100">
        <v>149009</v>
      </c>
      <c r="B11100">
        <v>2355072</v>
      </c>
      <c r="C11100" s="32">
        <v>43072.153981481482</v>
      </c>
    </row>
    <row r="11101" spans="1:3">
      <c r="A11101">
        <v>807156</v>
      </c>
      <c r="B11101">
        <v>2026907</v>
      </c>
      <c r="C11101" s="32">
        <v>43071.660474537035</v>
      </c>
    </row>
    <row r="11102" spans="1:3">
      <c r="A11102">
        <v>874029</v>
      </c>
      <c r="B11102">
        <v>542584</v>
      </c>
      <c r="C11102" s="32">
        <v>43071.265740740739</v>
      </c>
    </row>
    <row r="11103" spans="1:3">
      <c r="A11103">
        <v>321119</v>
      </c>
      <c r="B11103">
        <v>200278</v>
      </c>
      <c r="C11103" s="32">
        <v>43072.588958333334</v>
      </c>
    </row>
    <row r="11104" spans="1:3">
      <c r="A11104">
        <v>495918</v>
      </c>
      <c r="B11104">
        <v>2520377</v>
      </c>
      <c r="C11104" s="32">
        <v>43071.178807870368</v>
      </c>
    </row>
    <row r="11105" spans="1:3">
      <c r="A11105">
        <v>921658</v>
      </c>
      <c r="B11105">
        <v>4159072</v>
      </c>
      <c r="C11105" s="32">
        <v>43070.641157407408</v>
      </c>
    </row>
    <row r="11106" spans="1:3">
      <c r="A11106">
        <v>232749</v>
      </c>
      <c r="B11106">
        <v>4181361</v>
      </c>
      <c r="C11106" s="32">
        <v>43072.115162037036</v>
      </c>
    </row>
    <row r="11107" spans="1:3">
      <c r="A11107">
        <v>391412</v>
      </c>
      <c r="B11107">
        <v>2096639</v>
      </c>
      <c r="C11107" s="32">
        <v>43072.166585648149</v>
      </c>
    </row>
    <row r="11108" spans="1:3">
      <c r="A11108">
        <v>492164</v>
      </c>
      <c r="B11108">
        <v>4606718</v>
      </c>
      <c r="C11108" s="32">
        <v>43071.634513888886</v>
      </c>
    </row>
    <row r="11109" spans="1:3">
      <c r="A11109">
        <v>810456</v>
      </c>
      <c r="B11109">
        <v>2939262</v>
      </c>
      <c r="C11109" s="32">
        <v>43072.407835648148</v>
      </c>
    </row>
    <row r="11110" spans="1:3">
      <c r="A11110">
        <v>655621</v>
      </c>
      <c r="B11110">
        <v>4533189</v>
      </c>
      <c r="C11110" s="32">
        <v>43072.037719907406</v>
      </c>
    </row>
    <row r="11111" spans="1:3">
      <c r="A11111">
        <v>130184</v>
      </c>
      <c r="B11111">
        <v>154040</v>
      </c>
      <c r="C11111" s="32">
        <v>43070.402881944443</v>
      </c>
    </row>
    <row r="11112" spans="1:3">
      <c r="A11112">
        <v>9658</v>
      </c>
      <c r="B11112">
        <v>737184</v>
      </c>
      <c r="C11112" s="32">
        <v>43071.648182870369</v>
      </c>
    </row>
    <row r="11113" spans="1:3">
      <c r="A11113">
        <v>347747</v>
      </c>
      <c r="B11113">
        <v>2640118</v>
      </c>
      <c r="C11113" s="32">
        <v>43070.086724537039</v>
      </c>
    </row>
    <row r="11114" spans="1:3">
      <c r="A11114">
        <v>910777</v>
      </c>
      <c r="B11114">
        <v>3248072</v>
      </c>
      <c r="C11114" s="32">
        <v>43071.361296296294</v>
      </c>
    </row>
    <row r="11115" spans="1:3">
      <c r="A11115">
        <v>620350</v>
      </c>
      <c r="B11115">
        <v>3738615</v>
      </c>
      <c r="C11115" s="32">
        <v>43070.673437500001</v>
      </c>
    </row>
    <row r="11116" spans="1:3">
      <c r="A11116">
        <v>850965</v>
      </c>
      <c r="B11116">
        <v>4756105</v>
      </c>
      <c r="C11116" s="32">
        <v>43070.620254629626</v>
      </c>
    </row>
    <row r="11117" spans="1:3">
      <c r="A11117">
        <v>676430</v>
      </c>
      <c r="B11117">
        <v>4697972</v>
      </c>
      <c r="C11117" s="32">
        <v>43072.140219907407</v>
      </c>
    </row>
    <row r="11118" spans="1:3">
      <c r="A11118">
        <v>84773</v>
      </c>
      <c r="B11118">
        <v>2520377</v>
      </c>
      <c r="C11118" s="32">
        <v>43071.050636574073</v>
      </c>
    </row>
    <row r="11119" spans="1:3">
      <c r="A11119">
        <v>323851</v>
      </c>
      <c r="B11119">
        <v>3738615</v>
      </c>
      <c r="C11119" s="32">
        <v>43072.041805555556</v>
      </c>
    </row>
    <row r="11120" spans="1:3">
      <c r="A11120">
        <v>575560</v>
      </c>
      <c r="B11120">
        <v>4145813</v>
      </c>
      <c r="C11120" s="32">
        <v>43072.579201388886</v>
      </c>
    </row>
    <row r="11121" spans="1:3">
      <c r="A11121">
        <v>607142</v>
      </c>
      <c r="B11121">
        <v>2891408</v>
      </c>
      <c r="C11121" s="32">
        <v>43071.319618055553</v>
      </c>
    </row>
    <row r="11122" spans="1:3">
      <c r="A11122">
        <v>728757</v>
      </c>
      <c r="B11122">
        <v>3102419</v>
      </c>
      <c r="C11122" s="32">
        <v>43071.30128472222</v>
      </c>
    </row>
    <row r="11123" spans="1:3">
      <c r="A11123">
        <v>84994</v>
      </c>
      <c r="B11123">
        <v>2296439</v>
      </c>
      <c r="C11123" s="32">
        <v>43072.655405092592</v>
      </c>
    </row>
    <row r="11124" spans="1:3">
      <c r="A11124">
        <v>355783</v>
      </c>
      <c r="B11124">
        <v>4159072</v>
      </c>
      <c r="C11124" s="32">
        <v>43071.714236111111</v>
      </c>
    </row>
    <row r="11125" spans="1:3">
      <c r="A11125">
        <v>172941</v>
      </c>
      <c r="B11125">
        <v>1051370</v>
      </c>
      <c r="C11125" s="32">
        <v>43070.588819444441</v>
      </c>
    </row>
    <row r="11126" spans="1:3">
      <c r="A11126">
        <v>141801</v>
      </c>
      <c r="B11126">
        <v>4919077</v>
      </c>
      <c r="C11126" s="32">
        <v>43071.598622685182</v>
      </c>
    </row>
    <row r="11127" spans="1:3">
      <c r="A11127">
        <v>191257</v>
      </c>
      <c r="B11127">
        <v>3002561</v>
      </c>
      <c r="C11127" s="32">
        <v>43070.137337962966</v>
      </c>
    </row>
    <row r="11128" spans="1:3">
      <c r="A11128">
        <v>511392</v>
      </c>
      <c r="B11128">
        <v>1879194</v>
      </c>
      <c r="C11128" s="32">
        <v>43071.050069444442</v>
      </c>
    </row>
    <row r="11129" spans="1:3">
      <c r="A11129">
        <v>345786</v>
      </c>
      <c r="B11129">
        <v>4963121</v>
      </c>
      <c r="C11129" s="32">
        <v>43070.90997685185</v>
      </c>
    </row>
    <row r="11130" spans="1:3">
      <c r="A11130">
        <v>503896</v>
      </c>
      <c r="B11130">
        <v>4145813</v>
      </c>
      <c r="C11130" s="32">
        <v>43071.608148148145</v>
      </c>
    </row>
    <row r="11131" spans="1:3">
      <c r="A11131">
        <v>688276</v>
      </c>
      <c r="B11131">
        <v>2885889</v>
      </c>
      <c r="C11131" s="32">
        <v>43069.674664351849</v>
      </c>
    </row>
    <row r="11132" spans="1:3">
      <c r="A11132">
        <v>42346</v>
      </c>
      <c r="B11132">
        <v>3616520</v>
      </c>
      <c r="C11132" s="32">
        <v>43071.280590277776</v>
      </c>
    </row>
    <row r="11133" spans="1:3">
      <c r="A11133">
        <v>240269</v>
      </c>
      <c r="B11133">
        <v>2043591</v>
      </c>
      <c r="C11133" s="32">
        <v>43071.661909722221</v>
      </c>
    </row>
    <row r="11134" spans="1:3">
      <c r="A11134">
        <v>292154</v>
      </c>
      <c r="B11134">
        <v>1653613</v>
      </c>
      <c r="C11134" s="32">
        <v>43070.543495370373</v>
      </c>
    </row>
    <row r="11135" spans="1:3">
      <c r="A11135">
        <v>117613</v>
      </c>
      <c r="B11135">
        <v>883960</v>
      </c>
      <c r="C11135" s="32">
        <v>43070.464444444442</v>
      </c>
    </row>
    <row r="11136" spans="1:3">
      <c r="A11136">
        <v>902563</v>
      </c>
      <c r="B11136">
        <v>411153</v>
      </c>
      <c r="C11136" s="32">
        <v>43070.528182870374</v>
      </c>
    </row>
    <row r="11137" spans="1:3">
      <c r="A11137">
        <v>376882</v>
      </c>
      <c r="B11137">
        <v>2706436</v>
      </c>
      <c r="C11137" s="32">
        <v>43071.500416666669</v>
      </c>
    </row>
    <row r="11138" spans="1:3">
      <c r="A11138">
        <v>423106</v>
      </c>
      <c r="B11138">
        <v>4512393</v>
      </c>
      <c r="C11138" s="32">
        <v>43071.12777777778</v>
      </c>
    </row>
    <row r="11139" spans="1:3">
      <c r="A11139">
        <v>51166</v>
      </c>
      <c r="B11139">
        <v>4880845</v>
      </c>
      <c r="C11139" s="32">
        <v>43072.04378472222</v>
      </c>
    </row>
    <row r="11140" spans="1:3">
      <c r="A11140">
        <v>349644</v>
      </c>
      <c r="B11140">
        <v>801221</v>
      </c>
      <c r="C11140" s="32">
        <v>43070.802453703705</v>
      </c>
    </row>
    <row r="11141" spans="1:3">
      <c r="A11141">
        <v>112235</v>
      </c>
      <c r="B11141">
        <v>466806</v>
      </c>
      <c r="C11141" s="32">
        <v>43072.416689814818</v>
      </c>
    </row>
    <row r="11142" spans="1:3">
      <c r="A11142">
        <v>609481</v>
      </c>
      <c r="B11142">
        <v>4672807</v>
      </c>
      <c r="C11142" s="32">
        <v>43072.331203703703</v>
      </c>
    </row>
    <row r="11143" spans="1:3">
      <c r="A11143">
        <v>968204</v>
      </c>
      <c r="B11143">
        <v>401357</v>
      </c>
      <c r="C11143" s="32">
        <v>43071.693159722221</v>
      </c>
    </row>
    <row r="11144" spans="1:3">
      <c r="A11144">
        <v>156749</v>
      </c>
      <c r="B11144">
        <v>238434</v>
      </c>
      <c r="C11144" s="32">
        <v>43070.050439814811</v>
      </c>
    </row>
    <row r="11145" spans="1:3">
      <c r="A11145">
        <v>246594</v>
      </c>
      <c r="B11145">
        <v>4145813</v>
      </c>
      <c r="C11145" s="32">
        <v>43070.972268518519</v>
      </c>
    </row>
    <row r="11146" spans="1:3">
      <c r="A11146">
        <v>259052</v>
      </c>
      <c r="B11146">
        <v>2476560</v>
      </c>
      <c r="C11146" s="32">
        <v>43072.307268518518</v>
      </c>
    </row>
    <row r="11147" spans="1:3">
      <c r="A11147">
        <v>1008552</v>
      </c>
      <c r="B11147">
        <v>1349561</v>
      </c>
      <c r="C11147" s="32">
        <v>43070.584618055553</v>
      </c>
    </row>
    <row r="11148" spans="1:3">
      <c r="A11148">
        <v>42789</v>
      </c>
      <c r="B11148">
        <v>2520377</v>
      </c>
      <c r="C11148" s="32">
        <v>43071.563900462963</v>
      </c>
    </row>
    <row r="11149" spans="1:3">
      <c r="A11149">
        <v>186445</v>
      </c>
      <c r="B11149">
        <v>2640118</v>
      </c>
      <c r="C11149" s="32">
        <v>43070.532268518517</v>
      </c>
    </row>
    <row r="11150" spans="1:3">
      <c r="A11150">
        <v>271995</v>
      </c>
      <c r="B11150">
        <v>3081594</v>
      </c>
      <c r="C11150" s="32">
        <v>43072.614155092589</v>
      </c>
    </row>
    <row r="11151" spans="1:3">
      <c r="A11151">
        <v>570042</v>
      </c>
      <c r="B11151">
        <v>2355072</v>
      </c>
      <c r="C11151" s="32">
        <v>43070.953634259262</v>
      </c>
    </row>
    <row r="11152" spans="1:3">
      <c r="A11152">
        <v>348381</v>
      </c>
      <c r="B11152">
        <v>4697972</v>
      </c>
      <c r="C11152" s="32">
        <v>43072.020104166666</v>
      </c>
    </row>
    <row r="11153" spans="1:3">
      <c r="A11153">
        <v>613688</v>
      </c>
      <c r="B11153">
        <v>3252144</v>
      </c>
      <c r="C11153" s="32">
        <v>43070.965219907404</v>
      </c>
    </row>
    <row r="11154" spans="1:3">
      <c r="A11154">
        <v>230311</v>
      </c>
      <c r="B11154">
        <v>4217906</v>
      </c>
      <c r="C11154" s="32">
        <v>43072.575254629628</v>
      </c>
    </row>
    <row r="11155" spans="1:3">
      <c r="A11155">
        <v>821493</v>
      </c>
      <c r="B11155">
        <v>1879194</v>
      </c>
      <c r="C11155" s="32">
        <v>43071.563009259262</v>
      </c>
    </row>
    <row r="11156" spans="1:3">
      <c r="A11156">
        <v>901478</v>
      </c>
      <c r="B11156">
        <v>411153</v>
      </c>
      <c r="C11156" s="32">
        <v>43071.544942129629</v>
      </c>
    </row>
    <row r="11157" spans="1:3">
      <c r="A11157">
        <v>906242</v>
      </c>
      <c r="B11157">
        <v>3975787</v>
      </c>
      <c r="C11157" s="32">
        <v>43070.709652777776</v>
      </c>
    </row>
    <row r="11158" spans="1:3">
      <c r="A11158">
        <v>316609</v>
      </c>
      <c r="B11158">
        <v>3065645</v>
      </c>
      <c r="C11158" s="32">
        <v>43071.579050925924</v>
      </c>
    </row>
    <row r="11159" spans="1:3">
      <c r="A11159">
        <v>440360</v>
      </c>
      <c r="B11159">
        <v>2217187</v>
      </c>
      <c r="C11159" s="32">
        <v>43069.682789351849</v>
      </c>
    </row>
    <row r="11160" spans="1:3">
      <c r="A11160">
        <v>406231</v>
      </c>
      <c r="B11160">
        <v>4915680</v>
      </c>
      <c r="C11160" s="32">
        <v>43072.514328703706</v>
      </c>
    </row>
    <row r="11161" spans="1:3">
      <c r="A11161">
        <v>1015228</v>
      </c>
      <c r="B11161">
        <v>1464116</v>
      </c>
      <c r="C11161" s="32">
        <v>43071.621805555558</v>
      </c>
    </row>
    <row r="11162" spans="1:3">
      <c r="A11162">
        <v>781809</v>
      </c>
      <c r="B11162">
        <v>1051370</v>
      </c>
      <c r="C11162" s="32">
        <v>43070.624108796299</v>
      </c>
    </row>
    <row r="11163" spans="1:3">
      <c r="A11163">
        <v>187606</v>
      </c>
      <c r="B11163">
        <v>620409</v>
      </c>
      <c r="C11163" s="32">
        <v>43072.583495370367</v>
      </c>
    </row>
    <row r="11164" spans="1:3">
      <c r="A11164">
        <v>506821</v>
      </c>
      <c r="B11164">
        <v>4756105</v>
      </c>
      <c r="C11164" s="32">
        <v>43070.452256944445</v>
      </c>
    </row>
    <row r="11165" spans="1:3">
      <c r="A11165">
        <v>398791</v>
      </c>
      <c r="B11165">
        <v>4801426</v>
      </c>
      <c r="C11165" s="32">
        <v>43072.174907407411</v>
      </c>
    </row>
    <row r="11166" spans="1:3">
      <c r="A11166">
        <v>831484</v>
      </c>
      <c r="B11166">
        <v>634390</v>
      </c>
      <c r="C11166" s="32">
        <v>43071.56077546296</v>
      </c>
    </row>
    <row r="11167" spans="1:3">
      <c r="A11167">
        <v>151264</v>
      </c>
      <c r="B11167">
        <v>4756105</v>
      </c>
      <c r="C11167" s="32">
        <v>43071.066435185188</v>
      </c>
    </row>
    <row r="11168" spans="1:3">
      <c r="A11168">
        <v>714999</v>
      </c>
      <c r="B11168">
        <v>5071267</v>
      </c>
      <c r="C11168" s="32">
        <v>43070.607476851852</v>
      </c>
    </row>
    <row r="11169" spans="1:3">
      <c r="A11169">
        <v>688791</v>
      </c>
      <c r="B11169">
        <v>2520377</v>
      </c>
      <c r="C11169" s="32">
        <v>43071.300509259258</v>
      </c>
    </row>
    <row r="11170" spans="1:3">
      <c r="A11170">
        <v>221505</v>
      </c>
      <c r="B11170">
        <v>5008221</v>
      </c>
      <c r="C11170" s="32">
        <v>43071.437314814815</v>
      </c>
    </row>
    <row r="11171" spans="1:3">
      <c r="A11171">
        <v>22396</v>
      </c>
      <c r="B11171">
        <v>3598912</v>
      </c>
      <c r="C11171" s="32">
        <v>43070.521747685183</v>
      </c>
    </row>
    <row r="11172" spans="1:3">
      <c r="A11172">
        <v>538781</v>
      </c>
      <c r="B11172">
        <v>2520377</v>
      </c>
      <c r="C11172" s="32">
        <v>43072.51871527778</v>
      </c>
    </row>
    <row r="11173" spans="1:3">
      <c r="A11173">
        <v>304576</v>
      </c>
      <c r="B11173">
        <v>411153</v>
      </c>
      <c r="C11173" s="32">
        <v>43070.525925925926</v>
      </c>
    </row>
    <row r="11174" spans="1:3">
      <c r="A11174">
        <v>747029</v>
      </c>
      <c r="B11174">
        <v>1009182</v>
      </c>
      <c r="C11174" s="32">
        <v>43071.607268518521</v>
      </c>
    </row>
    <row r="11175" spans="1:3">
      <c r="A11175">
        <v>82755</v>
      </c>
      <c r="B11175">
        <v>339580</v>
      </c>
      <c r="C11175" s="32">
        <v>43071.52175925926</v>
      </c>
    </row>
    <row r="11176" spans="1:3">
      <c r="A11176">
        <v>702524</v>
      </c>
      <c r="B11176">
        <v>750949</v>
      </c>
      <c r="C11176" s="32">
        <v>43072.269432870373</v>
      </c>
    </row>
    <row r="11177" spans="1:3">
      <c r="A11177">
        <v>944281</v>
      </c>
      <c r="B11177">
        <v>3381583</v>
      </c>
      <c r="C11177" s="32">
        <v>43071.500717592593</v>
      </c>
    </row>
    <row r="11178" spans="1:3">
      <c r="A11178">
        <v>731169</v>
      </c>
      <c r="B11178">
        <v>2355072</v>
      </c>
      <c r="C11178" s="32">
        <v>43071.00508101852</v>
      </c>
    </row>
    <row r="11179" spans="1:3">
      <c r="A11179">
        <v>474915</v>
      </c>
      <c r="B11179">
        <v>4197505</v>
      </c>
      <c r="C11179" s="32">
        <v>43071.527384259258</v>
      </c>
    </row>
    <row r="11180" spans="1:3">
      <c r="A11180">
        <v>269459</v>
      </c>
      <c r="B11180">
        <v>2735466</v>
      </c>
      <c r="C11180" s="32">
        <v>43070.280509259261</v>
      </c>
    </row>
    <row r="11181" spans="1:3">
      <c r="A11181">
        <v>507365</v>
      </c>
      <c r="B11181">
        <v>237446</v>
      </c>
      <c r="C11181" s="32">
        <v>43070.375138888892</v>
      </c>
    </row>
    <row r="11182" spans="1:3">
      <c r="A11182">
        <v>821898</v>
      </c>
      <c r="B11182">
        <v>2355072</v>
      </c>
      <c r="C11182" s="32">
        <v>43071.584652777776</v>
      </c>
    </row>
    <row r="11183" spans="1:3">
      <c r="A11183">
        <v>246573</v>
      </c>
      <c r="B11183">
        <v>3738615</v>
      </c>
      <c r="C11183" s="32">
        <v>43071.344166666669</v>
      </c>
    </row>
    <row r="11184" spans="1:3">
      <c r="A11184">
        <v>198662</v>
      </c>
      <c r="B11184">
        <v>4756105</v>
      </c>
      <c r="C11184" s="32">
        <v>43072.411064814813</v>
      </c>
    </row>
    <row r="11185" spans="1:3">
      <c r="A11185">
        <v>256207</v>
      </c>
      <c r="B11185">
        <v>2520377</v>
      </c>
      <c r="C11185" s="32">
        <v>43072.549120370371</v>
      </c>
    </row>
    <row r="11186" spans="1:3">
      <c r="A11186">
        <v>401069</v>
      </c>
      <c r="B11186">
        <v>3299155</v>
      </c>
      <c r="C11186" s="32">
        <v>43071.192766203705</v>
      </c>
    </row>
    <row r="11187" spans="1:3">
      <c r="A11187">
        <v>342768</v>
      </c>
      <c r="B11187">
        <v>903809</v>
      </c>
      <c r="C11187" s="32">
        <v>43071.584849537037</v>
      </c>
    </row>
    <row r="11188" spans="1:3">
      <c r="A11188">
        <v>213347</v>
      </c>
      <c r="B11188">
        <v>3738615</v>
      </c>
      <c r="C11188" s="32">
        <v>43072.384143518517</v>
      </c>
    </row>
    <row r="11189" spans="1:3">
      <c r="A11189">
        <v>841092</v>
      </c>
      <c r="B11189">
        <v>2520377</v>
      </c>
      <c r="C11189" s="32">
        <v>43072.626134259262</v>
      </c>
    </row>
    <row r="11190" spans="1:3">
      <c r="A11190">
        <v>810976</v>
      </c>
      <c r="B11190">
        <v>2651305</v>
      </c>
      <c r="C11190" s="32">
        <v>43072.626331018517</v>
      </c>
    </row>
    <row r="11191" spans="1:3">
      <c r="A11191">
        <v>927780</v>
      </c>
      <c r="B11191">
        <v>2939262</v>
      </c>
      <c r="C11191" s="32">
        <v>43071.602453703701</v>
      </c>
    </row>
    <row r="11192" spans="1:3">
      <c r="A11192">
        <v>11091</v>
      </c>
      <c r="B11192">
        <v>2520771</v>
      </c>
      <c r="C11192" s="32">
        <v>43071.630011574074</v>
      </c>
    </row>
    <row r="11193" spans="1:3">
      <c r="A11193">
        <v>498533</v>
      </c>
      <c r="B11193">
        <v>965809</v>
      </c>
      <c r="C11193" s="32">
        <v>43071.696562500001</v>
      </c>
    </row>
    <row r="11194" spans="1:3">
      <c r="A11194">
        <v>486958</v>
      </c>
      <c r="B11194">
        <v>4357323</v>
      </c>
      <c r="C11194" s="32">
        <v>43071.416134259256</v>
      </c>
    </row>
    <row r="11195" spans="1:3">
      <c r="A11195">
        <v>887790</v>
      </c>
      <c r="B11195">
        <v>2271249</v>
      </c>
      <c r="C11195" s="32">
        <v>43071.08865740741</v>
      </c>
    </row>
    <row r="11196" spans="1:3">
      <c r="A11196">
        <v>785543</v>
      </c>
      <c r="B11196">
        <v>3566034</v>
      </c>
      <c r="C11196" s="32">
        <v>43072.193240740744</v>
      </c>
    </row>
    <row r="11197" spans="1:3">
      <c r="A11197">
        <v>696105</v>
      </c>
      <c r="B11197">
        <v>3002561</v>
      </c>
      <c r="C11197" s="32">
        <v>43072.099895833337</v>
      </c>
    </row>
    <row r="11198" spans="1:3">
      <c r="A11198">
        <v>113320</v>
      </c>
      <c r="B11198">
        <v>611849</v>
      </c>
      <c r="C11198" s="32">
        <v>43071.444004629629</v>
      </c>
    </row>
    <row r="11199" spans="1:3">
      <c r="A11199">
        <v>848383</v>
      </c>
      <c r="B11199">
        <v>3935164</v>
      </c>
      <c r="C11199" s="32">
        <v>43072.025497685187</v>
      </c>
    </row>
    <row r="11200" spans="1:3">
      <c r="A11200">
        <v>321142</v>
      </c>
      <c r="B11200">
        <v>982926</v>
      </c>
      <c r="C11200" s="32">
        <v>43072.134363425925</v>
      </c>
    </row>
    <row r="11201" spans="1:3">
      <c r="A11201">
        <v>930908</v>
      </c>
      <c r="B11201">
        <v>245312</v>
      </c>
      <c r="C11201" s="32">
        <v>43071.944421296299</v>
      </c>
    </row>
    <row r="11202" spans="1:3">
      <c r="A11202">
        <v>168884</v>
      </c>
      <c r="B11202">
        <v>5071267</v>
      </c>
      <c r="C11202" s="32">
        <v>43071.185914351852</v>
      </c>
    </row>
    <row r="11203" spans="1:3">
      <c r="A11203">
        <v>148394</v>
      </c>
      <c r="B11203">
        <v>4640311</v>
      </c>
      <c r="C11203" s="32">
        <v>43072.309537037036</v>
      </c>
    </row>
    <row r="11204" spans="1:3">
      <c r="A11204">
        <v>733792</v>
      </c>
      <c r="B11204">
        <v>4338287</v>
      </c>
      <c r="C11204" s="32">
        <v>43072.451863425929</v>
      </c>
    </row>
    <row r="11205" spans="1:3">
      <c r="A11205">
        <v>83653</v>
      </c>
      <c r="B11205">
        <v>1177618</v>
      </c>
      <c r="C11205" s="32">
        <v>43071.379988425928</v>
      </c>
    </row>
    <row r="11206" spans="1:3">
      <c r="A11206">
        <v>487374</v>
      </c>
      <c r="B11206">
        <v>2738312</v>
      </c>
      <c r="C11206" s="32">
        <v>43070.579895833333</v>
      </c>
    </row>
    <row r="11207" spans="1:3">
      <c r="A11207">
        <v>1003914</v>
      </c>
      <c r="B11207">
        <v>1881956</v>
      </c>
      <c r="C11207" s="32">
        <v>43070.23233796296</v>
      </c>
    </row>
    <row r="11208" spans="1:3">
      <c r="A11208">
        <v>760698</v>
      </c>
      <c r="B11208">
        <v>3312150</v>
      </c>
      <c r="C11208" s="32">
        <v>43070.2577662037</v>
      </c>
    </row>
    <row r="11209" spans="1:3">
      <c r="A11209">
        <v>147359</v>
      </c>
      <c r="B11209">
        <v>1320293</v>
      </c>
      <c r="C11209" s="32">
        <v>43070.107835648145</v>
      </c>
    </row>
    <row r="11210" spans="1:3">
      <c r="A11210">
        <v>891566</v>
      </c>
      <c r="B11210">
        <v>3985610</v>
      </c>
      <c r="C11210" s="32">
        <v>43070.648252314815</v>
      </c>
    </row>
    <row r="11211" spans="1:3">
      <c r="A11211">
        <v>556872</v>
      </c>
      <c r="B11211">
        <v>1530704</v>
      </c>
      <c r="C11211" s="32">
        <v>43072.601018518515</v>
      </c>
    </row>
    <row r="11212" spans="1:3">
      <c r="A11212">
        <v>275505</v>
      </c>
      <c r="B11212">
        <v>2419959</v>
      </c>
      <c r="C11212" s="32">
        <v>43072.046203703707</v>
      </c>
    </row>
    <row r="11213" spans="1:3">
      <c r="A11213">
        <v>1017362</v>
      </c>
      <c r="B11213">
        <v>3607361</v>
      </c>
      <c r="C11213" s="32">
        <v>43072.413275462961</v>
      </c>
    </row>
    <row r="11214" spans="1:3">
      <c r="A11214">
        <v>667561</v>
      </c>
      <c r="B11214">
        <v>4801426</v>
      </c>
      <c r="C11214" s="32">
        <v>43070.237754629627</v>
      </c>
    </row>
    <row r="11215" spans="1:3">
      <c r="A11215">
        <v>218790</v>
      </c>
      <c r="B11215">
        <v>4444302</v>
      </c>
      <c r="C11215" s="32">
        <v>43070.587152777778</v>
      </c>
    </row>
    <row r="11216" spans="1:3">
      <c r="A11216">
        <v>615823</v>
      </c>
      <c r="B11216">
        <v>3299155</v>
      </c>
      <c r="C11216" s="32">
        <v>43070.293587962966</v>
      </c>
    </row>
    <row r="11217" spans="1:3">
      <c r="A11217">
        <v>437803</v>
      </c>
      <c r="B11217">
        <v>277383</v>
      </c>
      <c r="C11217" s="32">
        <v>43072.231249999997</v>
      </c>
    </row>
    <row r="11218" spans="1:3">
      <c r="A11218">
        <v>387824</v>
      </c>
      <c r="B11218">
        <v>3836451</v>
      </c>
      <c r="C11218" s="32">
        <v>43072.215613425928</v>
      </c>
    </row>
    <row r="11219" spans="1:3">
      <c r="A11219">
        <v>8432</v>
      </c>
      <c r="B11219">
        <v>3607361</v>
      </c>
      <c r="C11219" s="32">
        <v>43070.292013888888</v>
      </c>
    </row>
    <row r="11220" spans="1:3">
      <c r="A11220">
        <v>277589</v>
      </c>
      <c r="B11220">
        <v>2520771</v>
      </c>
      <c r="C11220" s="32">
        <v>43071.372800925928</v>
      </c>
    </row>
    <row r="11221" spans="1:3">
      <c r="A11221">
        <v>169914</v>
      </c>
      <c r="B11221">
        <v>4145813</v>
      </c>
      <c r="C11221" s="32">
        <v>43072.091354166667</v>
      </c>
    </row>
    <row r="11222" spans="1:3">
      <c r="A11222">
        <v>139093</v>
      </c>
      <c r="B11222">
        <v>982926</v>
      </c>
      <c r="C11222" s="32">
        <v>43072.180925925924</v>
      </c>
    </row>
    <row r="11223" spans="1:3">
      <c r="A11223">
        <v>678462</v>
      </c>
      <c r="B11223">
        <v>2939262</v>
      </c>
      <c r="C11223" s="32">
        <v>43072.518553240741</v>
      </c>
    </row>
    <row r="11224" spans="1:3">
      <c r="A11224">
        <v>366694</v>
      </c>
      <c r="B11224">
        <v>1029459</v>
      </c>
      <c r="C11224" s="32">
        <v>43071.646284722221</v>
      </c>
    </row>
    <row r="11225" spans="1:3">
      <c r="A11225">
        <v>163102</v>
      </c>
      <c r="B11225">
        <v>2940518</v>
      </c>
      <c r="C11225" s="32">
        <v>43071.043414351851</v>
      </c>
    </row>
    <row r="11226" spans="1:3">
      <c r="A11226">
        <v>853270</v>
      </c>
      <c r="B11226">
        <v>4919077</v>
      </c>
      <c r="C11226" s="32">
        <v>43070.327928240738</v>
      </c>
    </row>
    <row r="11227" spans="1:3">
      <c r="A11227">
        <v>621598</v>
      </c>
      <c r="B11227">
        <v>4217906</v>
      </c>
      <c r="C11227" s="32">
        <v>43070.171261574076</v>
      </c>
    </row>
    <row r="11228" spans="1:3">
      <c r="A11228">
        <v>615649</v>
      </c>
      <c r="B11228">
        <v>1733868</v>
      </c>
      <c r="C11228" s="32">
        <v>43069.923275462963</v>
      </c>
    </row>
    <row r="11229" spans="1:3">
      <c r="A11229">
        <v>402246</v>
      </c>
      <c r="B11229">
        <v>4762182</v>
      </c>
      <c r="C11229" s="32">
        <v>43072.210243055553</v>
      </c>
    </row>
    <row r="11230" spans="1:3">
      <c r="A11230">
        <v>18779</v>
      </c>
      <c r="B11230">
        <v>149192</v>
      </c>
      <c r="C11230" s="32">
        <v>43072.623124999998</v>
      </c>
    </row>
    <row r="11231" spans="1:3">
      <c r="A11231">
        <v>150965</v>
      </c>
      <c r="B11231">
        <v>2735466</v>
      </c>
      <c r="C11231" s="32">
        <v>43071.942546296297</v>
      </c>
    </row>
    <row r="11232" spans="1:3">
      <c r="A11232">
        <v>389342</v>
      </c>
      <c r="B11232">
        <v>411153</v>
      </c>
      <c r="C11232" s="32">
        <v>43071.320324074077</v>
      </c>
    </row>
    <row r="11233" spans="1:3">
      <c r="A11233">
        <v>269500</v>
      </c>
      <c r="B11233">
        <v>772629</v>
      </c>
      <c r="C11233" s="32">
        <v>43070.60633101852</v>
      </c>
    </row>
    <row r="11234" spans="1:3">
      <c r="A11234">
        <v>1016587</v>
      </c>
      <c r="B11234">
        <v>3002561</v>
      </c>
      <c r="C11234" s="32">
        <v>43071.990046296298</v>
      </c>
    </row>
    <row r="11235" spans="1:3">
      <c r="A11235">
        <v>731374</v>
      </c>
      <c r="B11235">
        <v>3597057</v>
      </c>
      <c r="C11235" s="32">
        <v>43071.320335648146</v>
      </c>
    </row>
    <row r="11236" spans="1:3">
      <c r="A11236">
        <v>374974</v>
      </c>
      <c r="B11236">
        <v>3277224</v>
      </c>
      <c r="C11236" s="32">
        <v>43072.536053240743</v>
      </c>
    </row>
    <row r="11237" spans="1:3">
      <c r="A11237">
        <v>971048</v>
      </c>
      <c r="B11237">
        <v>401357</v>
      </c>
      <c r="C11237" s="32">
        <v>43072.128912037035</v>
      </c>
    </row>
    <row r="11238" spans="1:3">
      <c r="A11238">
        <v>904611</v>
      </c>
      <c r="B11238">
        <v>535180</v>
      </c>
      <c r="C11238" s="32">
        <v>43070.814479166664</v>
      </c>
    </row>
    <row r="11239" spans="1:3">
      <c r="A11239">
        <v>658954</v>
      </c>
      <c r="B11239">
        <v>3702593</v>
      </c>
      <c r="C11239" s="32">
        <v>43070.486342592594</v>
      </c>
    </row>
    <row r="11240" spans="1:3">
      <c r="A11240">
        <v>748204</v>
      </c>
      <c r="B11240">
        <v>3299155</v>
      </c>
      <c r="C11240" s="32">
        <v>43072.167129629626</v>
      </c>
    </row>
    <row r="11241" spans="1:3">
      <c r="A11241">
        <v>24990</v>
      </c>
      <c r="B11241">
        <v>1567637</v>
      </c>
      <c r="C11241" s="32">
        <v>43072.493425925924</v>
      </c>
    </row>
    <row r="11242" spans="1:3">
      <c r="A11242">
        <v>832354</v>
      </c>
      <c r="B11242">
        <v>1080785</v>
      </c>
      <c r="C11242" s="32">
        <v>43072.546319444446</v>
      </c>
    </row>
    <row r="11243" spans="1:3">
      <c r="A11243">
        <v>962049</v>
      </c>
      <c r="B11243">
        <v>3004853</v>
      </c>
      <c r="C11243" s="32">
        <v>43070.661319444444</v>
      </c>
    </row>
    <row r="11244" spans="1:3">
      <c r="A11244">
        <v>156785</v>
      </c>
      <c r="B11244">
        <v>2409937</v>
      </c>
      <c r="C11244" s="32">
        <v>43072.245520833334</v>
      </c>
    </row>
    <row r="11245" spans="1:3">
      <c r="A11245">
        <v>316542</v>
      </c>
      <c r="B11245">
        <v>3607361</v>
      </c>
      <c r="C11245" s="32">
        <v>43070.03224537037</v>
      </c>
    </row>
    <row r="11246" spans="1:3">
      <c r="A11246">
        <v>471936</v>
      </c>
      <c r="B11246">
        <v>1464116</v>
      </c>
      <c r="C11246" s="32">
        <v>43071.185011574074</v>
      </c>
    </row>
    <row r="11247" spans="1:3">
      <c r="A11247">
        <v>387420</v>
      </c>
      <c r="B11247">
        <v>3788576</v>
      </c>
      <c r="C11247" s="32">
        <v>43071.487337962964</v>
      </c>
    </row>
    <row r="11248" spans="1:3">
      <c r="A11248">
        <v>500067</v>
      </c>
      <c r="B11248">
        <v>4602841</v>
      </c>
      <c r="C11248" s="32">
        <v>43071.639780092592</v>
      </c>
    </row>
    <row r="11249" spans="1:3">
      <c r="A11249">
        <v>811578</v>
      </c>
      <c r="B11249">
        <v>5071267</v>
      </c>
      <c r="C11249" s="32">
        <v>43071.482037037036</v>
      </c>
    </row>
    <row r="11250" spans="1:3">
      <c r="A11250">
        <v>962310</v>
      </c>
      <c r="B11250">
        <v>2181935</v>
      </c>
      <c r="C11250" s="32">
        <v>43070.102766203701</v>
      </c>
    </row>
    <row r="11251" spans="1:3">
      <c r="A11251">
        <v>3948</v>
      </c>
      <c r="B11251">
        <v>570735</v>
      </c>
      <c r="C11251" s="32">
        <v>43072.492789351854</v>
      </c>
    </row>
    <row r="11252" spans="1:3">
      <c r="A11252">
        <v>854957</v>
      </c>
      <c r="B11252">
        <v>1299190</v>
      </c>
      <c r="C11252" s="32">
        <v>43071.609976851854</v>
      </c>
    </row>
    <row r="11253" spans="1:3">
      <c r="A11253">
        <v>1012704</v>
      </c>
      <c r="B11253">
        <v>982926</v>
      </c>
      <c r="C11253" s="32">
        <v>43072.599062499998</v>
      </c>
    </row>
    <row r="11254" spans="1:3">
      <c r="A11254">
        <v>162387</v>
      </c>
      <c r="B11254">
        <v>3300651</v>
      </c>
      <c r="C11254" s="32">
        <v>43071.51185185185</v>
      </c>
    </row>
    <row r="11255" spans="1:3">
      <c r="A11255">
        <v>323612</v>
      </c>
      <c r="B11255">
        <v>119741</v>
      </c>
      <c r="C11255" s="32">
        <v>43071.629745370374</v>
      </c>
    </row>
    <row r="11256" spans="1:3">
      <c r="A11256">
        <v>816949</v>
      </c>
      <c r="B11256">
        <v>1277731</v>
      </c>
      <c r="C11256" s="32">
        <v>43071.059502314813</v>
      </c>
    </row>
    <row r="11257" spans="1:3">
      <c r="A11257">
        <v>443113</v>
      </c>
      <c r="B11257">
        <v>2640118</v>
      </c>
      <c r="C11257" s="32">
        <v>43071.634780092594</v>
      </c>
    </row>
    <row r="11258" spans="1:3">
      <c r="A11258">
        <v>921642</v>
      </c>
      <c r="B11258">
        <v>4241245</v>
      </c>
      <c r="C11258" s="32">
        <v>43070.484502314815</v>
      </c>
    </row>
    <row r="11259" spans="1:3">
      <c r="A11259">
        <v>772225</v>
      </c>
      <c r="B11259">
        <v>4282670</v>
      </c>
      <c r="C11259" s="32">
        <v>43072.662118055552</v>
      </c>
    </row>
    <row r="11260" spans="1:3">
      <c r="A11260">
        <v>413405</v>
      </c>
      <c r="B11260">
        <v>3138705</v>
      </c>
      <c r="C11260" s="32">
        <v>43070.296296296299</v>
      </c>
    </row>
    <row r="11261" spans="1:3">
      <c r="A11261">
        <v>250400</v>
      </c>
      <c r="B11261">
        <v>108793</v>
      </c>
      <c r="C11261" s="32">
        <v>43072.236956018518</v>
      </c>
    </row>
    <row r="11262" spans="1:3">
      <c r="A11262">
        <v>347505</v>
      </c>
      <c r="B11262">
        <v>1320293</v>
      </c>
      <c r="C11262" s="32">
        <v>43071.662453703706</v>
      </c>
    </row>
    <row r="11263" spans="1:3">
      <c r="A11263">
        <v>583884</v>
      </c>
      <c r="B11263">
        <v>1171434</v>
      </c>
      <c r="C11263" s="32">
        <v>43072.611250000002</v>
      </c>
    </row>
    <row r="11264" spans="1:3">
      <c r="A11264">
        <v>257580</v>
      </c>
      <c r="B11264">
        <v>4643350</v>
      </c>
      <c r="C11264" s="32">
        <v>43072.071250000001</v>
      </c>
    </row>
    <row r="11265" spans="1:3">
      <c r="A11265">
        <v>973612</v>
      </c>
      <c r="B11265">
        <v>149192</v>
      </c>
      <c r="C11265" s="32">
        <v>43071.210601851853</v>
      </c>
    </row>
    <row r="11266" spans="1:3">
      <c r="A11266">
        <v>517707</v>
      </c>
      <c r="B11266">
        <v>5053508</v>
      </c>
      <c r="C11266" s="32">
        <v>43072.203587962962</v>
      </c>
    </row>
    <row r="11267" spans="1:3">
      <c r="A11267">
        <v>556485</v>
      </c>
      <c r="B11267">
        <v>901282</v>
      </c>
      <c r="C11267" s="32">
        <v>43070.084340277775</v>
      </c>
    </row>
    <row r="11268" spans="1:3">
      <c r="A11268">
        <v>100349</v>
      </c>
      <c r="B11268">
        <v>4181361</v>
      </c>
      <c r="C11268" s="32">
        <v>43071.574305555558</v>
      </c>
    </row>
    <row r="11269" spans="1:3">
      <c r="A11269">
        <v>9737</v>
      </c>
      <c r="B11269">
        <v>3398567</v>
      </c>
      <c r="C11269" s="32">
        <v>43072.029814814814</v>
      </c>
    </row>
    <row r="11270" spans="1:3">
      <c r="A11270">
        <v>882658</v>
      </c>
      <c r="B11270">
        <v>3607361</v>
      </c>
      <c r="C11270" s="32">
        <v>43070.353761574072</v>
      </c>
    </row>
    <row r="11271" spans="1:3">
      <c r="A11271">
        <v>581661</v>
      </c>
      <c r="B11271">
        <v>4145813</v>
      </c>
      <c r="C11271" s="32">
        <v>43070.530219907407</v>
      </c>
    </row>
    <row r="11272" spans="1:3">
      <c r="A11272">
        <v>582255</v>
      </c>
      <c r="B11272">
        <v>149192</v>
      </c>
      <c r="C11272" s="32">
        <v>43070.255949074075</v>
      </c>
    </row>
    <row r="11273" spans="1:3">
      <c r="A11273">
        <v>26811</v>
      </c>
      <c r="B11273">
        <v>5071267</v>
      </c>
      <c r="C11273" s="32">
        <v>43071.658703703702</v>
      </c>
    </row>
    <row r="11274" spans="1:3">
      <c r="A11274">
        <v>823183</v>
      </c>
      <c r="B11274">
        <v>432873</v>
      </c>
      <c r="C11274" s="32">
        <v>43072.596759259257</v>
      </c>
    </row>
    <row r="11275" spans="1:3">
      <c r="A11275">
        <v>194107</v>
      </c>
      <c r="B11275">
        <v>4827537</v>
      </c>
      <c r="C11275" s="32">
        <v>43072.208078703705</v>
      </c>
    </row>
    <row r="11276" spans="1:3">
      <c r="A11276">
        <v>182664</v>
      </c>
      <c r="B11276">
        <v>3616520</v>
      </c>
      <c r="C11276" s="32">
        <v>43071.395497685182</v>
      </c>
    </row>
    <row r="11277" spans="1:3">
      <c r="A11277">
        <v>615148</v>
      </c>
      <c r="B11277">
        <v>4376524</v>
      </c>
      <c r="C11277" s="32">
        <v>43070.576863425929</v>
      </c>
    </row>
    <row r="11278" spans="1:3">
      <c r="A11278">
        <v>56728</v>
      </c>
      <c r="B11278">
        <v>2939262</v>
      </c>
      <c r="C11278" s="32">
        <v>43071.593344907407</v>
      </c>
    </row>
    <row r="11279" spans="1:3">
      <c r="A11279">
        <v>840903</v>
      </c>
      <c r="B11279">
        <v>4756105</v>
      </c>
      <c r="C11279" s="32">
        <v>43070.12699074074</v>
      </c>
    </row>
    <row r="11280" spans="1:3">
      <c r="A11280">
        <v>745027</v>
      </c>
      <c r="B11280">
        <v>2735466</v>
      </c>
      <c r="C11280" s="32">
        <v>43071.468321759261</v>
      </c>
    </row>
    <row r="11281" spans="1:3">
      <c r="A11281">
        <v>373323</v>
      </c>
      <c r="B11281">
        <v>4358294</v>
      </c>
      <c r="C11281" s="32">
        <v>43071.646087962959</v>
      </c>
    </row>
    <row r="11282" spans="1:3">
      <c r="A11282">
        <v>515445</v>
      </c>
      <c r="B11282">
        <v>4145813</v>
      </c>
      <c r="C11282" s="32">
        <v>43070.549571759257</v>
      </c>
    </row>
    <row r="11283" spans="1:3">
      <c r="A11283">
        <v>163271</v>
      </c>
      <c r="B11283">
        <v>3607361</v>
      </c>
      <c r="C11283" s="32">
        <v>43071.914386574077</v>
      </c>
    </row>
    <row r="11284" spans="1:3">
      <c r="A11284">
        <v>829874</v>
      </c>
      <c r="B11284">
        <v>2920476</v>
      </c>
      <c r="C11284" s="32">
        <v>43071.162824074076</v>
      </c>
    </row>
    <row r="11285" spans="1:3">
      <c r="A11285">
        <v>515998</v>
      </c>
      <c r="B11285">
        <v>3002561</v>
      </c>
      <c r="C11285" s="32">
        <v>43069.874756944446</v>
      </c>
    </row>
    <row r="11286" spans="1:3">
      <c r="A11286">
        <v>248926</v>
      </c>
      <c r="B11286">
        <v>1464116</v>
      </c>
      <c r="C11286" s="32">
        <v>43071.492604166669</v>
      </c>
    </row>
    <row r="11287" spans="1:3">
      <c r="A11287">
        <v>346347</v>
      </c>
      <c r="B11287">
        <v>2891408</v>
      </c>
      <c r="C11287" s="32">
        <v>43070.385960648149</v>
      </c>
    </row>
    <row r="11288" spans="1:3">
      <c r="A11288">
        <v>163128</v>
      </c>
      <c r="B11288">
        <v>2355072</v>
      </c>
      <c r="C11288" s="32">
        <v>43071.192361111112</v>
      </c>
    </row>
    <row r="11289" spans="1:3">
      <c r="A11289">
        <v>268424</v>
      </c>
      <c r="B11289">
        <v>2885642</v>
      </c>
      <c r="C11289" s="32">
        <v>43072.19127314815</v>
      </c>
    </row>
    <row r="11290" spans="1:3">
      <c r="A11290">
        <v>224545</v>
      </c>
      <c r="B11290">
        <v>3747017</v>
      </c>
      <c r="C11290" s="32">
        <v>43072.105497685188</v>
      </c>
    </row>
    <row r="11291" spans="1:3">
      <c r="A11291">
        <v>847674</v>
      </c>
      <c r="B11291">
        <v>4801426</v>
      </c>
      <c r="C11291" s="32">
        <v>43070.789594907408</v>
      </c>
    </row>
    <row r="11292" spans="1:3">
      <c r="A11292">
        <v>899504</v>
      </c>
      <c r="B11292">
        <v>2287226</v>
      </c>
      <c r="C11292" s="32">
        <v>43071.457812499997</v>
      </c>
    </row>
    <row r="11293" spans="1:3">
      <c r="A11293">
        <v>28775</v>
      </c>
      <c r="B11293">
        <v>2926020</v>
      </c>
      <c r="C11293" s="32">
        <v>43070.559988425928</v>
      </c>
    </row>
    <row r="11294" spans="1:3">
      <c r="A11294">
        <v>548798</v>
      </c>
      <c r="B11294">
        <v>982926</v>
      </c>
      <c r="C11294" s="32">
        <v>43071.606909722221</v>
      </c>
    </row>
    <row r="11295" spans="1:3">
      <c r="A11295">
        <v>800711</v>
      </c>
      <c r="B11295">
        <v>1575622</v>
      </c>
      <c r="C11295" s="32">
        <v>43071.623437499999</v>
      </c>
    </row>
    <row r="11296" spans="1:3">
      <c r="A11296">
        <v>138564</v>
      </c>
      <c r="B11296">
        <v>4756105</v>
      </c>
      <c r="C11296" s="32">
        <v>43071.201956018522</v>
      </c>
    </row>
    <row r="11297" spans="1:3">
      <c r="A11297">
        <v>218875</v>
      </c>
      <c r="B11297">
        <v>1029459</v>
      </c>
      <c r="C11297" s="32">
        <v>43071.503969907404</v>
      </c>
    </row>
    <row r="11298" spans="1:3">
      <c r="A11298">
        <v>548587</v>
      </c>
      <c r="B11298">
        <v>1104592</v>
      </c>
      <c r="C11298" s="32">
        <v>43070.651064814818</v>
      </c>
    </row>
    <row r="11299" spans="1:3">
      <c r="A11299">
        <v>936820</v>
      </c>
      <c r="B11299">
        <v>4286569</v>
      </c>
      <c r="C11299" s="32">
        <v>43071.243263888886</v>
      </c>
    </row>
    <row r="11300" spans="1:3">
      <c r="A11300">
        <v>465421</v>
      </c>
      <c r="B11300">
        <v>982926</v>
      </c>
      <c r="C11300" s="32">
        <v>43072.127685185187</v>
      </c>
    </row>
    <row r="11301" spans="1:3">
      <c r="A11301">
        <v>568218</v>
      </c>
      <c r="B11301">
        <v>982926</v>
      </c>
      <c r="C11301" s="32">
        <v>43071.28087962963</v>
      </c>
    </row>
    <row r="11302" spans="1:3">
      <c r="A11302">
        <v>581721</v>
      </c>
      <c r="B11302">
        <v>149192</v>
      </c>
      <c r="C11302" s="32">
        <v>43072.011423611111</v>
      </c>
    </row>
    <row r="11303" spans="1:3">
      <c r="A11303">
        <v>709762</v>
      </c>
      <c r="B11303">
        <v>965809</v>
      </c>
      <c r="C11303" s="32">
        <v>43071.735856481479</v>
      </c>
    </row>
    <row r="11304" spans="1:3">
      <c r="A11304">
        <v>245869</v>
      </c>
      <c r="B11304">
        <v>4743234</v>
      </c>
      <c r="C11304" s="32">
        <v>43072.563101851854</v>
      </c>
    </row>
    <row r="11305" spans="1:3">
      <c r="A11305">
        <v>199608</v>
      </c>
      <c r="B11305">
        <v>3065645</v>
      </c>
      <c r="C11305" s="32">
        <v>43071.653460648151</v>
      </c>
    </row>
    <row r="11306" spans="1:3">
      <c r="A11306">
        <v>592043</v>
      </c>
      <c r="B11306">
        <v>174239</v>
      </c>
      <c r="C11306" s="32">
        <v>43070.468113425923</v>
      </c>
    </row>
    <row r="11307" spans="1:3">
      <c r="A11307">
        <v>836086</v>
      </c>
      <c r="B11307">
        <v>672001</v>
      </c>
      <c r="C11307" s="32">
        <v>43070.233298611114</v>
      </c>
    </row>
    <row r="11308" spans="1:3">
      <c r="A11308">
        <v>481397</v>
      </c>
      <c r="B11308">
        <v>4217906</v>
      </c>
      <c r="C11308" s="32">
        <v>43070.383530092593</v>
      </c>
    </row>
    <row r="11309" spans="1:3">
      <c r="A11309">
        <v>767650</v>
      </c>
      <c r="B11309">
        <v>4170419</v>
      </c>
      <c r="C11309" s="32">
        <v>43072.023587962962</v>
      </c>
    </row>
    <row r="11310" spans="1:3">
      <c r="A11310">
        <v>26875</v>
      </c>
      <c r="B11310">
        <v>3002561</v>
      </c>
      <c r="C11310" s="32">
        <v>43071.478842592594</v>
      </c>
    </row>
    <row r="11311" spans="1:3">
      <c r="A11311">
        <v>150929</v>
      </c>
      <c r="B11311">
        <v>154040</v>
      </c>
      <c r="C11311" s="32">
        <v>43069.841331018521</v>
      </c>
    </row>
    <row r="11312" spans="1:3">
      <c r="A11312">
        <v>234423</v>
      </c>
      <c r="B11312">
        <v>3158249</v>
      </c>
      <c r="C11312" s="32">
        <v>43070.384456018517</v>
      </c>
    </row>
    <row r="11313" spans="1:3">
      <c r="A11313">
        <v>301390</v>
      </c>
      <c r="B11313">
        <v>4217906</v>
      </c>
      <c r="C11313" s="32">
        <v>43070.444733796299</v>
      </c>
    </row>
    <row r="11314" spans="1:3">
      <c r="A11314">
        <v>483612</v>
      </c>
      <c r="B11314">
        <v>2520377</v>
      </c>
      <c r="C11314" s="32">
        <v>43072.418900462966</v>
      </c>
    </row>
    <row r="11315" spans="1:3">
      <c r="A11315">
        <v>469272</v>
      </c>
      <c r="B11315">
        <v>2590256</v>
      </c>
      <c r="C11315" s="32">
        <v>43072.489814814813</v>
      </c>
    </row>
    <row r="11316" spans="1:3">
      <c r="A11316">
        <v>410867</v>
      </c>
      <c r="B11316">
        <v>2465336</v>
      </c>
      <c r="C11316" s="32">
        <v>43072.510937500003</v>
      </c>
    </row>
    <row r="11317" spans="1:3">
      <c r="A11317">
        <v>682369</v>
      </c>
      <c r="B11317">
        <v>4145813</v>
      </c>
      <c r="C11317" s="32">
        <v>43072.61278935185</v>
      </c>
    </row>
    <row r="11318" spans="1:3">
      <c r="A11318">
        <v>527132</v>
      </c>
      <c r="B11318">
        <v>462791</v>
      </c>
      <c r="C11318" s="32">
        <v>43072.215694444443</v>
      </c>
    </row>
    <row r="11319" spans="1:3">
      <c r="A11319">
        <v>270368</v>
      </c>
      <c r="B11319">
        <v>982926</v>
      </c>
      <c r="C11319" s="32">
        <v>43070.33489583333</v>
      </c>
    </row>
    <row r="11320" spans="1:3">
      <c r="A11320">
        <v>612244</v>
      </c>
      <c r="B11320">
        <v>3598912</v>
      </c>
      <c r="C11320" s="32">
        <v>43071.663298611114</v>
      </c>
    </row>
    <row r="11321" spans="1:3">
      <c r="A11321">
        <v>1007752</v>
      </c>
      <c r="B11321">
        <v>4357323</v>
      </c>
      <c r="C11321" s="32">
        <v>43071.466180555559</v>
      </c>
    </row>
    <row r="11322" spans="1:3">
      <c r="A11322">
        <v>391086</v>
      </c>
      <c r="B11322">
        <v>4756105</v>
      </c>
      <c r="C11322" s="32">
        <v>43070.129930555559</v>
      </c>
    </row>
    <row r="11323" spans="1:3">
      <c r="A11323">
        <v>257980</v>
      </c>
      <c r="B11323">
        <v>2939262</v>
      </c>
      <c r="C11323" s="32">
        <v>43072.350208333337</v>
      </c>
    </row>
    <row r="11324" spans="1:3">
      <c r="A11324">
        <v>888794</v>
      </c>
      <c r="B11324">
        <v>3065645</v>
      </c>
      <c r="C11324" s="32">
        <v>43071.652627314812</v>
      </c>
    </row>
    <row r="11325" spans="1:3">
      <c r="A11325">
        <v>790288</v>
      </c>
      <c r="B11325">
        <v>1879194</v>
      </c>
      <c r="C11325" s="32">
        <v>43072.171226851853</v>
      </c>
    </row>
    <row r="11326" spans="1:3">
      <c r="A11326">
        <v>47236</v>
      </c>
      <c r="B11326">
        <v>570735</v>
      </c>
      <c r="C11326" s="32">
        <v>43072.39770833333</v>
      </c>
    </row>
    <row r="11327" spans="1:3">
      <c r="A11327">
        <v>237042</v>
      </c>
      <c r="B11327">
        <v>982926</v>
      </c>
      <c r="C11327" s="32">
        <v>43071.581805555557</v>
      </c>
    </row>
    <row r="11328" spans="1:3">
      <c r="A11328">
        <v>420642</v>
      </c>
      <c r="B11328">
        <v>4696710</v>
      </c>
      <c r="C11328" s="32">
        <v>43071.135358796295</v>
      </c>
    </row>
    <row r="11329" spans="1:3">
      <c r="A11329">
        <v>675742</v>
      </c>
      <c r="B11329">
        <v>2520377</v>
      </c>
      <c r="C11329" s="32">
        <v>43071.964155092595</v>
      </c>
    </row>
    <row r="11330" spans="1:3">
      <c r="A11330">
        <v>890702</v>
      </c>
      <c r="B11330">
        <v>2465336</v>
      </c>
      <c r="C11330" s="32">
        <v>43070.049537037034</v>
      </c>
    </row>
    <row r="11331" spans="1:3">
      <c r="A11331">
        <v>647275</v>
      </c>
      <c r="B11331">
        <v>2572604</v>
      </c>
      <c r="C11331" s="32">
        <v>43070.540844907409</v>
      </c>
    </row>
    <row r="11332" spans="1:3">
      <c r="A11332">
        <v>790107</v>
      </c>
      <c r="B11332">
        <v>1573426</v>
      </c>
      <c r="C11332" s="32">
        <v>43071.347372685188</v>
      </c>
    </row>
    <row r="11333" spans="1:3">
      <c r="A11333">
        <v>599571</v>
      </c>
      <c r="B11333">
        <v>3738615</v>
      </c>
      <c r="C11333" s="32">
        <v>43070.647037037037</v>
      </c>
    </row>
    <row r="11334" spans="1:3">
      <c r="A11334">
        <v>839089</v>
      </c>
      <c r="B11334">
        <v>883960</v>
      </c>
      <c r="C11334" s="32">
        <v>43070.504571759258</v>
      </c>
    </row>
    <row r="11335" spans="1:3">
      <c r="A11335">
        <v>626729</v>
      </c>
      <c r="B11335">
        <v>1165503</v>
      </c>
      <c r="C11335" s="32">
        <v>43071.497523148151</v>
      </c>
    </row>
    <row r="11336" spans="1:3">
      <c r="A11336">
        <v>757677</v>
      </c>
      <c r="B11336">
        <v>4022701</v>
      </c>
      <c r="C11336" s="32">
        <v>43071.162800925929</v>
      </c>
    </row>
    <row r="11337" spans="1:3">
      <c r="A11337">
        <v>477000</v>
      </c>
      <c r="B11337">
        <v>1859277</v>
      </c>
      <c r="C11337" s="32">
        <v>43072.46266203704</v>
      </c>
    </row>
    <row r="11338" spans="1:3">
      <c r="A11338">
        <v>582406</v>
      </c>
      <c r="B11338">
        <v>2693696</v>
      </c>
      <c r="C11338" s="32">
        <v>43071.360069444447</v>
      </c>
    </row>
    <row r="11339" spans="1:3">
      <c r="A11339">
        <v>367339</v>
      </c>
      <c r="B11339">
        <v>2217187</v>
      </c>
      <c r="C11339" s="32">
        <v>43071.111643518518</v>
      </c>
    </row>
    <row r="11340" spans="1:3">
      <c r="A11340">
        <v>379857</v>
      </c>
      <c r="B11340">
        <v>401357</v>
      </c>
      <c r="C11340" s="32">
        <v>43071.678703703707</v>
      </c>
    </row>
    <row r="11341" spans="1:3">
      <c r="A11341">
        <v>410015</v>
      </c>
      <c r="B11341">
        <v>3879308</v>
      </c>
      <c r="C11341" s="32">
        <v>43071.106550925928</v>
      </c>
    </row>
    <row r="11342" spans="1:3">
      <c r="A11342">
        <v>347578</v>
      </c>
      <c r="B11342">
        <v>1080785</v>
      </c>
      <c r="C11342" s="32">
        <v>43070.359409722223</v>
      </c>
    </row>
    <row r="11343" spans="1:3">
      <c r="A11343">
        <v>876636</v>
      </c>
      <c r="B11343">
        <v>672001</v>
      </c>
      <c r="C11343" s="32">
        <v>43070.255462962959</v>
      </c>
    </row>
    <row r="11344" spans="1:3">
      <c r="A11344">
        <v>28449</v>
      </c>
      <c r="B11344">
        <v>4756105</v>
      </c>
      <c r="C11344" s="32">
        <v>43071.61273148148</v>
      </c>
    </row>
    <row r="11345" spans="1:3">
      <c r="A11345">
        <v>793772</v>
      </c>
      <c r="B11345">
        <v>3189935</v>
      </c>
      <c r="C11345" s="32">
        <v>43072.321342592593</v>
      </c>
    </row>
    <row r="11346" spans="1:3">
      <c r="A11346">
        <v>249764</v>
      </c>
      <c r="B11346">
        <v>4756105</v>
      </c>
      <c r="C11346" s="32">
        <v>43071.535624999997</v>
      </c>
    </row>
    <row r="11347" spans="1:3">
      <c r="A11347">
        <v>391433</v>
      </c>
      <c r="B11347">
        <v>2885642</v>
      </c>
      <c r="C11347" s="32">
        <v>43072.01935185185</v>
      </c>
    </row>
    <row r="11348" spans="1:3">
      <c r="A11348">
        <v>994692</v>
      </c>
      <c r="B11348">
        <v>3208959</v>
      </c>
      <c r="C11348" s="32">
        <v>43069.743414351855</v>
      </c>
    </row>
    <row r="11349" spans="1:3">
      <c r="A11349">
        <v>686848</v>
      </c>
      <c r="B11349">
        <v>1467750</v>
      </c>
      <c r="C11349" s="32">
        <v>43072.489687499998</v>
      </c>
    </row>
    <row r="11350" spans="1:3">
      <c r="A11350">
        <v>410252</v>
      </c>
      <c r="B11350">
        <v>3924783</v>
      </c>
      <c r="C11350" s="32">
        <v>43071.081041666665</v>
      </c>
    </row>
    <row r="11351" spans="1:3">
      <c r="A11351">
        <v>433096</v>
      </c>
      <c r="B11351">
        <v>1320293</v>
      </c>
      <c r="C11351" s="32">
        <v>43070.512569444443</v>
      </c>
    </row>
    <row r="11352" spans="1:3">
      <c r="A11352">
        <v>969844</v>
      </c>
      <c r="B11352">
        <v>2355072</v>
      </c>
      <c r="C11352" s="32">
        <v>43071.615416666667</v>
      </c>
    </row>
    <row r="11353" spans="1:3">
      <c r="A11353">
        <v>299620</v>
      </c>
      <c r="B11353">
        <v>4966058</v>
      </c>
      <c r="C11353" s="32">
        <v>43072.240983796299</v>
      </c>
    </row>
    <row r="11354" spans="1:3">
      <c r="A11354">
        <v>319505</v>
      </c>
      <c r="B11354">
        <v>3607361</v>
      </c>
      <c r="C11354" s="32">
        <v>43070.629594907405</v>
      </c>
    </row>
    <row r="11355" spans="1:3">
      <c r="A11355">
        <v>556705</v>
      </c>
      <c r="B11355">
        <v>1102540</v>
      </c>
      <c r="C11355" s="32">
        <v>43070.505127314813</v>
      </c>
    </row>
    <row r="11356" spans="1:3">
      <c r="A11356">
        <v>454987</v>
      </c>
      <c r="B11356">
        <v>4181361</v>
      </c>
      <c r="C11356" s="32">
        <v>43070.766273148147</v>
      </c>
    </row>
    <row r="11357" spans="1:3">
      <c r="A11357">
        <v>301369</v>
      </c>
      <c r="B11357">
        <v>1787510</v>
      </c>
      <c r="C11357" s="32">
        <v>43070.599907407406</v>
      </c>
    </row>
    <row r="11358" spans="1:3">
      <c r="A11358">
        <v>219691</v>
      </c>
      <c r="B11358">
        <v>551706</v>
      </c>
      <c r="C11358" s="32">
        <v>43070.3440162037</v>
      </c>
    </row>
    <row r="11359" spans="1:3">
      <c r="A11359">
        <v>329857</v>
      </c>
      <c r="B11359">
        <v>2096639</v>
      </c>
      <c r="C11359" s="32">
        <v>43070.635127314818</v>
      </c>
    </row>
    <row r="11360" spans="1:3">
      <c r="A11360">
        <v>387826</v>
      </c>
      <c r="B11360">
        <v>4145813</v>
      </c>
      <c r="C11360" s="32">
        <v>43071.371967592589</v>
      </c>
    </row>
    <row r="11361" spans="1:3">
      <c r="A11361">
        <v>987612</v>
      </c>
      <c r="B11361">
        <v>3607361</v>
      </c>
      <c r="C11361" s="32">
        <v>43071.536909722221</v>
      </c>
    </row>
    <row r="11362" spans="1:3">
      <c r="A11362">
        <v>705652</v>
      </c>
      <c r="B11362">
        <v>4864403</v>
      </c>
      <c r="C11362" s="32">
        <v>43072.580937500003</v>
      </c>
    </row>
    <row r="11363" spans="1:3">
      <c r="A11363">
        <v>752044</v>
      </c>
      <c r="B11363">
        <v>4217906</v>
      </c>
      <c r="C11363" s="32">
        <v>43071.656006944446</v>
      </c>
    </row>
    <row r="11364" spans="1:3">
      <c r="A11364">
        <v>724781</v>
      </c>
      <c r="B11364">
        <v>4208912</v>
      </c>
      <c r="C11364" s="32">
        <v>43071.588101851848</v>
      </c>
    </row>
    <row r="11365" spans="1:3">
      <c r="A11365">
        <v>604862</v>
      </c>
      <c r="B11365">
        <v>4615159</v>
      </c>
      <c r="C11365" s="32">
        <v>43071.17355324074</v>
      </c>
    </row>
    <row r="11366" spans="1:3">
      <c r="A11366">
        <v>10304</v>
      </c>
      <c r="B11366">
        <v>405755</v>
      </c>
      <c r="C11366" s="32">
        <v>43072.377465277779</v>
      </c>
    </row>
    <row r="11367" spans="1:3">
      <c r="A11367">
        <v>729340</v>
      </c>
      <c r="B11367">
        <v>4794845</v>
      </c>
      <c r="C11367" s="32">
        <v>43070.561898148146</v>
      </c>
    </row>
    <row r="11368" spans="1:3">
      <c r="A11368">
        <v>593170</v>
      </c>
      <c r="B11368">
        <v>1299190</v>
      </c>
      <c r="C11368" s="32">
        <v>43072.552187499998</v>
      </c>
    </row>
    <row r="11369" spans="1:3">
      <c r="A11369">
        <v>154375</v>
      </c>
      <c r="B11369">
        <v>4722263</v>
      </c>
      <c r="C11369" s="32">
        <v>43071.638437499998</v>
      </c>
    </row>
    <row r="11370" spans="1:3">
      <c r="A11370">
        <v>540405</v>
      </c>
      <c r="B11370">
        <v>4743234</v>
      </c>
      <c r="C11370" s="32">
        <v>43072.286249999997</v>
      </c>
    </row>
    <row r="11371" spans="1:3">
      <c r="A11371">
        <v>270054</v>
      </c>
      <c r="B11371">
        <v>3004853</v>
      </c>
      <c r="C11371" s="32">
        <v>43072.290416666663</v>
      </c>
    </row>
    <row r="11372" spans="1:3">
      <c r="A11372">
        <v>875772</v>
      </c>
      <c r="B11372">
        <v>4051859</v>
      </c>
      <c r="C11372" s="32">
        <v>43071.14230324074</v>
      </c>
    </row>
    <row r="11373" spans="1:3">
      <c r="A11373">
        <v>9602</v>
      </c>
      <c r="B11373">
        <v>3616520</v>
      </c>
      <c r="C11373" s="32">
        <v>43071.64162037037</v>
      </c>
    </row>
    <row r="11374" spans="1:3">
      <c r="A11374">
        <v>940746</v>
      </c>
      <c r="B11374">
        <v>4217906</v>
      </c>
      <c r="C11374" s="32">
        <v>43072.018125000002</v>
      </c>
    </row>
    <row r="11375" spans="1:3">
      <c r="A11375">
        <v>308062</v>
      </c>
      <c r="B11375">
        <v>154040</v>
      </c>
      <c r="C11375" s="32">
        <v>43072.565092592595</v>
      </c>
    </row>
    <row r="11376" spans="1:3">
      <c r="A11376">
        <v>468904</v>
      </c>
      <c r="B11376">
        <v>4069500</v>
      </c>
      <c r="C11376" s="32">
        <v>43072.310497685183</v>
      </c>
    </row>
    <row r="11377" spans="1:3">
      <c r="A11377">
        <v>881134</v>
      </c>
      <c r="B11377">
        <v>344833</v>
      </c>
      <c r="C11377" s="32">
        <v>43070.952499999999</v>
      </c>
    </row>
    <row r="11378" spans="1:3">
      <c r="A11378">
        <v>745766</v>
      </c>
      <c r="B11378">
        <v>2896142</v>
      </c>
      <c r="C11378" s="32">
        <v>43070.220011574071</v>
      </c>
    </row>
    <row r="11379" spans="1:3">
      <c r="A11379">
        <v>20654</v>
      </c>
      <c r="B11379">
        <v>4145813</v>
      </c>
      <c r="C11379" s="32">
        <v>43072.657280092593</v>
      </c>
    </row>
    <row r="11380" spans="1:3">
      <c r="A11380">
        <v>866670</v>
      </c>
      <c r="B11380">
        <v>3547172</v>
      </c>
      <c r="C11380" s="32">
        <v>43070.549305555556</v>
      </c>
    </row>
    <row r="11381" spans="1:3">
      <c r="A11381">
        <v>698483</v>
      </c>
      <c r="B11381">
        <v>4462359</v>
      </c>
      <c r="C11381" s="32">
        <v>43069.977407407408</v>
      </c>
    </row>
    <row r="11382" spans="1:3">
      <c r="A11382">
        <v>161834</v>
      </c>
      <c r="B11382">
        <v>2735466</v>
      </c>
      <c r="C11382" s="32">
        <v>43072.59170138889</v>
      </c>
    </row>
    <row r="11383" spans="1:3">
      <c r="A11383">
        <v>859665</v>
      </c>
      <c r="B11383">
        <v>2877672</v>
      </c>
      <c r="C11383" s="32">
        <v>43072.501030092593</v>
      </c>
    </row>
    <row r="11384" spans="1:3">
      <c r="A11384">
        <v>45187</v>
      </c>
      <c r="B11384">
        <v>1073768</v>
      </c>
      <c r="C11384" s="32">
        <v>43070.141099537039</v>
      </c>
    </row>
    <row r="11385" spans="1:3">
      <c r="A11385">
        <v>116420</v>
      </c>
      <c r="B11385">
        <v>2154867</v>
      </c>
      <c r="C11385" s="32">
        <v>43071.674641203703</v>
      </c>
    </row>
    <row r="11386" spans="1:3">
      <c r="A11386">
        <v>177189</v>
      </c>
      <c r="B11386">
        <v>4145813</v>
      </c>
      <c r="C11386" s="32">
        <v>43070.508043981485</v>
      </c>
    </row>
    <row r="11387" spans="1:3">
      <c r="A11387">
        <v>88366</v>
      </c>
      <c r="B11387">
        <v>863375</v>
      </c>
      <c r="C11387" s="32">
        <v>43071.113611111112</v>
      </c>
    </row>
    <row r="11388" spans="1:3">
      <c r="A11388">
        <v>645252</v>
      </c>
      <c r="B11388">
        <v>5028877</v>
      </c>
      <c r="C11388" s="32">
        <v>43072.375590277778</v>
      </c>
    </row>
    <row r="11389" spans="1:3">
      <c r="A11389">
        <v>945986</v>
      </c>
      <c r="B11389">
        <v>1265358</v>
      </c>
      <c r="C11389" s="32">
        <v>43071.543958333335</v>
      </c>
    </row>
    <row r="11390" spans="1:3">
      <c r="A11390">
        <v>158433</v>
      </c>
      <c r="B11390">
        <v>4284875</v>
      </c>
      <c r="C11390" s="32">
        <v>43071.358622685184</v>
      </c>
    </row>
    <row r="11391" spans="1:3">
      <c r="A11391">
        <v>146708</v>
      </c>
      <c r="B11391">
        <v>2735466</v>
      </c>
      <c r="C11391" s="32">
        <v>43071.574270833335</v>
      </c>
    </row>
    <row r="11392" spans="1:3">
      <c r="A11392">
        <v>276041</v>
      </c>
      <c r="B11392">
        <v>2640118</v>
      </c>
      <c r="C11392" s="32">
        <v>43072.363946759258</v>
      </c>
    </row>
    <row r="11393" spans="1:3">
      <c r="A11393">
        <v>726867</v>
      </c>
      <c r="B11393">
        <v>2926020</v>
      </c>
      <c r="C11393" s="32">
        <v>43072.576006944444</v>
      </c>
    </row>
    <row r="11394" spans="1:3">
      <c r="A11394">
        <v>508038</v>
      </c>
      <c r="B11394">
        <v>2640118</v>
      </c>
      <c r="C11394" s="32">
        <v>43070.968576388892</v>
      </c>
    </row>
    <row r="11395" spans="1:3">
      <c r="A11395">
        <v>780134</v>
      </c>
      <c r="B11395">
        <v>411153</v>
      </c>
      <c r="C11395" s="32">
        <v>43072.392430555556</v>
      </c>
    </row>
    <row r="11396" spans="1:3">
      <c r="A11396">
        <v>841305</v>
      </c>
      <c r="B11396">
        <v>4284875</v>
      </c>
      <c r="C11396" s="32">
        <v>43072.574999999997</v>
      </c>
    </row>
    <row r="11397" spans="1:3">
      <c r="A11397">
        <v>955685</v>
      </c>
      <c r="B11397">
        <v>50601</v>
      </c>
      <c r="C11397" s="32">
        <v>43072.332824074074</v>
      </c>
    </row>
    <row r="11398" spans="1:3">
      <c r="A11398">
        <v>131522</v>
      </c>
      <c r="B11398">
        <v>4756105</v>
      </c>
      <c r="C11398" s="32">
        <v>43069.95516203704</v>
      </c>
    </row>
    <row r="11399" spans="1:3">
      <c r="A11399">
        <v>974949</v>
      </c>
      <c r="B11399">
        <v>858800</v>
      </c>
      <c r="C11399" s="32">
        <v>43070.908761574072</v>
      </c>
    </row>
    <row r="11400" spans="1:3">
      <c r="A11400">
        <v>348841</v>
      </c>
      <c r="B11400">
        <v>739426</v>
      </c>
      <c r="C11400" s="32">
        <v>43071.56753472222</v>
      </c>
    </row>
    <row r="11401" spans="1:3">
      <c r="A11401">
        <v>353205</v>
      </c>
      <c r="B11401">
        <v>307943</v>
      </c>
      <c r="C11401" s="32">
        <v>43072.408958333333</v>
      </c>
    </row>
    <row r="11402" spans="1:3">
      <c r="A11402">
        <v>573249</v>
      </c>
      <c r="B11402">
        <v>3598912</v>
      </c>
      <c r="C11402" s="32">
        <v>43072.281064814815</v>
      </c>
    </row>
    <row r="11403" spans="1:3">
      <c r="A11403">
        <v>769302</v>
      </c>
      <c r="B11403">
        <v>4756105</v>
      </c>
      <c r="C11403" s="32">
        <v>43070.310358796298</v>
      </c>
    </row>
    <row r="11404" spans="1:3">
      <c r="A11404">
        <v>358363</v>
      </c>
      <c r="B11404">
        <v>982926</v>
      </c>
      <c r="C11404" s="32">
        <v>43069.967766203707</v>
      </c>
    </row>
    <row r="11405" spans="1:3">
      <c r="A11405">
        <v>563377</v>
      </c>
      <c r="B11405">
        <v>982926</v>
      </c>
      <c r="C11405" s="32">
        <v>43071.533194444448</v>
      </c>
    </row>
    <row r="11406" spans="1:3">
      <c r="A11406">
        <v>886880</v>
      </c>
      <c r="B11406">
        <v>2355072</v>
      </c>
      <c r="C11406" s="32">
        <v>43070.619074074071</v>
      </c>
    </row>
    <row r="11407" spans="1:3">
      <c r="A11407">
        <v>826895</v>
      </c>
      <c r="B11407">
        <v>4801426</v>
      </c>
      <c r="C11407" s="32">
        <v>43070.100486111114</v>
      </c>
    </row>
    <row r="11408" spans="1:3">
      <c r="A11408">
        <v>701435</v>
      </c>
      <c r="B11408">
        <v>235534</v>
      </c>
      <c r="C11408" s="32">
        <v>43070.036435185182</v>
      </c>
    </row>
    <row r="11409" spans="1:3">
      <c r="A11409">
        <v>901317</v>
      </c>
      <c r="B11409">
        <v>245312</v>
      </c>
      <c r="C11409" s="32">
        <v>43071.213599537034</v>
      </c>
    </row>
    <row r="11410" spans="1:3">
      <c r="A11410">
        <v>231108</v>
      </c>
      <c r="B11410">
        <v>4242717</v>
      </c>
      <c r="C11410" s="32">
        <v>43071.14199074074</v>
      </c>
    </row>
    <row r="11411" spans="1:3">
      <c r="A11411">
        <v>75030</v>
      </c>
      <c r="B11411">
        <v>982926</v>
      </c>
      <c r="C11411" s="32">
        <v>43070.691666666666</v>
      </c>
    </row>
    <row r="11412" spans="1:3">
      <c r="A11412">
        <v>277261</v>
      </c>
      <c r="B11412">
        <v>4357323</v>
      </c>
      <c r="C11412" s="32">
        <v>43071.551493055558</v>
      </c>
    </row>
    <row r="11413" spans="1:3">
      <c r="A11413">
        <v>674682</v>
      </c>
      <c r="B11413">
        <v>1733868</v>
      </c>
      <c r="C11413" s="32">
        <v>43072.448784722219</v>
      </c>
    </row>
    <row r="11414" spans="1:3">
      <c r="A11414">
        <v>860613</v>
      </c>
      <c r="B11414">
        <v>4551297</v>
      </c>
      <c r="C11414" s="32">
        <v>43072.504259259258</v>
      </c>
    </row>
    <row r="11415" spans="1:3">
      <c r="A11415">
        <v>616070</v>
      </c>
      <c r="B11415">
        <v>3299155</v>
      </c>
      <c r="C11415" s="32">
        <v>43072.37054398148</v>
      </c>
    </row>
    <row r="11416" spans="1:3">
      <c r="A11416">
        <v>439722</v>
      </c>
      <c r="B11416">
        <v>1349561</v>
      </c>
      <c r="C11416" s="32">
        <v>43070.734432870369</v>
      </c>
    </row>
    <row r="11417" spans="1:3">
      <c r="A11417">
        <v>934472</v>
      </c>
      <c r="B11417">
        <v>4145813</v>
      </c>
      <c r="C11417" s="32">
        <v>43070.278668981482</v>
      </c>
    </row>
    <row r="11418" spans="1:3">
      <c r="A11418">
        <v>470388</v>
      </c>
      <c r="B11418">
        <v>2465336</v>
      </c>
      <c r="C11418" s="32">
        <v>43071.113900462966</v>
      </c>
    </row>
    <row r="11419" spans="1:3">
      <c r="A11419">
        <v>646965</v>
      </c>
      <c r="B11419">
        <v>2520377</v>
      </c>
      <c r="C11419" s="32">
        <v>43072.256064814814</v>
      </c>
    </row>
    <row r="11420" spans="1:3">
      <c r="A11420">
        <v>41453</v>
      </c>
      <c r="B11420">
        <v>1464116</v>
      </c>
      <c r="C11420" s="32">
        <v>43072.355081018519</v>
      </c>
    </row>
    <row r="11421" spans="1:3">
      <c r="A11421">
        <v>369512</v>
      </c>
      <c r="B11421">
        <v>2885642</v>
      </c>
      <c r="C11421" s="32">
        <v>43072.015520833331</v>
      </c>
    </row>
    <row r="11422" spans="1:3">
      <c r="A11422">
        <v>248465</v>
      </c>
      <c r="B11422">
        <v>1299190</v>
      </c>
      <c r="C11422" s="32">
        <v>43071.463854166665</v>
      </c>
    </row>
    <row r="11423" spans="1:3">
      <c r="A11423">
        <v>637958</v>
      </c>
      <c r="B11423">
        <v>2649368</v>
      </c>
      <c r="C11423" s="32">
        <v>43072.267048611109</v>
      </c>
    </row>
    <row r="11424" spans="1:3">
      <c r="A11424">
        <v>712066</v>
      </c>
      <c r="B11424">
        <v>4181361</v>
      </c>
      <c r="C11424" s="32">
        <v>43072.237314814818</v>
      </c>
    </row>
    <row r="11425" spans="1:3">
      <c r="A11425">
        <v>779763</v>
      </c>
      <c r="B11425">
        <v>1029459</v>
      </c>
      <c r="C11425" s="32">
        <v>43071.552337962959</v>
      </c>
    </row>
    <row r="11426" spans="1:3">
      <c r="A11426">
        <v>484960</v>
      </c>
      <c r="B11426">
        <v>284968</v>
      </c>
      <c r="C11426" s="32">
        <v>43070.288402777776</v>
      </c>
    </row>
    <row r="11427" spans="1:3">
      <c r="A11427">
        <v>37883</v>
      </c>
      <c r="B11427">
        <v>3607361</v>
      </c>
      <c r="C11427" s="32">
        <v>43072.581261574072</v>
      </c>
    </row>
    <row r="11428" spans="1:3">
      <c r="A11428">
        <v>565571</v>
      </c>
      <c r="B11428">
        <v>4756105</v>
      </c>
      <c r="C11428" s="32">
        <v>43071.035150462965</v>
      </c>
    </row>
    <row r="11429" spans="1:3">
      <c r="A11429">
        <v>413296</v>
      </c>
      <c r="B11429">
        <v>883960</v>
      </c>
      <c r="C11429" s="32">
        <v>43071.845254629632</v>
      </c>
    </row>
    <row r="11430" spans="1:3">
      <c r="A11430">
        <v>303472</v>
      </c>
      <c r="B11430">
        <v>105137</v>
      </c>
      <c r="C11430" s="32">
        <v>43071.524305555555</v>
      </c>
    </row>
    <row r="11431" spans="1:3">
      <c r="A11431">
        <v>486269</v>
      </c>
      <c r="B11431">
        <v>4145813</v>
      </c>
      <c r="C11431" s="32">
        <v>43070.429247685184</v>
      </c>
    </row>
    <row r="11432" spans="1:3">
      <c r="A11432">
        <v>111625</v>
      </c>
      <c r="B11432">
        <v>3720767</v>
      </c>
      <c r="C11432" s="32">
        <v>43070.509525462963</v>
      </c>
    </row>
    <row r="11433" spans="1:3">
      <c r="A11433">
        <v>974148</v>
      </c>
      <c r="B11433">
        <v>4784134</v>
      </c>
      <c r="C11433" s="32">
        <v>43071.257233796299</v>
      </c>
    </row>
    <row r="11434" spans="1:3">
      <c r="A11434">
        <v>297961</v>
      </c>
      <c r="B11434">
        <v>381850</v>
      </c>
      <c r="C11434" s="32">
        <v>43072.47320601852</v>
      </c>
    </row>
    <row r="11435" spans="1:3">
      <c r="A11435">
        <v>157315</v>
      </c>
      <c r="B11435">
        <v>4606718</v>
      </c>
      <c r="C11435" s="32">
        <v>43070.459722222222</v>
      </c>
    </row>
    <row r="11436" spans="1:3">
      <c r="A11436">
        <v>246922</v>
      </c>
      <c r="B11436">
        <v>2465336</v>
      </c>
      <c r="C11436" s="32">
        <v>43070.496365740742</v>
      </c>
    </row>
    <row r="11437" spans="1:3">
      <c r="A11437">
        <v>547933</v>
      </c>
      <c r="B11437">
        <v>1320293</v>
      </c>
      <c r="C11437" s="32">
        <v>43072.024930555555</v>
      </c>
    </row>
    <row r="11438" spans="1:3">
      <c r="A11438">
        <v>665826</v>
      </c>
      <c r="B11438">
        <v>2355072</v>
      </c>
      <c r="C11438" s="32">
        <v>43072.192372685182</v>
      </c>
    </row>
    <row r="11439" spans="1:3">
      <c r="A11439">
        <v>523865</v>
      </c>
      <c r="B11439">
        <v>1575622</v>
      </c>
      <c r="C11439" s="32">
        <v>43072.213101851848</v>
      </c>
    </row>
    <row r="11440" spans="1:3">
      <c r="A11440">
        <v>675800</v>
      </c>
      <c r="B11440">
        <v>4784134</v>
      </c>
      <c r="C11440" s="32">
        <v>43069.766250000001</v>
      </c>
    </row>
    <row r="11441" spans="1:3">
      <c r="A11441">
        <v>53669</v>
      </c>
      <c r="B11441">
        <v>1673021</v>
      </c>
      <c r="C11441" s="32">
        <v>43071.067789351851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203AF-D770-4F2A-9714-364D3A1E9AB3}">
  <dimension ref="A1:F7"/>
  <sheetViews>
    <sheetView workbookViewId="0">
      <selection sqref="A1:F2"/>
    </sheetView>
  </sheetViews>
  <sheetFormatPr defaultRowHeight="14.4"/>
  <cols>
    <col min="2" max="2" width="9.6640625" bestFit="1" customWidth="1"/>
    <col min="3" max="3" width="19.44140625" customWidth="1"/>
    <col min="4" max="4" width="19.21875" customWidth="1"/>
    <col min="5" max="5" width="19.109375" customWidth="1"/>
    <col min="6" max="6" width="19.77734375" customWidth="1"/>
    <col min="7" max="7" width="21.5546875" customWidth="1"/>
    <col min="8" max="8" width="17.88671875" customWidth="1"/>
  </cols>
  <sheetData>
    <row r="1" spans="1:6" ht="43.2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33</v>
      </c>
    </row>
    <row r="2" spans="1:6">
      <c r="A2" s="41">
        <v>500</v>
      </c>
      <c r="B2" s="8">
        <v>0.2</v>
      </c>
      <c r="C2" s="8">
        <v>0.25</v>
      </c>
      <c r="D2" s="8">
        <v>0.3</v>
      </c>
      <c r="E2" s="41">
        <v>11440</v>
      </c>
      <c r="F2" s="41">
        <v>1</v>
      </c>
    </row>
    <row r="3" spans="1:6">
      <c r="A3" s="4"/>
      <c r="B3" s="8"/>
    </row>
    <row r="4" spans="1:6">
      <c r="A4" s="4"/>
      <c r="B4" s="8"/>
    </row>
    <row r="5" spans="1:6">
      <c r="A5" s="5"/>
      <c r="B5" s="5"/>
    </row>
    <row r="6" spans="1:6">
      <c r="A6" s="4"/>
      <c r="B6" s="41"/>
    </row>
    <row r="7" spans="1:6">
      <c r="A7" s="4"/>
      <c r="B7" s="4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47588-69CB-4549-85F7-191935C21E2C}">
  <dimension ref="A1:F8"/>
  <sheetViews>
    <sheetView workbookViewId="0">
      <selection activeCell="F2" sqref="F2:F4"/>
    </sheetView>
  </sheetViews>
  <sheetFormatPr defaultRowHeight="14.4"/>
  <cols>
    <col min="1" max="1" width="28.88671875" customWidth="1"/>
    <col min="2" max="2" width="21.6640625" customWidth="1"/>
    <col min="3" max="3" width="17.6640625" customWidth="1"/>
    <col min="4" max="4" width="20.21875" customWidth="1"/>
    <col min="5" max="5" width="20.33203125" customWidth="1"/>
    <col min="6" max="6" width="19.44140625" customWidth="1"/>
    <col min="7" max="7" width="23.44140625" customWidth="1"/>
    <col min="8" max="8" width="22.6640625" customWidth="1"/>
    <col min="9" max="9" width="24.77734375" customWidth="1"/>
  </cols>
  <sheetData>
    <row r="1" spans="1:6">
      <c r="A1" t="s">
        <v>32</v>
      </c>
      <c r="B1" t="s">
        <v>34</v>
      </c>
      <c r="C1" t="s">
        <v>35</v>
      </c>
      <c r="D1" t="s">
        <v>36</v>
      </c>
      <c r="E1" t="s">
        <v>37</v>
      </c>
      <c r="F1" t="s">
        <v>132</v>
      </c>
    </row>
    <row r="2" spans="1:6">
      <c r="A2" s="4" t="s">
        <v>29</v>
      </c>
      <c r="B2" s="4">
        <f>Table9[[#This Row],[Total Abandoned Carts]]*Table9[[#This Row],[Recovery Rate – Low]]</f>
        <v>2288</v>
      </c>
      <c r="C2" s="7">
        <f>Table11[[#This Row],[Carts Recovered]]*500</f>
        <v>1144000</v>
      </c>
      <c r="D2" s="4">
        <f>Table9[[#This Row],[Total Abandoned Carts]]*1</f>
        <v>11440</v>
      </c>
      <c r="E2" s="6">
        <f>C2-D2</f>
        <v>1132560</v>
      </c>
      <c r="F2" s="42">
        <f>Table11[[#This Row],[Campaign Cost]]</f>
        <v>11440</v>
      </c>
    </row>
    <row r="3" spans="1:6">
      <c r="A3" s="4" t="s">
        <v>30</v>
      </c>
      <c r="B3" s="4" cm="1">
        <f t="array" ref="B3">Table9[Total Abandoned Carts]*Table9[Recovery Rate – Mid]</f>
        <v>2860</v>
      </c>
      <c r="C3" s="7">
        <f>Table11[[#This Row],[Carts Recovered]]*500</f>
        <v>1430000</v>
      </c>
      <c r="D3" s="4">
        <v>11440</v>
      </c>
      <c r="E3" s="6">
        <f>C3-D3</f>
        <v>1418560</v>
      </c>
      <c r="F3" s="42">
        <f>Table11[[#This Row],[Campaign Cost]]</f>
        <v>11440</v>
      </c>
    </row>
    <row r="4" spans="1:6">
      <c r="A4" s="4" t="s">
        <v>31</v>
      </c>
      <c r="B4" s="4" cm="1">
        <f t="array" ref="B4">Table9[Recovery Rate – High]*Table9[Total Abandoned Carts]</f>
        <v>3432</v>
      </c>
      <c r="C4" s="7">
        <f>Table11[[#This Row],[Carts Recovered]]*500</f>
        <v>1716000</v>
      </c>
      <c r="D4" s="4" cm="1">
        <f t="array" ref="D4">Table9[Total Abandoned Carts]*Table9[SMS Cost per User]</f>
        <v>11440</v>
      </c>
      <c r="E4" s="6">
        <f t="shared" ref="E4" si="0">C4-D4</f>
        <v>1704560</v>
      </c>
      <c r="F4" s="42">
        <f>Table11[[#This Row],[Campaign Cost]]</f>
        <v>11440</v>
      </c>
    </row>
    <row r="8" spans="1:6">
      <c r="A8" s="6"/>
      <c r="B8" s="8"/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137A7-3236-4116-8184-8CA3228EE031}">
  <dimension ref="A1:G10"/>
  <sheetViews>
    <sheetView workbookViewId="0">
      <selection sqref="A1:G10"/>
    </sheetView>
  </sheetViews>
  <sheetFormatPr defaultRowHeight="14.4"/>
  <cols>
    <col min="1" max="1" width="12.44140625" customWidth="1"/>
    <col min="2" max="2" width="13.6640625" customWidth="1"/>
    <col min="3" max="3" width="12.21875" customWidth="1"/>
    <col min="4" max="4" width="14.77734375" customWidth="1"/>
    <col min="5" max="5" width="13" customWidth="1"/>
    <col min="6" max="6" width="15.88671875" customWidth="1"/>
    <col min="7" max="7" width="18.109375" customWidth="1"/>
  </cols>
  <sheetData>
    <row r="1" spans="1:7">
      <c r="A1" s="35" t="s">
        <v>1</v>
      </c>
      <c r="B1" s="35" t="s">
        <v>3</v>
      </c>
      <c r="C1" s="35" t="s">
        <v>4</v>
      </c>
      <c r="D1" s="35" t="s">
        <v>5</v>
      </c>
      <c r="E1" s="35" t="s">
        <v>6</v>
      </c>
      <c r="F1" s="36" t="s">
        <v>7</v>
      </c>
      <c r="G1" s="39" t="s">
        <v>83</v>
      </c>
    </row>
    <row r="2" spans="1:7">
      <c r="A2" s="33">
        <v>2355072</v>
      </c>
      <c r="B2" s="33">
        <v>17114</v>
      </c>
      <c r="C2" s="33">
        <v>15947</v>
      </c>
      <c r="D2" s="33">
        <v>478</v>
      </c>
      <c r="E2" s="33">
        <v>646</v>
      </c>
      <c r="F2" s="37">
        <v>46</v>
      </c>
      <c r="G2" s="40">
        <f>F2/C2</f>
        <v>2.8845550887314228E-3</v>
      </c>
    </row>
    <row r="3" spans="1:7">
      <c r="A3" s="34">
        <v>2520377</v>
      </c>
      <c r="B3" s="34">
        <v>11555</v>
      </c>
      <c r="C3" s="34">
        <v>10676</v>
      </c>
      <c r="D3" s="34">
        <v>383</v>
      </c>
      <c r="E3" s="34">
        <v>460</v>
      </c>
      <c r="F3" s="38">
        <v>38</v>
      </c>
      <c r="G3" s="40">
        <f t="shared" ref="G3:G10" si="0">F3/C3</f>
        <v>3.5593855376545524E-3</v>
      </c>
    </row>
    <row r="4" spans="1:7">
      <c r="A4" s="33">
        <v>1080785</v>
      </c>
      <c r="B4" s="33">
        <v>5335</v>
      </c>
      <c r="C4" s="33">
        <v>4945</v>
      </c>
      <c r="D4" s="33">
        <v>193</v>
      </c>
      <c r="E4" s="33">
        <v>188</v>
      </c>
      <c r="F4" s="37">
        <v>11</v>
      </c>
      <c r="G4" s="40">
        <f t="shared" si="0"/>
        <v>2.224469160768453E-3</v>
      </c>
    </row>
    <row r="5" spans="1:7">
      <c r="A5" s="34">
        <v>4181361</v>
      </c>
      <c r="B5" s="34">
        <v>5325</v>
      </c>
      <c r="C5" s="34">
        <v>4800</v>
      </c>
      <c r="D5" s="34">
        <v>206</v>
      </c>
      <c r="E5" s="34">
        <v>286</v>
      </c>
      <c r="F5" s="38">
        <v>38</v>
      </c>
      <c r="G5" s="40">
        <f t="shared" si="0"/>
        <v>7.9166666666666673E-3</v>
      </c>
    </row>
    <row r="6" spans="1:7">
      <c r="A6" s="33">
        <v>154040</v>
      </c>
      <c r="B6" s="33">
        <v>4679</v>
      </c>
      <c r="C6" s="33">
        <v>4431</v>
      </c>
      <c r="D6" s="33">
        <v>110</v>
      </c>
      <c r="E6" s="33">
        <v>131</v>
      </c>
      <c r="F6" s="37">
        <v>7</v>
      </c>
      <c r="G6" s="40">
        <f t="shared" si="0"/>
        <v>1.5797788309636651E-3</v>
      </c>
    </row>
    <row r="7" spans="1:7">
      <c r="A7" s="34">
        <v>2920476</v>
      </c>
      <c r="B7" s="34">
        <v>3650</v>
      </c>
      <c r="C7" s="34">
        <v>3382</v>
      </c>
      <c r="D7" s="34">
        <v>109</v>
      </c>
      <c r="E7" s="34">
        <v>148</v>
      </c>
      <c r="F7" s="38">
        <v>11</v>
      </c>
      <c r="G7" s="40">
        <f t="shared" si="0"/>
        <v>3.2525133057362508E-3</v>
      </c>
    </row>
    <row r="8" spans="1:7">
      <c r="A8" s="33">
        <v>4170419</v>
      </c>
      <c r="B8" s="33">
        <v>3145</v>
      </c>
      <c r="C8" s="33">
        <v>2923</v>
      </c>
      <c r="D8" s="33">
        <v>75</v>
      </c>
      <c r="E8" s="33">
        <v>126</v>
      </c>
      <c r="F8" s="37">
        <v>22</v>
      </c>
      <c r="G8" s="40">
        <f t="shared" si="0"/>
        <v>7.5265138556277799E-3</v>
      </c>
    </row>
    <row r="9" spans="1:7">
      <c r="A9" s="34">
        <v>2939262</v>
      </c>
      <c r="B9" s="34">
        <v>2974</v>
      </c>
      <c r="C9" s="34">
        <v>2715</v>
      </c>
      <c r="D9" s="34">
        <v>69</v>
      </c>
      <c r="E9" s="34">
        <v>155</v>
      </c>
      <c r="F9" s="38">
        <v>37</v>
      </c>
      <c r="G9" s="40">
        <f t="shared" si="0"/>
        <v>1.3627992633517496E-2</v>
      </c>
    </row>
    <row r="10" spans="1:7">
      <c r="A10" s="33">
        <v>4643350</v>
      </c>
      <c r="B10" s="33">
        <v>2877</v>
      </c>
      <c r="C10" s="33">
        <v>2627</v>
      </c>
      <c r="D10" s="33">
        <v>86</v>
      </c>
      <c r="E10" s="33">
        <v>139</v>
      </c>
      <c r="F10" s="37">
        <v>26</v>
      </c>
      <c r="G10" s="40">
        <f t="shared" si="0"/>
        <v>9.8972211648267992E-3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D6CC2-6905-45B6-9FC3-8EE80514C1E9}">
  <dimension ref="A1:G25"/>
  <sheetViews>
    <sheetView workbookViewId="0">
      <selection activeCell="J5" sqref="J5"/>
    </sheetView>
  </sheetViews>
  <sheetFormatPr defaultRowHeight="14.4"/>
  <cols>
    <col min="1" max="1" width="12.77734375" bestFit="1" customWidth="1"/>
    <col min="2" max="2" width="14" bestFit="1" customWidth="1"/>
    <col min="3" max="3" width="12.5546875" bestFit="1" customWidth="1"/>
    <col min="4" max="4" width="15.109375" bestFit="1" customWidth="1"/>
    <col min="5" max="5" width="13.33203125" bestFit="1" customWidth="1"/>
    <col min="6" max="6" width="16.33203125" bestFit="1" customWidth="1"/>
  </cols>
  <sheetData>
    <row r="1" spans="1:7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133</v>
      </c>
    </row>
    <row r="2" spans="1:7">
      <c r="A2">
        <v>2355072</v>
      </c>
      <c r="B2">
        <v>17114</v>
      </c>
      <c r="C2">
        <v>15947</v>
      </c>
      <c r="D2">
        <v>478</v>
      </c>
      <c r="E2">
        <v>646</v>
      </c>
      <c r="F2">
        <v>46</v>
      </c>
      <c r="G2" s="43">
        <f>High_Potential_SKUs[[#This Row],[total_converted]]/High_Potential_SKUs[[#This Row],[total_views]]</f>
        <v>2.8845550887314228E-3</v>
      </c>
    </row>
    <row r="3" spans="1:7">
      <c r="A3">
        <v>2520377</v>
      </c>
      <c r="B3">
        <v>11555</v>
      </c>
      <c r="C3">
        <v>10676</v>
      </c>
      <c r="D3">
        <v>383</v>
      </c>
      <c r="E3">
        <v>460</v>
      </c>
      <c r="F3">
        <v>38</v>
      </c>
      <c r="G3" s="43">
        <f>High_Potential_SKUs[[#This Row],[total_converted]]/High_Potential_SKUs[[#This Row],[total_views]]</f>
        <v>3.5593855376545524E-3</v>
      </c>
    </row>
    <row r="4" spans="1:7">
      <c r="A4">
        <v>1080785</v>
      </c>
      <c r="B4">
        <v>5335</v>
      </c>
      <c r="C4">
        <v>4945</v>
      </c>
      <c r="D4">
        <v>193</v>
      </c>
      <c r="E4">
        <v>188</v>
      </c>
      <c r="F4">
        <v>11</v>
      </c>
      <c r="G4" s="43">
        <f>High_Potential_SKUs[[#This Row],[total_converted]]/High_Potential_SKUs[[#This Row],[total_views]]</f>
        <v>2.224469160768453E-3</v>
      </c>
    </row>
    <row r="5" spans="1:7">
      <c r="A5">
        <v>4181361</v>
      </c>
      <c r="B5">
        <v>5325</v>
      </c>
      <c r="C5">
        <v>4800</v>
      </c>
      <c r="D5">
        <v>206</v>
      </c>
      <c r="E5">
        <v>286</v>
      </c>
      <c r="F5">
        <v>38</v>
      </c>
      <c r="G5" s="43">
        <f>High_Potential_SKUs[[#This Row],[total_converted]]/High_Potential_SKUs[[#This Row],[total_views]]</f>
        <v>7.9166666666666673E-3</v>
      </c>
    </row>
    <row r="6" spans="1:7">
      <c r="A6">
        <v>154040</v>
      </c>
      <c r="B6">
        <v>4679</v>
      </c>
      <c r="C6">
        <v>4431</v>
      </c>
      <c r="D6">
        <v>110</v>
      </c>
      <c r="E6">
        <v>131</v>
      </c>
      <c r="F6">
        <v>7</v>
      </c>
      <c r="G6" s="43">
        <f>High_Potential_SKUs[[#This Row],[total_converted]]/High_Potential_SKUs[[#This Row],[total_views]]</f>
        <v>1.5797788309636651E-3</v>
      </c>
    </row>
    <row r="7" spans="1:7">
      <c r="A7">
        <v>2920476</v>
      </c>
      <c r="B7">
        <v>3650</v>
      </c>
      <c r="C7">
        <v>3382</v>
      </c>
      <c r="D7">
        <v>109</v>
      </c>
      <c r="E7">
        <v>148</v>
      </c>
      <c r="F7">
        <v>11</v>
      </c>
      <c r="G7" s="43">
        <f>High_Potential_SKUs[[#This Row],[total_converted]]/High_Potential_SKUs[[#This Row],[total_views]]</f>
        <v>3.2525133057362508E-3</v>
      </c>
    </row>
    <row r="8" spans="1:7">
      <c r="A8">
        <v>4170419</v>
      </c>
      <c r="B8">
        <v>3145</v>
      </c>
      <c r="C8">
        <v>2923</v>
      </c>
      <c r="D8">
        <v>75</v>
      </c>
      <c r="E8">
        <v>126</v>
      </c>
      <c r="F8">
        <v>22</v>
      </c>
      <c r="G8" s="43">
        <f>High_Potential_SKUs[[#This Row],[total_converted]]/High_Potential_SKUs[[#This Row],[total_views]]</f>
        <v>7.5265138556277799E-3</v>
      </c>
    </row>
    <row r="9" spans="1:7">
      <c r="A9">
        <v>2939262</v>
      </c>
      <c r="B9">
        <v>2974</v>
      </c>
      <c r="C9">
        <v>2715</v>
      </c>
      <c r="D9">
        <v>69</v>
      </c>
      <c r="E9">
        <v>155</v>
      </c>
      <c r="F9">
        <v>37</v>
      </c>
      <c r="G9" s="43">
        <f>High_Potential_SKUs[[#This Row],[total_converted]]/High_Potential_SKUs[[#This Row],[total_views]]</f>
        <v>1.3627992633517496E-2</v>
      </c>
    </row>
    <row r="10" spans="1:7">
      <c r="A10">
        <v>4643350</v>
      </c>
      <c r="B10">
        <v>2877</v>
      </c>
      <c r="C10">
        <v>2627</v>
      </c>
      <c r="D10">
        <v>86</v>
      </c>
      <c r="E10">
        <v>139</v>
      </c>
      <c r="F10">
        <v>26</v>
      </c>
      <c r="G10" s="43">
        <f>High_Potential_SKUs[[#This Row],[total_converted]]/High_Potential_SKUs[[#This Row],[total_views]]</f>
        <v>9.8972211648267992E-3</v>
      </c>
    </row>
    <row r="11" spans="1:7">
      <c r="A11">
        <v>1029459</v>
      </c>
      <c r="B11">
        <v>2720</v>
      </c>
      <c r="C11">
        <v>2448</v>
      </c>
      <c r="D11">
        <v>88</v>
      </c>
      <c r="E11">
        <v>138</v>
      </c>
      <c r="F11">
        <v>49</v>
      </c>
      <c r="G11" s="43">
        <f>High_Potential_SKUs[[#This Row],[total_converted]]/High_Potential_SKUs[[#This Row],[total_views]]</f>
        <v>2.0016339869281044E-2</v>
      </c>
    </row>
    <row r="12" spans="1:7">
      <c r="A12">
        <v>1859277</v>
      </c>
      <c r="B12">
        <v>2599</v>
      </c>
      <c r="C12">
        <v>2396</v>
      </c>
      <c r="D12">
        <v>61</v>
      </c>
      <c r="E12">
        <v>132</v>
      </c>
      <c r="F12">
        <v>11</v>
      </c>
      <c r="G12" s="43">
        <f>High_Potential_SKUs[[#This Row],[total_converted]]/High_Potential_SKUs[[#This Row],[total_views]]</f>
        <v>4.5909849749582636E-3</v>
      </c>
    </row>
    <row r="13" spans="1:7">
      <c r="A13">
        <v>2096639</v>
      </c>
      <c r="B13">
        <v>2229</v>
      </c>
      <c r="C13">
        <v>2135</v>
      </c>
      <c r="D13">
        <v>18</v>
      </c>
      <c r="E13">
        <v>58</v>
      </c>
      <c r="F13">
        <v>20</v>
      </c>
      <c r="G13" s="43">
        <f>High_Potential_SKUs[[#This Row],[total_converted]]/High_Potential_SKUs[[#This Row],[total_views]]</f>
        <v>9.3676814988290398E-3</v>
      </c>
    </row>
    <row r="14" spans="1:7">
      <c r="A14">
        <v>411153</v>
      </c>
      <c r="B14">
        <v>2272</v>
      </c>
      <c r="C14">
        <v>2014</v>
      </c>
      <c r="D14">
        <v>74</v>
      </c>
      <c r="E14">
        <v>159</v>
      </c>
      <c r="F14">
        <v>26</v>
      </c>
      <c r="G14" s="43">
        <f>High_Potential_SKUs[[#This Row],[total_converted]]/High_Potential_SKUs[[#This Row],[total_views]]</f>
        <v>1.2909632571996028E-2</v>
      </c>
    </row>
    <row r="15" spans="1:7">
      <c r="A15">
        <v>4690421</v>
      </c>
      <c r="B15">
        <v>2247</v>
      </c>
      <c r="C15">
        <v>1985</v>
      </c>
      <c r="D15">
        <v>88</v>
      </c>
      <c r="E15">
        <v>154</v>
      </c>
      <c r="F15">
        <v>22</v>
      </c>
      <c r="G15" s="43">
        <f>High_Potential_SKUs[[#This Row],[total_converted]]/High_Potential_SKUs[[#This Row],[total_views]]</f>
        <v>1.1083123425692695E-2</v>
      </c>
    </row>
    <row r="16" spans="1:7">
      <c r="A16">
        <v>4022701</v>
      </c>
      <c r="B16">
        <v>2089</v>
      </c>
      <c r="C16">
        <v>1927</v>
      </c>
      <c r="D16">
        <v>36</v>
      </c>
      <c r="E16">
        <v>116</v>
      </c>
      <c r="F16">
        <v>11</v>
      </c>
      <c r="G16" s="43">
        <f>High_Potential_SKUs[[#This Row],[total_converted]]/High_Potential_SKUs[[#This Row],[total_views]]</f>
        <v>5.708354955889984E-3</v>
      </c>
    </row>
    <row r="17" spans="1:7">
      <c r="A17">
        <v>3299155</v>
      </c>
      <c r="B17">
        <v>2086</v>
      </c>
      <c r="C17">
        <v>1882</v>
      </c>
      <c r="D17">
        <v>58</v>
      </c>
      <c r="E17">
        <v>123</v>
      </c>
      <c r="F17">
        <v>26</v>
      </c>
      <c r="G17" s="43">
        <f>High_Potential_SKUs[[#This Row],[total_converted]]/High_Potential_SKUs[[#This Row],[total_views]]</f>
        <v>1.381509032943677E-2</v>
      </c>
    </row>
    <row r="18" spans="1:7">
      <c r="A18">
        <v>2131531</v>
      </c>
      <c r="B18">
        <v>2035</v>
      </c>
      <c r="C18">
        <v>1849</v>
      </c>
      <c r="D18">
        <v>81</v>
      </c>
      <c r="E18">
        <v>91</v>
      </c>
      <c r="F18">
        <v>16</v>
      </c>
      <c r="G18" s="43">
        <f>High_Potential_SKUs[[#This Row],[total_converted]]/High_Potential_SKUs[[#This Row],[total_views]]</f>
        <v>8.6533261222282321E-3</v>
      </c>
    </row>
    <row r="19" spans="1:7">
      <c r="A19">
        <v>1051370</v>
      </c>
      <c r="B19">
        <v>1992</v>
      </c>
      <c r="C19">
        <v>1826</v>
      </c>
      <c r="D19">
        <v>46</v>
      </c>
      <c r="E19">
        <v>100</v>
      </c>
      <c r="F19">
        <v>22</v>
      </c>
      <c r="G19" s="43">
        <f>High_Potential_SKUs[[#This Row],[total_converted]]/High_Potential_SKUs[[#This Row],[total_views]]</f>
        <v>1.2048192771084338E-2</v>
      </c>
    </row>
    <row r="20" spans="1:7">
      <c r="A20">
        <v>2578647</v>
      </c>
      <c r="B20">
        <v>2035</v>
      </c>
      <c r="C20">
        <v>1813</v>
      </c>
      <c r="D20">
        <v>30</v>
      </c>
      <c r="E20">
        <v>156</v>
      </c>
      <c r="F20">
        <v>39</v>
      </c>
      <c r="G20" s="43">
        <f>High_Potential_SKUs[[#This Row],[total_converted]]/High_Potential_SKUs[[#This Row],[total_views]]</f>
        <v>2.1511307225592941E-2</v>
      </c>
    </row>
    <row r="21" spans="1:7">
      <c r="A21">
        <v>5071267</v>
      </c>
      <c r="B21">
        <v>1834</v>
      </c>
      <c r="C21">
        <v>1691</v>
      </c>
      <c r="D21">
        <v>39</v>
      </c>
      <c r="E21">
        <v>83</v>
      </c>
      <c r="F21">
        <v>22</v>
      </c>
      <c r="G21" s="43">
        <f>High_Potential_SKUs[[#This Row],[total_converted]]/High_Potential_SKUs[[#This Row],[total_views]]</f>
        <v>1.3010053222945003E-2</v>
      </c>
    </row>
    <row r="22" spans="1:7">
      <c r="A22">
        <v>2926020</v>
      </c>
      <c r="B22">
        <v>1762</v>
      </c>
      <c r="C22">
        <v>1585</v>
      </c>
      <c r="D22">
        <v>41</v>
      </c>
      <c r="E22">
        <v>118</v>
      </c>
      <c r="F22">
        <v>20</v>
      </c>
      <c r="G22" s="43">
        <f>High_Potential_SKUs[[#This Row],[total_converted]]/High_Potential_SKUs[[#This Row],[total_views]]</f>
        <v>1.2618296529968454E-2</v>
      </c>
    </row>
    <row r="23" spans="1:7">
      <c r="A23">
        <v>753984</v>
      </c>
      <c r="B23">
        <v>1740</v>
      </c>
      <c r="C23">
        <v>1561</v>
      </c>
      <c r="D23">
        <v>72</v>
      </c>
      <c r="E23">
        <v>93</v>
      </c>
      <c r="F23">
        <v>14</v>
      </c>
      <c r="G23" s="43">
        <f>High_Potential_SKUs[[#This Row],[total_converted]]/High_Potential_SKUs[[#This Row],[total_views]]</f>
        <v>8.9686098654708519E-3</v>
      </c>
    </row>
    <row r="24" spans="1:7">
      <c r="A24">
        <v>5053508</v>
      </c>
      <c r="B24">
        <v>1721</v>
      </c>
      <c r="C24">
        <v>1557</v>
      </c>
      <c r="D24">
        <v>47</v>
      </c>
      <c r="E24">
        <v>79</v>
      </c>
      <c r="F24">
        <v>39</v>
      </c>
      <c r="G24" s="43">
        <f>High_Potential_SKUs[[#This Row],[total_converted]]/High_Potential_SKUs[[#This Row],[total_views]]</f>
        <v>2.5048169556840076E-2</v>
      </c>
    </row>
    <row r="25" spans="1:7">
      <c r="A25">
        <v>2558244</v>
      </c>
      <c r="B25">
        <v>1662</v>
      </c>
      <c r="C25">
        <v>1508</v>
      </c>
      <c r="D25">
        <v>37</v>
      </c>
      <c r="E25">
        <v>99</v>
      </c>
      <c r="F25">
        <v>19</v>
      </c>
      <c r="G25" s="43">
        <f>High_Potential_SKUs[[#This Row],[total_converted]]/High_Potential_SKUs[[#This Row],[total_views]]</f>
        <v>1.2599469496021221E-2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BA2A2-1F98-464D-874D-1F9E51591E9D}">
  <dimension ref="A1:H9"/>
  <sheetViews>
    <sheetView workbookViewId="0">
      <selection activeCell="H1" sqref="H1"/>
    </sheetView>
  </sheetViews>
  <sheetFormatPr defaultRowHeight="14.4"/>
  <cols>
    <col min="1" max="1" width="31.44140625" customWidth="1"/>
    <col min="2" max="2" width="21.21875" customWidth="1"/>
    <col min="3" max="3" width="16.88671875" customWidth="1"/>
    <col min="4" max="4" width="20.5546875" customWidth="1"/>
    <col min="5" max="5" width="15.109375" customWidth="1"/>
    <col min="6" max="6" width="22.21875" customWidth="1"/>
    <col min="7" max="7" width="20.33203125" customWidth="1"/>
    <col min="8" max="8" width="21.21875" customWidth="1"/>
  </cols>
  <sheetData>
    <row r="1" spans="1:8" ht="28.8">
      <c r="A1" s="3" t="s">
        <v>38</v>
      </c>
      <c r="B1" s="3" t="s">
        <v>39</v>
      </c>
      <c r="C1" s="3" t="s">
        <v>48</v>
      </c>
      <c r="D1" s="3" t="s">
        <v>40</v>
      </c>
      <c r="E1" s="3" t="s">
        <v>43</v>
      </c>
      <c r="F1" s="3" t="s">
        <v>49</v>
      </c>
      <c r="G1" s="3" t="s">
        <v>41</v>
      </c>
      <c r="H1" s="3" t="s">
        <v>42</v>
      </c>
    </row>
    <row r="2" spans="1:8">
      <c r="A2" s="4">
        <f>COUNTA('HighPotentialSKUs-Data'!A2:A25)</f>
        <v>24</v>
      </c>
      <c r="B2" s="9">
        <f>AVERAGE('HighPotentialSKUs-Data'!C2:'HighPotentialSKUs-Data'!C25)</f>
        <v>3359.2916666666665</v>
      </c>
      <c r="C2" s="8">
        <v>0.2</v>
      </c>
      <c r="D2" s="4">
        <f>SUM('HighPotentialSKUs-Data'!F2:'HighPotentialSKUs-Data'!F25)/SUM('HighPotentialSKUs-Data'!C2:'HighPotentialSKUs-Data'!C25)</f>
        <v>7.3428178063331805E-3</v>
      </c>
      <c r="E2" s="9">
        <f>ROUND(Table14[[#This Row],[Total High-Attention Categories]] * C2, 0)</f>
        <v>5</v>
      </c>
      <c r="F2" s="4" cm="1">
        <f t="array" ref="F2">SUM(LARGE('HighPotentialSKUs-Data'!C2:C25, {1,2,3,4,5}))</f>
        <v>40799</v>
      </c>
      <c r="G2" s="9">
        <v>600</v>
      </c>
      <c r="H2" s="44">
        <v>0.03</v>
      </c>
    </row>
    <row r="3" spans="1:8">
      <c r="A3" s="4"/>
      <c r="B3" s="9"/>
      <c r="C3" s="4"/>
      <c r="D3" s="4"/>
      <c r="E3" s="4"/>
      <c r="F3" s="4"/>
      <c r="G3" s="4"/>
      <c r="H3" s="4"/>
    </row>
    <row r="4" spans="1:8">
      <c r="A4" s="4"/>
      <c r="B4" s="8"/>
      <c r="C4" s="4"/>
      <c r="D4" s="4"/>
      <c r="E4" s="4"/>
      <c r="F4" s="4"/>
      <c r="G4" s="4"/>
      <c r="H4" s="4"/>
    </row>
    <row r="5" spans="1:8">
      <c r="A5" s="4"/>
      <c r="B5" s="44"/>
      <c r="C5" s="4"/>
      <c r="D5" s="4"/>
      <c r="E5" s="4"/>
      <c r="F5" s="4"/>
      <c r="G5" s="4"/>
      <c r="H5" s="4"/>
    </row>
    <row r="6" spans="1:8">
      <c r="A6" s="4"/>
      <c r="B6" s="4"/>
      <c r="C6" s="4"/>
      <c r="D6" s="4"/>
      <c r="E6" s="4"/>
      <c r="F6" s="4"/>
      <c r="G6" s="4"/>
      <c r="H6" s="4"/>
    </row>
    <row r="7" spans="1:8">
      <c r="A7" s="4"/>
      <c r="B7" s="9"/>
      <c r="C7" s="4"/>
      <c r="D7" s="4"/>
      <c r="E7" s="4"/>
      <c r="F7" s="4"/>
      <c r="G7" s="4"/>
      <c r="H7" s="4"/>
    </row>
    <row r="8" spans="1:8">
      <c r="A8" s="4"/>
      <c r="B8" s="9"/>
      <c r="C8" s="4"/>
      <c r="D8" s="4"/>
      <c r="E8" s="4"/>
      <c r="F8" s="4"/>
      <c r="G8" s="4"/>
      <c r="H8" s="4"/>
    </row>
    <row r="9" spans="1:8">
      <c r="A9" s="4"/>
      <c r="B9" s="44"/>
      <c r="C9" s="4"/>
      <c r="D9" s="4"/>
      <c r="E9" s="4"/>
      <c r="F9" s="4"/>
      <c r="G9" s="4"/>
      <c r="H9" s="4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37D8A-D282-4625-AAB1-43E7EBAF9666}">
  <dimension ref="A1:M7"/>
  <sheetViews>
    <sheetView topLeftCell="D1" workbookViewId="0">
      <selection activeCell="O21" sqref="O21"/>
    </sheetView>
  </sheetViews>
  <sheetFormatPr defaultRowHeight="14.4"/>
  <cols>
    <col min="1" max="1" width="33.88671875" customWidth="1"/>
    <col min="2" max="3" width="27.21875" customWidth="1"/>
    <col min="5" max="5" width="20.77734375" customWidth="1"/>
    <col min="6" max="6" width="18.21875" customWidth="1"/>
    <col min="7" max="7" width="17.44140625" customWidth="1"/>
    <col min="8" max="8" width="15.21875" customWidth="1"/>
    <col min="9" max="9" width="21.44140625" customWidth="1"/>
    <col min="10" max="10" width="12.88671875" customWidth="1"/>
  </cols>
  <sheetData>
    <row r="1" spans="1:13" ht="34.799999999999997" customHeight="1">
      <c r="A1" s="3" t="s">
        <v>32</v>
      </c>
      <c r="B1" s="3" t="s">
        <v>43</v>
      </c>
      <c r="C1" s="3" t="s">
        <v>44</v>
      </c>
      <c r="D1" s="3" t="s">
        <v>45</v>
      </c>
      <c r="E1" s="3" t="s">
        <v>35</v>
      </c>
      <c r="F1" s="3" t="s">
        <v>83</v>
      </c>
      <c r="G1" s="3" t="s">
        <v>134</v>
      </c>
      <c r="H1" s="3" t="s">
        <v>135</v>
      </c>
      <c r="I1" s="3" t="s">
        <v>136</v>
      </c>
      <c r="J1" s="3" t="s">
        <v>137</v>
      </c>
      <c r="K1" s="3" t="s">
        <v>139</v>
      </c>
      <c r="L1" s="3" t="s">
        <v>140</v>
      </c>
      <c r="M1" s="3" t="s">
        <v>141</v>
      </c>
    </row>
    <row r="2" spans="1:13" ht="21.6" customHeight="1">
      <c r="A2" s="4" t="s">
        <v>46</v>
      </c>
      <c r="B2" s="9">
        <f>Table14[[#This Row],[SKUs Targeted]]</f>
        <v>5</v>
      </c>
      <c r="C2" s="9">
        <f>Table14[[#This Row],[Total Views (Top SKUs)]]</f>
        <v>40799</v>
      </c>
      <c r="D2" s="9" cm="1">
        <f t="array" ref="D2">SUM(LARGE('HighPotentialSKUs-Data'!F2:F25,{1,2,3,4,5}))</f>
        <v>211</v>
      </c>
      <c r="E2" s="9">
        <f>D2*600</f>
        <v>126600</v>
      </c>
      <c r="F2" s="45">
        <f>Table13[[#This Row],[Projected Conversions]]/Table13[[#This Row],[Views]]</f>
        <v>5.1716953846908014E-3</v>
      </c>
      <c r="G2" s="9">
        <f>Table13[[#This Row],[Revenue Generated]]/Table13[[#This Row],[SKUs Targeted]]</f>
        <v>25320</v>
      </c>
      <c r="H2" s="9">
        <f>ROUND(Table13[[#This Row],[Revenue Generated]]/Table13[[#This Row],[Views]],2)</f>
        <v>3.1</v>
      </c>
      <c r="I2" s="9" t="s">
        <v>138</v>
      </c>
      <c r="J2" s="9" t="s">
        <v>138</v>
      </c>
      <c r="K2" s="9" t="s">
        <v>142</v>
      </c>
      <c r="L2" s="9">
        <v>126600</v>
      </c>
      <c r="M2" s="9" t="s">
        <v>143</v>
      </c>
    </row>
    <row r="3" spans="1:13" ht="27.6" customHeight="1">
      <c r="A3" s="4" t="s">
        <v>47</v>
      </c>
      <c r="B3" s="9" cm="1">
        <f t="array" ref="B3">Table14[SKUs Targeted]</f>
        <v>5</v>
      </c>
      <c r="C3" s="9" cm="1">
        <f t="array" ref="C3">Table14[Total Views (Top SKUs)]</f>
        <v>40799</v>
      </c>
      <c r="D3" s="9" cm="1">
        <f t="array" ref="D3">ROUND(Table14[Total Views (Top SKUs)]*Table14[Lifted Conversion Rate],0)</f>
        <v>1224</v>
      </c>
      <c r="E3" s="9">
        <f>D3*600</f>
        <v>734400</v>
      </c>
      <c r="F3" s="45">
        <f>ROUND(Table13[[#This Row],[Projected Conversions]]/Table13[[#This Row],[Views]],4)</f>
        <v>0.03</v>
      </c>
      <c r="G3" s="9">
        <f>Table13[[#This Row],[Revenue Generated]]/Table13[[#This Row],[SKUs Targeted]]</f>
        <v>146880</v>
      </c>
      <c r="H3" s="9">
        <f>ROUND(Table13[[#This Row],[Revenue Generated]]/Table13[[#This Row],[Views]],2)</f>
        <v>18</v>
      </c>
      <c r="I3" s="44">
        <f>Table13[[#This Row],[Conversion Rate]]-F2</f>
        <v>2.4828304615309198E-2</v>
      </c>
      <c r="J3" s="9">
        <f>Table13[[#This Row],[Revenue Generated]]-E2</f>
        <v>607800</v>
      </c>
      <c r="K3" s="9" t="s">
        <v>144</v>
      </c>
      <c r="L3" s="9">
        <v>607800</v>
      </c>
      <c r="M3" s="9" t="s">
        <v>145</v>
      </c>
    </row>
    <row r="4" spans="1:13" ht="27.6" customHeight="1">
      <c r="A4" s="4"/>
      <c r="B4" s="9"/>
      <c r="C4" s="9"/>
      <c r="D4" s="9"/>
      <c r="E4" s="9"/>
      <c r="F4" s="46"/>
      <c r="G4" s="9"/>
      <c r="H4" s="9"/>
      <c r="I4" s="9"/>
      <c r="J4" s="9"/>
      <c r="K4" s="9" t="s">
        <v>146</v>
      </c>
      <c r="L4" s="9">
        <v>734400</v>
      </c>
      <c r="M4" s="9" t="s">
        <v>147</v>
      </c>
    </row>
    <row r="5" spans="1:13" ht="23.4" customHeight="1"/>
    <row r="6" spans="1:13" ht="19.2" customHeight="1"/>
    <row r="7" spans="1:13" ht="19.2" customHeight="1"/>
  </sheetData>
  <phoneticPr fontId="3" type="noConversion"/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4782-C709-46E3-AB22-1AF899C5CDC2}">
  <dimension ref="A1:G10"/>
  <sheetViews>
    <sheetView workbookViewId="0">
      <selection activeCell="G8" sqref="G8"/>
    </sheetView>
  </sheetViews>
  <sheetFormatPr defaultRowHeight="14.4"/>
  <cols>
    <col min="1" max="1" width="17.77734375" customWidth="1"/>
    <col min="2" max="2" width="21" customWidth="1"/>
    <col min="3" max="3" width="10.6640625" bestFit="1" customWidth="1"/>
    <col min="4" max="4" width="20.44140625" customWidth="1"/>
    <col min="5" max="5" width="32.5546875" customWidth="1"/>
    <col min="6" max="6" width="20.21875" customWidth="1"/>
    <col min="7" max="7" width="22.88671875" customWidth="1"/>
  </cols>
  <sheetData>
    <row r="1" spans="1:7">
      <c r="A1" s="2" t="s">
        <v>21</v>
      </c>
      <c r="B1" t="s">
        <v>22</v>
      </c>
      <c r="C1" t="s">
        <v>51</v>
      </c>
      <c r="D1" t="s">
        <v>10</v>
      </c>
      <c r="E1" t="s">
        <v>52</v>
      </c>
      <c r="F1" t="s">
        <v>56</v>
      </c>
      <c r="G1" t="s">
        <v>57</v>
      </c>
    </row>
    <row r="2" spans="1:7">
      <c r="A2" s="2">
        <v>43064</v>
      </c>
      <c r="B2">
        <v>47</v>
      </c>
      <c r="C2">
        <v>33670</v>
      </c>
      <c r="D2">
        <v>36085</v>
      </c>
      <c r="E2">
        <v>1.07</v>
      </c>
      <c r="F2">
        <v>2216</v>
      </c>
      <c r="G2">
        <v>6.58</v>
      </c>
    </row>
    <row r="3" spans="1:7">
      <c r="A3" s="2">
        <v>43065</v>
      </c>
      <c r="B3">
        <v>48</v>
      </c>
      <c r="C3">
        <v>33497</v>
      </c>
      <c r="D3">
        <v>35723</v>
      </c>
      <c r="E3">
        <v>1.07</v>
      </c>
      <c r="F3">
        <v>2069</v>
      </c>
      <c r="G3">
        <v>6.18</v>
      </c>
    </row>
    <row r="4" spans="1:7">
      <c r="A4" s="2">
        <v>43066</v>
      </c>
      <c r="B4">
        <v>48</v>
      </c>
      <c r="C4">
        <v>30540</v>
      </c>
      <c r="D4">
        <v>32441</v>
      </c>
      <c r="E4">
        <v>1.06</v>
      </c>
      <c r="F4">
        <v>1749</v>
      </c>
      <c r="G4">
        <v>5.73</v>
      </c>
    </row>
    <row r="5" spans="1:7">
      <c r="A5" s="2">
        <v>43067</v>
      </c>
      <c r="B5">
        <v>48</v>
      </c>
      <c r="C5">
        <v>29844</v>
      </c>
      <c r="D5">
        <v>31704</v>
      </c>
      <c r="E5">
        <v>1.06</v>
      </c>
      <c r="F5">
        <v>1713</v>
      </c>
      <c r="G5">
        <v>5.74</v>
      </c>
    </row>
    <row r="6" spans="1:7">
      <c r="A6" s="2">
        <v>43068</v>
      </c>
      <c r="B6">
        <v>48</v>
      </c>
      <c r="C6">
        <v>32270</v>
      </c>
      <c r="D6">
        <v>34229</v>
      </c>
      <c r="E6">
        <v>1.06</v>
      </c>
      <c r="F6">
        <v>1818</v>
      </c>
      <c r="G6">
        <v>5.63</v>
      </c>
    </row>
    <row r="7" spans="1:7">
      <c r="A7" s="2">
        <v>43069</v>
      </c>
      <c r="B7">
        <v>48</v>
      </c>
      <c r="C7">
        <v>33365</v>
      </c>
      <c r="D7">
        <v>35595</v>
      </c>
      <c r="E7">
        <v>1.07</v>
      </c>
      <c r="F7">
        <v>2054</v>
      </c>
      <c r="G7">
        <v>6.16</v>
      </c>
    </row>
    <row r="8" spans="1:7">
      <c r="A8" s="2">
        <v>43070</v>
      </c>
      <c r="B8">
        <v>48</v>
      </c>
      <c r="C8">
        <v>37198</v>
      </c>
      <c r="D8">
        <v>39779</v>
      </c>
      <c r="E8">
        <v>1.07</v>
      </c>
      <c r="F8">
        <v>2380</v>
      </c>
      <c r="G8">
        <v>6.4</v>
      </c>
    </row>
    <row r="9" spans="1:7">
      <c r="A9" s="2">
        <v>43071</v>
      </c>
      <c r="B9">
        <v>48</v>
      </c>
      <c r="C9">
        <v>51586</v>
      </c>
      <c r="D9">
        <v>55608</v>
      </c>
      <c r="E9">
        <v>1.08</v>
      </c>
      <c r="F9">
        <v>3684</v>
      </c>
      <c r="G9">
        <v>7.14</v>
      </c>
    </row>
    <row r="10" spans="1:7">
      <c r="A10" s="2">
        <v>43072</v>
      </c>
      <c r="B10">
        <v>49</v>
      </c>
      <c r="C10">
        <v>43536</v>
      </c>
      <c r="D10">
        <v>46353</v>
      </c>
      <c r="E10">
        <v>1.06</v>
      </c>
      <c r="F10">
        <v>2588</v>
      </c>
      <c r="G10">
        <v>5.94</v>
      </c>
    </row>
  </sheetData>
  <sortState xmlns:xlrd2="http://schemas.microsoft.com/office/spreadsheetml/2017/richdata2" ref="A2:G10">
    <sortCondition ref="A2:A10"/>
  </sortState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9976-493B-46A7-A9D0-0BE8B86ECB01}">
  <dimension ref="A1:C4"/>
  <sheetViews>
    <sheetView workbookViewId="0">
      <selection activeCell="C4" sqref="C4"/>
    </sheetView>
  </sheetViews>
  <sheetFormatPr defaultRowHeight="14.4"/>
  <cols>
    <col min="1" max="1" width="22.77734375" customWidth="1"/>
    <col min="2" max="2" width="22.44140625" customWidth="1"/>
    <col min="3" max="3" width="20.44140625" customWidth="1"/>
  </cols>
  <sheetData>
    <row r="1" spans="1:3" ht="28.8">
      <c r="A1" s="3" t="s">
        <v>58</v>
      </c>
      <c r="B1" s="3" t="s">
        <v>59</v>
      </c>
      <c r="C1" s="3" t="s">
        <v>68</v>
      </c>
    </row>
    <row r="2" spans="1:3">
      <c r="A2" s="4" t="s">
        <v>60</v>
      </c>
      <c r="B2" s="19">
        <v>0.15</v>
      </c>
      <c r="C2" s="6">
        <v>250</v>
      </c>
    </row>
    <row r="3" spans="1:3">
      <c r="A3" s="4" t="s">
        <v>61</v>
      </c>
      <c r="B3" s="19">
        <v>0.25</v>
      </c>
      <c r="C3" s="6">
        <v>250</v>
      </c>
    </row>
    <row r="4" spans="1:3">
      <c r="A4" s="4" t="s">
        <v>62</v>
      </c>
      <c r="B4" s="19">
        <v>0.3</v>
      </c>
      <c r="C4" s="6">
        <v>250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12B9D-D25F-4329-8F80-927F84047F32}">
  <dimension ref="A1:G43"/>
  <sheetViews>
    <sheetView zoomScale="96" zoomScaleNormal="96" workbookViewId="0">
      <selection activeCell="C16" sqref="C16"/>
    </sheetView>
  </sheetViews>
  <sheetFormatPr defaultRowHeight="14.4"/>
  <cols>
    <col min="1" max="1" width="38.6640625" customWidth="1"/>
    <col min="2" max="2" width="28.44140625" customWidth="1"/>
    <col min="3" max="3" width="25.77734375" customWidth="1"/>
    <col min="4" max="4" width="22.33203125" customWidth="1"/>
    <col min="5" max="5" width="25.6640625" customWidth="1"/>
    <col min="6" max="6" width="28.5546875" customWidth="1"/>
    <col min="7" max="7" width="19.109375" customWidth="1"/>
    <col min="8" max="8" width="27.21875" customWidth="1"/>
    <col min="9" max="9" width="28.77734375" customWidth="1"/>
    <col min="10" max="10" width="25.21875" customWidth="1"/>
    <col min="11" max="11" width="21.5546875" customWidth="1"/>
    <col min="12" max="12" width="21.77734375" customWidth="1"/>
    <col min="13" max="13" width="27.44140625" customWidth="1"/>
  </cols>
  <sheetData>
    <row r="1" spans="1:7" ht="19.2" customHeight="1" thickBot="1">
      <c r="A1" s="20" t="s">
        <v>21</v>
      </c>
      <c r="B1" s="11" t="s">
        <v>51</v>
      </c>
      <c r="C1" s="12" t="s">
        <v>63</v>
      </c>
      <c r="D1" t="s">
        <v>64</v>
      </c>
    </row>
    <row r="2" spans="1:7" ht="18" customHeight="1" thickTop="1">
      <c r="A2" s="21">
        <v>43064</v>
      </c>
      <c r="B2" s="13">
        <v>33670</v>
      </c>
      <c r="C2" s="14">
        <v>6.58</v>
      </c>
      <c r="D2">
        <f>ROUND(B2*C2/100,0)</f>
        <v>2215</v>
      </c>
    </row>
    <row r="3" spans="1:7">
      <c r="A3" s="22">
        <v>43065</v>
      </c>
      <c r="B3" s="15">
        <v>33497</v>
      </c>
      <c r="C3" s="16">
        <v>6.18</v>
      </c>
      <c r="D3">
        <f t="shared" ref="D3:D10" si="0">ROUND(B3*C3/100,0)</f>
        <v>2070</v>
      </c>
    </row>
    <row r="4" spans="1:7">
      <c r="A4" s="21">
        <v>43066</v>
      </c>
      <c r="B4" s="13">
        <v>30540</v>
      </c>
      <c r="C4" s="14">
        <v>5.73</v>
      </c>
      <c r="D4">
        <f t="shared" si="0"/>
        <v>1750</v>
      </c>
    </row>
    <row r="5" spans="1:7">
      <c r="A5" s="22">
        <v>43067</v>
      </c>
      <c r="B5" s="15">
        <v>29844</v>
      </c>
      <c r="C5" s="16">
        <v>5.74</v>
      </c>
      <c r="D5">
        <f t="shared" si="0"/>
        <v>1713</v>
      </c>
      <c r="E5" s="4"/>
    </row>
    <row r="6" spans="1:7">
      <c r="A6" s="21">
        <v>43068</v>
      </c>
      <c r="B6" s="13">
        <v>32270</v>
      </c>
      <c r="C6" s="14">
        <v>5.63</v>
      </c>
      <c r="D6">
        <f t="shared" si="0"/>
        <v>1817</v>
      </c>
      <c r="E6" s="4"/>
      <c r="F6" s="4"/>
    </row>
    <row r="7" spans="1:7">
      <c r="A7" s="22">
        <v>43069</v>
      </c>
      <c r="B7" s="15">
        <v>33365</v>
      </c>
      <c r="C7" s="16">
        <v>6.16</v>
      </c>
      <c r="D7">
        <f t="shared" si="0"/>
        <v>2055</v>
      </c>
      <c r="E7" s="4"/>
      <c r="F7" s="4"/>
    </row>
    <row r="8" spans="1:7">
      <c r="A8" s="21">
        <v>43070</v>
      </c>
      <c r="B8" s="13">
        <v>37198</v>
      </c>
      <c r="C8" s="14">
        <v>6.4</v>
      </c>
      <c r="D8">
        <f t="shared" si="0"/>
        <v>2381</v>
      </c>
      <c r="E8" s="4"/>
      <c r="F8" s="4"/>
    </row>
    <row r="9" spans="1:7">
      <c r="A9" s="22">
        <v>43071</v>
      </c>
      <c r="B9" s="15">
        <v>51586</v>
      </c>
      <c r="C9" s="16">
        <v>7.14</v>
      </c>
      <c r="D9">
        <f t="shared" si="0"/>
        <v>3683</v>
      </c>
      <c r="E9" s="4"/>
      <c r="F9" s="4"/>
    </row>
    <row r="10" spans="1:7">
      <c r="A10" s="23">
        <v>43072</v>
      </c>
      <c r="B10" s="17">
        <v>43536</v>
      </c>
      <c r="C10" s="18">
        <v>5.94</v>
      </c>
      <c r="D10">
        <f t="shared" si="0"/>
        <v>2586</v>
      </c>
      <c r="E10" s="4"/>
      <c r="F10" s="4"/>
    </row>
    <row r="11" spans="1:7">
      <c r="B11" s="4"/>
      <c r="C11" s="4"/>
    </row>
    <row r="12" spans="1:7">
      <c r="A12" s="51" t="s">
        <v>69</v>
      </c>
      <c r="B12" s="52"/>
      <c r="E12" s="51" t="s">
        <v>71</v>
      </c>
      <c r="F12" s="52"/>
    </row>
    <row r="13" spans="1:7">
      <c r="A13" s="52"/>
      <c r="B13" s="52"/>
      <c r="E13" s="52"/>
      <c r="F13" s="52"/>
    </row>
    <row r="15" spans="1:7" ht="15" thickBot="1">
      <c r="A15" s="27" t="s">
        <v>65</v>
      </c>
      <c r="B15" t="s">
        <v>70</v>
      </c>
      <c r="C15" t="s">
        <v>76</v>
      </c>
      <c r="D15" s="3"/>
      <c r="E15" s="27" t="s">
        <v>66</v>
      </c>
      <c r="F15" t="s">
        <v>70</v>
      </c>
      <c r="G15" t="s">
        <v>77</v>
      </c>
    </row>
    <row r="16" spans="1:7" ht="15" thickTop="1">
      <c r="A16" s="28">
        <f>ROUND(B2*15/100,0)</f>
        <v>5051</v>
      </c>
      <c r="B16" s="4">
        <f>ROUND(A16-D2,0)</f>
        <v>2836</v>
      </c>
      <c r="C16" s="24">
        <f>B16*250</f>
        <v>709000</v>
      </c>
      <c r="D16" s="4"/>
      <c r="E16" s="28">
        <f>ROUND(B2*25/100,0)</f>
        <v>8418</v>
      </c>
      <c r="F16" s="4">
        <f t="shared" ref="F16:F24" si="1">E16-D2</f>
        <v>6203</v>
      </c>
      <c r="G16" s="24">
        <f>F16*250</f>
        <v>1550750</v>
      </c>
    </row>
    <row r="17" spans="1:7">
      <c r="A17" s="28">
        <f t="shared" ref="A17:A24" si="2">ROUND(B3*15/100,0)</f>
        <v>5025</v>
      </c>
      <c r="B17" s="4">
        <f t="shared" ref="B17:B24" si="3">ROUND(A17-D3,0)</f>
        <v>2955</v>
      </c>
      <c r="C17" s="24">
        <f t="shared" ref="C17:C21" si="4">B17*250</f>
        <v>738750</v>
      </c>
      <c r="E17" s="28">
        <f t="shared" ref="E17:E24" si="5">ROUND(B3*25/100,0)</f>
        <v>8374</v>
      </c>
      <c r="F17" s="4">
        <f t="shared" si="1"/>
        <v>6304</v>
      </c>
      <c r="G17" s="24">
        <f t="shared" ref="G17:G24" si="6">F17*250</f>
        <v>1576000</v>
      </c>
    </row>
    <row r="18" spans="1:7">
      <c r="A18" s="28">
        <f t="shared" si="2"/>
        <v>4581</v>
      </c>
      <c r="B18" s="4">
        <f t="shared" si="3"/>
        <v>2831</v>
      </c>
      <c r="C18" s="24">
        <f t="shared" si="4"/>
        <v>707750</v>
      </c>
      <c r="E18" s="28">
        <f t="shared" si="5"/>
        <v>7635</v>
      </c>
      <c r="F18" s="4">
        <f t="shared" si="1"/>
        <v>5885</v>
      </c>
      <c r="G18" s="24">
        <f t="shared" si="6"/>
        <v>1471250</v>
      </c>
    </row>
    <row r="19" spans="1:7">
      <c r="A19" s="28">
        <f t="shared" si="2"/>
        <v>4477</v>
      </c>
      <c r="B19" s="4">
        <f t="shared" si="3"/>
        <v>2764</v>
      </c>
      <c r="C19" s="24">
        <f t="shared" si="4"/>
        <v>691000</v>
      </c>
      <c r="E19" s="28">
        <f t="shared" si="5"/>
        <v>7461</v>
      </c>
      <c r="F19" s="4">
        <f t="shared" si="1"/>
        <v>5748</v>
      </c>
      <c r="G19" s="24">
        <f t="shared" si="6"/>
        <v>1437000</v>
      </c>
    </row>
    <row r="20" spans="1:7">
      <c r="A20" s="28">
        <f t="shared" si="2"/>
        <v>4841</v>
      </c>
      <c r="B20" s="4">
        <f t="shared" si="3"/>
        <v>3024</v>
      </c>
      <c r="C20" s="24">
        <f t="shared" si="4"/>
        <v>756000</v>
      </c>
      <c r="E20" s="28">
        <f t="shared" si="5"/>
        <v>8068</v>
      </c>
      <c r="F20" s="4">
        <f t="shared" si="1"/>
        <v>6251</v>
      </c>
      <c r="G20" s="24">
        <f t="shared" si="6"/>
        <v>1562750</v>
      </c>
    </row>
    <row r="21" spans="1:7">
      <c r="A21" s="28">
        <f t="shared" si="2"/>
        <v>5005</v>
      </c>
      <c r="B21" s="4">
        <f t="shared" si="3"/>
        <v>2950</v>
      </c>
      <c r="C21" s="24">
        <f t="shared" si="4"/>
        <v>737500</v>
      </c>
      <c r="E21" s="28">
        <f t="shared" si="5"/>
        <v>8341</v>
      </c>
      <c r="F21" s="4">
        <f t="shared" si="1"/>
        <v>6286</v>
      </c>
      <c r="G21" s="24">
        <f t="shared" si="6"/>
        <v>1571500</v>
      </c>
    </row>
    <row r="22" spans="1:7">
      <c r="A22" s="28">
        <f t="shared" si="2"/>
        <v>5580</v>
      </c>
      <c r="B22" s="4">
        <f t="shared" si="3"/>
        <v>3199</v>
      </c>
      <c r="C22" s="24">
        <f>B22*250</f>
        <v>799750</v>
      </c>
      <c r="E22" s="28">
        <f t="shared" si="5"/>
        <v>9300</v>
      </c>
      <c r="F22" s="4">
        <f t="shared" si="1"/>
        <v>6919</v>
      </c>
      <c r="G22" s="24">
        <f t="shared" si="6"/>
        <v>1729750</v>
      </c>
    </row>
    <row r="23" spans="1:7">
      <c r="A23" s="28">
        <f t="shared" si="2"/>
        <v>7738</v>
      </c>
      <c r="B23" s="4">
        <f t="shared" si="3"/>
        <v>4055</v>
      </c>
      <c r="C23" s="24">
        <f>B23*250</f>
        <v>1013750</v>
      </c>
      <c r="E23" s="28">
        <f t="shared" si="5"/>
        <v>12897</v>
      </c>
      <c r="F23" s="4">
        <f t="shared" si="1"/>
        <v>9214</v>
      </c>
      <c r="G23" s="24">
        <f t="shared" si="6"/>
        <v>2303500</v>
      </c>
    </row>
    <row r="24" spans="1:7">
      <c r="A24" s="28">
        <f t="shared" si="2"/>
        <v>6530</v>
      </c>
      <c r="B24" s="4">
        <f t="shared" si="3"/>
        <v>3944</v>
      </c>
      <c r="C24" s="24">
        <f>B24*250</f>
        <v>986000</v>
      </c>
      <c r="E24" s="28">
        <f t="shared" si="5"/>
        <v>10884</v>
      </c>
      <c r="F24" s="4">
        <f t="shared" si="1"/>
        <v>8298</v>
      </c>
      <c r="G24" s="24">
        <f t="shared" si="6"/>
        <v>2074500</v>
      </c>
    </row>
    <row r="27" spans="1:7">
      <c r="A27" s="51" t="s">
        <v>72</v>
      </c>
      <c r="B27" s="52"/>
    </row>
    <row r="28" spans="1:7">
      <c r="A28" s="52"/>
      <c r="B28" s="52"/>
    </row>
    <row r="30" spans="1:7" ht="15" thickBot="1">
      <c r="A30" s="25" t="s">
        <v>67</v>
      </c>
      <c r="B30" t="s">
        <v>70</v>
      </c>
      <c r="C30" t="s">
        <v>78</v>
      </c>
    </row>
    <row r="31" spans="1:7" ht="15" thickTop="1">
      <c r="A31" s="26">
        <f>ROUND(B2*30/100,0)</f>
        <v>10101</v>
      </c>
      <c r="B31" s="4">
        <f t="shared" ref="B31:B39" si="7">A31-D2</f>
        <v>7886</v>
      </c>
      <c r="C31" s="24">
        <f t="shared" ref="C31:C39" si="8">B31*250</f>
        <v>1971500</v>
      </c>
    </row>
    <row r="32" spans="1:7">
      <c r="A32" s="26">
        <f t="shared" ref="A32:A39" si="9">ROUND(B3*30/100,0)</f>
        <v>10049</v>
      </c>
      <c r="B32" s="4">
        <f t="shared" si="7"/>
        <v>7979</v>
      </c>
      <c r="C32" s="24">
        <f t="shared" si="8"/>
        <v>1994750</v>
      </c>
    </row>
    <row r="33" spans="1:3">
      <c r="A33" s="26">
        <f t="shared" si="9"/>
        <v>9162</v>
      </c>
      <c r="B33" s="4">
        <f t="shared" si="7"/>
        <v>7412</v>
      </c>
      <c r="C33" s="24">
        <f t="shared" si="8"/>
        <v>1853000</v>
      </c>
    </row>
    <row r="34" spans="1:3">
      <c r="A34" s="26">
        <f t="shared" si="9"/>
        <v>8953</v>
      </c>
      <c r="B34" s="4">
        <f t="shared" si="7"/>
        <v>7240</v>
      </c>
      <c r="C34" s="24">
        <f t="shared" si="8"/>
        <v>1810000</v>
      </c>
    </row>
    <row r="35" spans="1:3">
      <c r="A35" s="26">
        <f t="shared" si="9"/>
        <v>9681</v>
      </c>
      <c r="B35" s="4">
        <f t="shared" si="7"/>
        <v>7864</v>
      </c>
      <c r="C35" s="24">
        <f t="shared" si="8"/>
        <v>1966000</v>
      </c>
    </row>
    <row r="36" spans="1:3">
      <c r="A36" s="26">
        <f t="shared" si="9"/>
        <v>10010</v>
      </c>
      <c r="B36" s="4">
        <f t="shared" si="7"/>
        <v>7955</v>
      </c>
      <c r="C36" s="24">
        <f t="shared" si="8"/>
        <v>1988750</v>
      </c>
    </row>
    <row r="37" spans="1:3">
      <c r="A37" s="26">
        <f t="shared" si="9"/>
        <v>11159</v>
      </c>
      <c r="B37" s="4">
        <f t="shared" si="7"/>
        <v>8778</v>
      </c>
      <c r="C37" s="24">
        <f t="shared" si="8"/>
        <v>2194500</v>
      </c>
    </row>
    <row r="38" spans="1:3">
      <c r="A38" s="26">
        <f t="shared" si="9"/>
        <v>15476</v>
      </c>
      <c r="B38" s="4">
        <f t="shared" si="7"/>
        <v>11793</v>
      </c>
      <c r="C38" s="24">
        <f t="shared" si="8"/>
        <v>2948250</v>
      </c>
    </row>
    <row r="39" spans="1:3">
      <c r="A39" s="26">
        <f t="shared" si="9"/>
        <v>13061</v>
      </c>
      <c r="B39" s="4">
        <f t="shared" si="7"/>
        <v>10475</v>
      </c>
      <c r="C39" s="24">
        <f t="shared" si="8"/>
        <v>2618750</v>
      </c>
    </row>
    <row r="41" spans="1:3" ht="14.4" customHeight="1"/>
    <row r="42" spans="1:3" ht="14.4" customHeight="1"/>
    <row r="43" spans="1:3" ht="14.4" customHeight="1"/>
  </sheetData>
  <mergeCells count="3">
    <mergeCell ref="A12:B13"/>
    <mergeCell ref="E12:F13"/>
    <mergeCell ref="A27:B28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6CBF9-3F91-4834-AC86-1C5F03E8508D}">
  <dimension ref="A1:O10"/>
  <sheetViews>
    <sheetView workbookViewId="0">
      <selection activeCell="D16" sqref="D16"/>
    </sheetView>
  </sheetViews>
  <sheetFormatPr defaultRowHeight="14.4"/>
  <cols>
    <col min="1" max="1" width="20" customWidth="1"/>
    <col min="2" max="2" width="13.44140625" customWidth="1"/>
    <col min="3" max="3" width="20.5546875" style="43" customWidth="1"/>
    <col min="4" max="4" width="17.6640625" customWidth="1"/>
    <col min="5" max="5" width="24.109375" customWidth="1"/>
    <col min="6" max="6" width="28.44140625" customWidth="1"/>
    <col min="7" max="7" width="30.88671875" customWidth="1"/>
    <col min="8" max="8" width="23.21875" customWidth="1"/>
    <col min="9" max="9" width="33.88671875" customWidth="1"/>
    <col min="10" max="10" width="29" customWidth="1"/>
    <col min="12" max="12" width="19.5546875" customWidth="1"/>
    <col min="13" max="13" width="25.6640625" customWidth="1"/>
    <col min="14" max="14" width="29.109375" customWidth="1"/>
    <col min="15" max="15" width="25.88671875" customWidth="1"/>
  </cols>
  <sheetData>
    <row r="1" spans="1:15" ht="58.2" thickBot="1">
      <c r="A1" s="20" t="s">
        <v>21</v>
      </c>
      <c r="B1" s="11" t="s">
        <v>51</v>
      </c>
      <c r="C1" s="48" t="s">
        <v>63</v>
      </c>
      <c r="D1" s="12" t="s">
        <v>149</v>
      </c>
      <c r="E1" t="s">
        <v>64</v>
      </c>
      <c r="F1" s="3" t="s">
        <v>148</v>
      </c>
      <c r="G1" s="3" t="s">
        <v>65</v>
      </c>
      <c r="H1" s="3" t="s">
        <v>66</v>
      </c>
      <c r="I1" s="3" t="s">
        <v>67</v>
      </c>
      <c r="J1" s="3" t="s">
        <v>73</v>
      </c>
      <c r="K1" s="3" t="s">
        <v>74</v>
      </c>
      <c r="L1" s="3" t="s">
        <v>75</v>
      </c>
      <c r="M1" s="3" t="s">
        <v>76</v>
      </c>
      <c r="N1" s="3" t="s">
        <v>77</v>
      </c>
      <c r="O1" t="s">
        <v>78</v>
      </c>
    </row>
    <row r="2" spans="1:15" ht="15" thickTop="1">
      <c r="A2" s="21">
        <v>43064</v>
      </c>
      <c r="B2" s="13">
        <v>33670</v>
      </c>
      <c r="C2" s="49">
        <f>D2/100</f>
        <v>6.5799999999999997E-2</v>
      </c>
      <c r="D2" s="14">
        <v>6.58</v>
      </c>
      <c r="E2">
        <f t="shared" ref="E2:E10" si="0">ROUND(B2*D2/100,0)</f>
        <v>2215</v>
      </c>
      <c r="F2" s="4">
        <f>Table117[[#This Row],[Current_Users_Retained]]*250</f>
        <v>553750</v>
      </c>
      <c r="G2" s="4">
        <v>5051</v>
      </c>
      <c r="H2" s="4">
        <v>8418</v>
      </c>
      <c r="I2" s="4">
        <v>10101</v>
      </c>
      <c r="J2" s="4">
        <f>'CohortRetention-Simulated_sol'!B16</f>
        <v>2836</v>
      </c>
      <c r="K2" s="4">
        <f>'CohortRetention-Simulated_sol'!F16</f>
        <v>6203</v>
      </c>
      <c r="L2" s="4">
        <f>'CohortRetention-Simulated_sol'!B31</f>
        <v>7886</v>
      </c>
      <c r="M2" s="24">
        <f>'CohortRetention-Simulated_sol'!C16</f>
        <v>709000</v>
      </c>
      <c r="N2" s="24">
        <f>'CohortRetention-Simulated_sol'!G16</f>
        <v>1550750</v>
      </c>
      <c r="O2" s="24">
        <f>'CohortRetention-Simulated_sol'!C31</f>
        <v>1971500</v>
      </c>
    </row>
    <row r="3" spans="1:15">
      <c r="A3" s="22">
        <v>43065</v>
      </c>
      <c r="B3" s="15">
        <v>33497</v>
      </c>
      <c r="C3" s="49">
        <f t="shared" ref="C3:C10" si="1">D3/100</f>
        <v>6.1799999999999994E-2</v>
      </c>
      <c r="D3" s="16">
        <v>6.18</v>
      </c>
      <c r="E3">
        <f t="shared" si="0"/>
        <v>2070</v>
      </c>
      <c r="F3" s="4">
        <f>Table117[[#This Row],[Current_Users_Retained]]*250</f>
        <v>517500</v>
      </c>
      <c r="G3" s="4">
        <v>5025</v>
      </c>
      <c r="H3" s="4">
        <v>8374</v>
      </c>
      <c r="I3" s="4">
        <v>10049</v>
      </c>
      <c r="J3" s="4">
        <f>'CohortRetention-Simulated_sol'!B17</f>
        <v>2955</v>
      </c>
      <c r="K3" s="4">
        <f>'CohortRetention-Simulated_sol'!F17</f>
        <v>6304</v>
      </c>
      <c r="L3" s="4">
        <f>'CohortRetention-Simulated_sol'!B32</f>
        <v>7979</v>
      </c>
      <c r="M3" s="24">
        <f>'CohortRetention-Simulated_sol'!C17</f>
        <v>738750</v>
      </c>
      <c r="N3" s="24">
        <f>'CohortRetention-Simulated_sol'!G17</f>
        <v>1576000</v>
      </c>
      <c r="O3" s="24">
        <f>'CohortRetention-Simulated_sol'!C32</f>
        <v>1994750</v>
      </c>
    </row>
    <row r="4" spans="1:15">
      <c r="A4" s="21">
        <v>43066</v>
      </c>
      <c r="B4" s="13">
        <v>30540</v>
      </c>
      <c r="C4" s="49">
        <f t="shared" si="1"/>
        <v>5.7300000000000004E-2</v>
      </c>
      <c r="D4" s="14">
        <v>5.73</v>
      </c>
      <c r="E4">
        <f t="shared" si="0"/>
        <v>1750</v>
      </c>
      <c r="F4" s="4">
        <f>Table117[[#This Row],[Current_Users_Retained]]*250</f>
        <v>437500</v>
      </c>
      <c r="G4" s="4">
        <v>4581</v>
      </c>
      <c r="H4" s="4">
        <v>7635</v>
      </c>
      <c r="I4" s="4">
        <v>9162</v>
      </c>
      <c r="J4" s="4">
        <f>'CohortRetention-Simulated_sol'!B18</f>
        <v>2831</v>
      </c>
      <c r="K4" s="4">
        <f>'CohortRetention-Simulated_sol'!F18</f>
        <v>5885</v>
      </c>
      <c r="L4" s="4">
        <f>'CohortRetention-Simulated_sol'!B33</f>
        <v>7412</v>
      </c>
      <c r="M4" s="24">
        <f>'CohortRetention-Simulated_sol'!C18</f>
        <v>707750</v>
      </c>
      <c r="N4" s="24">
        <f>'CohortRetention-Simulated_sol'!G18</f>
        <v>1471250</v>
      </c>
      <c r="O4" s="24">
        <f>'CohortRetention-Simulated_sol'!C33</f>
        <v>1853000</v>
      </c>
    </row>
    <row r="5" spans="1:15">
      <c r="A5" s="22">
        <v>43067</v>
      </c>
      <c r="B5" s="15">
        <v>29844</v>
      </c>
      <c r="C5" s="49">
        <f t="shared" si="1"/>
        <v>5.74E-2</v>
      </c>
      <c r="D5" s="16">
        <v>5.74</v>
      </c>
      <c r="E5">
        <f t="shared" si="0"/>
        <v>1713</v>
      </c>
      <c r="F5" s="4">
        <f>Table117[[#This Row],[Current_Users_Retained]]*250</f>
        <v>428250</v>
      </c>
      <c r="G5" s="4">
        <v>4477</v>
      </c>
      <c r="H5" s="4">
        <v>7461</v>
      </c>
      <c r="I5" s="4">
        <v>8953</v>
      </c>
      <c r="J5" s="4">
        <f>'CohortRetention-Simulated_sol'!B19</f>
        <v>2764</v>
      </c>
      <c r="K5" s="4">
        <f>'CohortRetention-Simulated_sol'!F19</f>
        <v>5748</v>
      </c>
      <c r="L5" s="4">
        <f>'CohortRetention-Simulated_sol'!B34</f>
        <v>7240</v>
      </c>
      <c r="M5" s="24">
        <f>'CohortRetention-Simulated_sol'!C19</f>
        <v>691000</v>
      </c>
      <c r="N5" s="24">
        <f>'CohortRetention-Simulated_sol'!G19</f>
        <v>1437000</v>
      </c>
      <c r="O5" s="24">
        <f>'CohortRetention-Simulated_sol'!C34</f>
        <v>1810000</v>
      </c>
    </row>
    <row r="6" spans="1:15">
      <c r="A6" s="21">
        <v>43068</v>
      </c>
      <c r="B6" s="13">
        <v>32270</v>
      </c>
      <c r="C6" s="49">
        <f t="shared" si="1"/>
        <v>5.6299999999999996E-2</v>
      </c>
      <c r="D6" s="14">
        <v>5.63</v>
      </c>
      <c r="E6">
        <f t="shared" si="0"/>
        <v>1817</v>
      </c>
      <c r="F6" s="4">
        <f>Table117[[#This Row],[Current_Users_Retained]]*250</f>
        <v>454250</v>
      </c>
      <c r="G6" s="4">
        <v>4841</v>
      </c>
      <c r="H6" s="4">
        <v>8068</v>
      </c>
      <c r="I6" s="4">
        <v>9681</v>
      </c>
      <c r="J6" s="4">
        <f>'CohortRetention-Simulated_sol'!B20</f>
        <v>3024</v>
      </c>
      <c r="K6" s="4">
        <f>'CohortRetention-Simulated_sol'!F20</f>
        <v>6251</v>
      </c>
      <c r="L6" s="4">
        <f>'CohortRetention-Simulated_sol'!B35</f>
        <v>7864</v>
      </c>
      <c r="M6" s="24">
        <f>'CohortRetention-Simulated_sol'!C20</f>
        <v>756000</v>
      </c>
      <c r="N6" s="24">
        <f>'CohortRetention-Simulated_sol'!G20</f>
        <v>1562750</v>
      </c>
      <c r="O6" s="24">
        <f>'CohortRetention-Simulated_sol'!C35</f>
        <v>1966000</v>
      </c>
    </row>
    <row r="7" spans="1:15">
      <c r="A7" s="22">
        <v>43069</v>
      </c>
      <c r="B7" s="15">
        <v>33365</v>
      </c>
      <c r="C7" s="49">
        <f t="shared" si="1"/>
        <v>6.1600000000000002E-2</v>
      </c>
      <c r="D7" s="16">
        <v>6.16</v>
      </c>
      <c r="E7">
        <f t="shared" si="0"/>
        <v>2055</v>
      </c>
      <c r="F7" s="4">
        <f>Table117[[#This Row],[Current_Users_Retained]]*250</f>
        <v>513750</v>
      </c>
      <c r="G7" s="4">
        <v>5005</v>
      </c>
      <c r="H7" s="4">
        <v>8341</v>
      </c>
      <c r="I7" s="4">
        <v>10010</v>
      </c>
      <c r="J7" s="4">
        <f>'CohortRetention-Simulated_sol'!B21</f>
        <v>2950</v>
      </c>
      <c r="K7" s="4">
        <f>'CohortRetention-Simulated_sol'!F21</f>
        <v>6286</v>
      </c>
      <c r="L7" s="4">
        <f>'CohortRetention-Simulated_sol'!B36</f>
        <v>7955</v>
      </c>
      <c r="M7" s="24">
        <f>'CohortRetention-Simulated_sol'!C21</f>
        <v>737500</v>
      </c>
      <c r="N7" s="24">
        <f>'CohortRetention-Simulated_sol'!G21</f>
        <v>1571500</v>
      </c>
      <c r="O7" s="24">
        <f>'CohortRetention-Simulated_sol'!C36</f>
        <v>1988750</v>
      </c>
    </row>
    <row r="8" spans="1:15">
      <c r="A8" s="21">
        <v>43070</v>
      </c>
      <c r="B8" s="13">
        <v>37198</v>
      </c>
      <c r="C8" s="49">
        <f t="shared" si="1"/>
        <v>6.4000000000000001E-2</v>
      </c>
      <c r="D8" s="14">
        <v>6.4</v>
      </c>
      <c r="E8">
        <f t="shared" si="0"/>
        <v>2381</v>
      </c>
      <c r="F8" s="4">
        <f>Table117[[#This Row],[Current_Users_Retained]]*250</f>
        <v>595250</v>
      </c>
      <c r="G8" s="4">
        <v>5580</v>
      </c>
      <c r="H8" s="4">
        <v>9300</v>
      </c>
      <c r="I8" s="4">
        <v>11159</v>
      </c>
      <c r="J8" s="4">
        <f>'CohortRetention-Simulated_sol'!B22</f>
        <v>3199</v>
      </c>
      <c r="K8" s="4">
        <f>'CohortRetention-Simulated_sol'!F22</f>
        <v>6919</v>
      </c>
      <c r="L8" s="4">
        <f>'CohortRetention-Simulated_sol'!B37</f>
        <v>8778</v>
      </c>
      <c r="M8" s="24">
        <f>'CohortRetention-Simulated_sol'!C22</f>
        <v>799750</v>
      </c>
      <c r="N8" s="24">
        <f>'CohortRetention-Simulated_sol'!G22</f>
        <v>1729750</v>
      </c>
      <c r="O8" s="24">
        <f>'CohortRetention-Simulated_sol'!C37</f>
        <v>2194500</v>
      </c>
    </row>
    <row r="9" spans="1:15">
      <c r="A9" s="22">
        <v>43071</v>
      </c>
      <c r="B9" s="15">
        <v>51586</v>
      </c>
      <c r="C9" s="49">
        <f t="shared" si="1"/>
        <v>7.1399999999999991E-2</v>
      </c>
      <c r="D9" s="16">
        <v>7.14</v>
      </c>
      <c r="E9">
        <f t="shared" si="0"/>
        <v>3683</v>
      </c>
      <c r="F9" s="4">
        <f>Table117[[#This Row],[Current_Users_Retained]]*250</f>
        <v>920750</v>
      </c>
      <c r="G9" s="4">
        <v>7738</v>
      </c>
      <c r="H9" s="4">
        <v>12897</v>
      </c>
      <c r="I9" s="4">
        <v>15476</v>
      </c>
      <c r="J9" s="4">
        <f>'CohortRetention-Simulated_sol'!B23</f>
        <v>4055</v>
      </c>
      <c r="K9" s="4">
        <f>'CohortRetention-Simulated_sol'!F23</f>
        <v>9214</v>
      </c>
      <c r="L9" s="4">
        <f>'CohortRetention-Simulated_sol'!B38</f>
        <v>11793</v>
      </c>
      <c r="M9" s="24">
        <f>'CohortRetention-Simulated_sol'!C23</f>
        <v>1013750</v>
      </c>
      <c r="N9" s="24">
        <f>'CohortRetention-Simulated_sol'!G23</f>
        <v>2303500</v>
      </c>
      <c r="O9" s="24">
        <f>'CohortRetention-Simulated_sol'!C38</f>
        <v>2948250</v>
      </c>
    </row>
    <row r="10" spans="1:15">
      <c r="A10" s="23">
        <v>43072</v>
      </c>
      <c r="B10" s="17">
        <v>43536</v>
      </c>
      <c r="C10" s="49">
        <f t="shared" si="1"/>
        <v>5.9400000000000001E-2</v>
      </c>
      <c r="D10" s="18">
        <v>5.94</v>
      </c>
      <c r="E10">
        <f t="shared" si="0"/>
        <v>2586</v>
      </c>
      <c r="F10" s="4">
        <f>Table117[[#This Row],[Current_Users_Retained]]*250</f>
        <v>646500</v>
      </c>
      <c r="G10" s="4">
        <v>6530</v>
      </c>
      <c r="H10" s="4">
        <v>10884</v>
      </c>
      <c r="I10" s="4">
        <v>13061</v>
      </c>
      <c r="J10" s="4">
        <f>'CohortRetention-Simulated_sol'!B24</f>
        <v>3944</v>
      </c>
      <c r="K10" s="4">
        <f>'CohortRetention-Simulated_sol'!F24</f>
        <v>8298</v>
      </c>
      <c r="L10" s="4">
        <f>'CohortRetention-Simulated_sol'!B39</f>
        <v>10475</v>
      </c>
      <c r="M10" s="24">
        <f>'CohortRetention-Simulated_sol'!C24</f>
        <v>986000</v>
      </c>
      <c r="N10" s="24">
        <f>'CohortRetention-Simulated_sol'!G24</f>
        <v>2074500</v>
      </c>
      <c r="O10" s="24">
        <f>'CohortRetention-Simulated_sol'!C39</f>
        <v>2618750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523B7-5EA5-48D1-877A-D6A9E7BB2D98}">
  <dimension ref="A1:C348"/>
  <sheetViews>
    <sheetView workbookViewId="0">
      <selection activeCell="C3" sqref="C3"/>
    </sheetView>
  </sheetViews>
  <sheetFormatPr defaultRowHeight="14.4"/>
  <cols>
    <col min="1" max="1" width="9.21875" bestFit="1" customWidth="1"/>
    <col min="2" max="2" width="12.21875" bestFit="1" customWidth="1"/>
    <col min="3" max="3" width="20.33203125" bestFit="1" customWidth="1"/>
  </cols>
  <sheetData>
    <row r="1" spans="1:3">
      <c r="A1" t="s">
        <v>0</v>
      </c>
      <c r="B1" t="s">
        <v>8</v>
      </c>
      <c r="C1" t="s">
        <v>9</v>
      </c>
    </row>
    <row r="2" spans="1:3">
      <c r="A2">
        <v>44814</v>
      </c>
      <c r="B2">
        <v>48995</v>
      </c>
      <c r="C2">
        <v>5041.3333329999996</v>
      </c>
    </row>
    <row r="3" spans="1:3">
      <c r="A3">
        <v>236463</v>
      </c>
      <c r="B3">
        <v>60692</v>
      </c>
      <c r="C3">
        <v>5033.2</v>
      </c>
    </row>
    <row r="4" spans="1:3">
      <c r="A4">
        <v>73876</v>
      </c>
      <c r="B4">
        <v>317032</v>
      </c>
      <c r="C4">
        <v>4312</v>
      </c>
    </row>
    <row r="5" spans="1:3">
      <c r="A5">
        <v>963253</v>
      </c>
      <c r="B5">
        <v>344968</v>
      </c>
      <c r="C5">
        <v>4092.333333</v>
      </c>
    </row>
    <row r="6" spans="1:3">
      <c r="A6">
        <v>179022</v>
      </c>
      <c r="B6">
        <v>891289</v>
      </c>
      <c r="C6">
        <v>11246.46667</v>
      </c>
    </row>
    <row r="7" spans="1:3">
      <c r="A7">
        <v>449416</v>
      </c>
      <c r="B7">
        <v>1109510</v>
      </c>
      <c r="C7">
        <v>3755.583333</v>
      </c>
    </row>
    <row r="8" spans="1:3">
      <c r="A8">
        <v>148991</v>
      </c>
      <c r="B8">
        <v>1178516</v>
      </c>
      <c r="C8">
        <v>4764.1666670000004</v>
      </c>
    </row>
    <row r="9" spans="1:3">
      <c r="A9">
        <v>968220</v>
      </c>
      <c r="B9">
        <v>1208487</v>
      </c>
      <c r="C9">
        <v>11275.483329999999</v>
      </c>
    </row>
    <row r="10" spans="1:3">
      <c r="A10">
        <v>172074</v>
      </c>
      <c r="B10">
        <v>1838487</v>
      </c>
      <c r="C10">
        <v>4752.6000000000004</v>
      </c>
    </row>
    <row r="11" spans="1:3">
      <c r="A11">
        <v>752173</v>
      </c>
      <c r="B11">
        <v>1893188</v>
      </c>
      <c r="C11">
        <v>6049.2833330000003</v>
      </c>
    </row>
    <row r="12" spans="1:3">
      <c r="A12">
        <v>925984</v>
      </c>
      <c r="B12">
        <v>1938055</v>
      </c>
      <c r="C12">
        <v>4104.1000000000004</v>
      </c>
    </row>
    <row r="13" spans="1:3">
      <c r="A13">
        <v>454977</v>
      </c>
      <c r="B13">
        <v>1999347</v>
      </c>
      <c r="C13">
        <v>5783.4833330000001</v>
      </c>
    </row>
    <row r="14" spans="1:3">
      <c r="A14">
        <v>830226</v>
      </c>
      <c r="B14">
        <v>2085146</v>
      </c>
      <c r="C14">
        <v>3630.166667</v>
      </c>
    </row>
    <row r="15" spans="1:3">
      <c r="A15">
        <v>30006</v>
      </c>
      <c r="B15">
        <v>2085876</v>
      </c>
      <c r="C15">
        <v>6028.2333330000001</v>
      </c>
    </row>
    <row r="16" spans="1:3">
      <c r="A16">
        <v>256704</v>
      </c>
      <c r="B16">
        <v>2230415</v>
      </c>
      <c r="C16">
        <v>3932.9</v>
      </c>
    </row>
    <row r="17" spans="1:3">
      <c r="A17">
        <v>71346</v>
      </c>
      <c r="B17">
        <v>2439940</v>
      </c>
      <c r="C17">
        <v>4563.0833329999996</v>
      </c>
    </row>
    <row r="18" spans="1:3">
      <c r="A18">
        <v>687867</v>
      </c>
      <c r="B18">
        <v>2486727</v>
      </c>
      <c r="C18">
        <v>4575.8833329999998</v>
      </c>
    </row>
    <row r="19" spans="1:3">
      <c r="A19">
        <v>85630</v>
      </c>
      <c r="B19">
        <v>2686209</v>
      </c>
      <c r="C19">
        <v>8351.7999999999993</v>
      </c>
    </row>
    <row r="20" spans="1:3">
      <c r="A20">
        <v>633837</v>
      </c>
      <c r="B20">
        <v>2695558</v>
      </c>
      <c r="C20">
        <v>4499.8</v>
      </c>
    </row>
    <row r="21" spans="1:3">
      <c r="A21">
        <v>963228</v>
      </c>
      <c r="B21">
        <v>3073913</v>
      </c>
      <c r="C21">
        <v>6126.4166670000004</v>
      </c>
    </row>
    <row r="22" spans="1:3">
      <c r="A22">
        <v>997927</v>
      </c>
      <c r="B22">
        <v>3116774</v>
      </c>
      <c r="C22">
        <v>3974.8166670000001</v>
      </c>
    </row>
    <row r="23" spans="1:3">
      <c r="A23">
        <v>82074</v>
      </c>
      <c r="B23">
        <v>3331987</v>
      </c>
      <c r="C23">
        <v>4539.5833329999996</v>
      </c>
    </row>
    <row r="24" spans="1:3">
      <c r="A24">
        <v>756961</v>
      </c>
      <c r="B24">
        <v>3360324</v>
      </c>
      <c r="C24">
        <v>4642.0166669999999</v>
      </c>
    </row>
    <row r="25" spans="1:3">
      <c r="A25">
        <v>182190</v>
      </c>
      <c r="B25">
        <v>3390839</v>
      </c>
      <c r="C25">
        <v>9406.5833330000005</v>
      </c>
    </row>
    <row r="26" spans="1:3">
      <c r="A26">
        <v>872831</v>
      </c>
      <c r="B26">
        <v>3519195</v>
      </c>
      <c r="C26">
        <v>11108.866669999999</v>
      </c>
    </row>
    <row r="27" spans="1:3">
      <c r="A27">
        <v>839995</v>
      </c>
      <c r="B27">
        <v>3754882</v>
      </c>
      <c r="C27">
        <v>3828.5</v>
      </c>
    </row>
    <row r="28" spans="1:3">
      <c r="A28">
        <v>604274</v>
      </c>
      <c r="B28">
        <v>3915717</v>
      </c>
      <c r="C28">
        <v>4981.1833329999999</v>
      </c>
    </row>
    <row r="29" spans="1:3">
      <c r="A29">
        <v>467170</v>
      </c>
      <c r="B29">
        <v>3917476</v>
      </c>
      <c r="C29">
        <v>3692.2166670000001</v>
      </c>
    </row>
    <row r="30" spans="1:3">
      <c r="A30">
        <v>956752</v>
      </c>
      <c r="B30">
        <v>4159294</v>
      </c>
      <c r="C30">
        <v>3957.9666670000001</v>
      </c>
    </row>
    <row r="31" spans="1:3">
      <c r="A31">
        <v>857083</v>
      </c>
      <c r="B31">
        <v>4244755</v>
      </c>
      <c r="C31">
        <v>5536.3166670000001</v>
      </c>
    </row>
    <row r="32" spans="1:3">
      <c r="A32">
        <v>827902</v>
      </c>
      <c r="B32">
        <v>4480532</v>
      </c>
      <c r="C32">
        <v>5589.3333329999996</v>
      </c>
    </row>
    <row r="33" spans="1:3">
      <c r="A33">
        <v>862259</v>
      </c>
      <c r="B33">
        <v>4664121</v>
      </c>
      <c r="C33">
        <v>5507</v>
      </c>
    </row>
    <row r="34" spans="1:3">
      <c r="A34">
        <v>967854</v>
      </c>
      <c r="B34">
        <v>4722735</v>
      </c>
      <c r="C34">
        <v>5901.0666670000001</v>
      </c>
    </row>
    <row r="35" spans="1:3">
      <c r="A35">
        <v>634429</v>
      </c>
      <c r="B35">
        <v>4793721</v>
      </c>
      <c r="C35">
        <v>5807.6</v>
      </c>
    </row>
    <row r="36" spans="1:3">
      <c r="A36">
        <v>521433</v>
      </c>
      <c r="B36">
        <v>4854978</v>
      </c>
      <c r="C36">
        <v>5100.05</v>
      </c>
    </row>
    <row r="37" spans="1:3">
      <c r="A37">
        <v>673404</v>
      </c>
      <c r="B37">
        <v>141316</v>
      </c>
      <c r="C37">
        <v>7320.7</v>
      </c>
    </row>
    <row r="38" spans="1:3">
      <c r="A38">
        <v>483546</v>
      </c>
      <c r="B38">
        <v>279673</v>
      </c>
      <c r="C38">
        <v>8178.45</v>
      </c>
    </row>
    <row r="39" spans="1:3">
      <c r="A39">
        <v>514133</v>
      </c>
      <c r="B39">
        <v>306257</v>
      </c>
      <c r="C39">
        <v>4561.9833330000001</v>
      </c>
    </row>
    <row r="40" spans="1:3">
      <c r="A40">
        <v>713999</v>
      </c>
      <c r="B40">
        <v>307882</v>
      </c>
      <c r="C40">
        <v>7543.9333329999999</v>
      </c>
    </row>
    <row r="41" spans="1:3">
      <c r="A41">
        <v>115542</v>
      </c>
      <c r="B41">
        <v>414618</v>
      </c>
      <c r="C41">
        <v>4319.7</v>
      </c>
    </row>
    <row r="42" spans="1:3">
      <c r="A42">
        <v>479506</v>
      </c>
      <c r="B42">
        <v>977627</v>
      </c>
      <c r="C42">
        <v>5851.2666669999999</v>
      </c>
    </row>
    <row r="43" spans="1:3">
      <c r="A43">
        <v>418176</v>
      </c>
      <c r="B43">
        <v>1048796</v>
      </c>
      <c r="C43">
        <v>5754.6</v>
      </c>
    </row>
    <row r="44" spans="1:3">
      <c r="A44">
        <v>111624</v>
      </c>
      <c r="B44">
        <v>1079981</v>
      </c>
      <c r="C44">
        <v>8514.0166669999999</v>
      </c>
    </row>
    <row r="45" spans="1:3">
      <c r="A45">
        <v>352</v>
      </c>
      <c r="B45">
        <v>1093361</v>
      </c>
      <c r="C45">
        <v>5274.2166669999997</v>
      </c>
    </row>
    <row r="46" spans="1:3">
      <c r="A46">
        <v>91718</v>
      </c>
      <c r="B46">
        <v>1398644</v>
      </c>
      <c r="C46">
        <v>7796.4</v>
      </c>
    </row>
    <row r="47" spans="1:3">
      <c r="A47">
        <v>147404</v>
      </c>
      <c r="B47">
        <v>1446825</v>
      </c>
      <c r="C47">
        <v>4146.8666670000002</v>
      </c>
    </row>
    <row r="48" spans="1:3">
      <c r="A48">
        <v>347476</v>
      </c>
      <c r="B48">
        <v>1719847</v>
      </c>
      <c r="C48">
        <v>7151.7166669999997</v>
      </c>
    </row>
    <row r="49" spans="1:3">
      <c r="A49">
        <v>398490</v>
      </c>
      <c r="B49">
        <v>1906137</v>
      </c>
      <c r="C49">
        <v>10134.166670000001</v>
      </c>
    </row>
    <row r="50" spans="1:3">
      <c r="A50">
        <v>920408</v>
      </c>
      <c r="B50">
        <v>1924632</v>
      </c>
      <c r="C50">
        <v>5730.9166670000004</v>
      </c>
    </row>
    <row r="51" spans="1:3">
      <c r="A51">
        <v>350195</v>
      </c>
      <c r="B51">
        <v>2286244</v>
      </c>
      <c r="C51">
        <v>5247.35</v>
      </c>
    </row>
    <row r="52" spans="1:3">
      <c r="A52">
        <v>127847</v>
      </c>
      <c r="B52">
        <v>2419802</v>
      </c>
      <c r="C52">
        <v>5474.7833330000003</v>
      </c>
    </row>
    <row r="53" spans="1:3">
      <c r="A53">
        <v>148891</v>
      </c>
      <c r="B53">
        <v>2474309</v>
      </c>
      <c r="C53">
        <v>4429.6000000000004</v>
      </c>
    </row>
    <row r="54" spans="1:3">
      <c r="A54">
        <v>19111</v>
      </c>
      <c r="B54">
        <v>2477034</v>
      </c>
      <c r="C54">
        <v>4954.05</v>
      </c>
    </row>
    <row r="55" spans="1:3">
      <c r="A55">
        <v>240272</v>
      </c>
      <c r="B55">
        <v>2550832</v>
      </c>
      <c r="C55">
        <v>4007.85</v>
      </c>
    </row>
    <row r="56" spans="1:3">
      <c r="A56">
        <v>148009</v>
      </c>
      <c r="B56">
        <v>2568927</v>
      </c>
      <c r="C56">
        <v>6296.2166669999997</v>
      </c>
    </row>
    <row r="57" spans="1:3">
      <c r="A57">
        <v>462285</v>
      </c>
      <c r="B57">
        <v>2667881</v>
      </c>
      <c r="C57">
        <v>6276.1333329999998</v>
      </c>
    </row>
    <row r="58" spans="1:3">
      <c r="A58">
        <v>561534</v>
      </c>
      <c r="B58">
        <v>2808350</v>
      </c>
      <c r="C58">
        <v>7040.05</v>
      </c>
    </row>
    <row r="59" spans="1:3">
      <c r="A59">
        <v>826448</v>
      </c>
      <c r="B59">
        <v>2838066</v>
      </c>
      <c r="C59">
        <v>3649.2666669999999</v>
      </c>
    </row>
    <row r="60" spans="1:3">
      <c r="A60">
        <v>367868</v>
      </c>
      <c r="B60">
        <v>3050899</v>
      </c>
      <c r="C60">
        <v>4275.3333334999998</v>
      </c>
    </row>
    <row r="61" spans="1:3">
      <c r="A61">
        <v>494353</v>
      </c>
      <c r="B61">
        <v>3160591</v>
      </c>
      <c r="C61">
        <v>3878.65</v>
      </c>
    </row>
    <row r="62" spans="1:3">
      <c r="A62">
        <v>58614</v>
      </c>
      <c r="B62">
        <v>3338488</v>
      </c>
      <c r="C62">
        <v>6396.8</v>
      </c>
    </row>
    <row r="63" spans="1:3">
      <c r="A63">
        <v>621933</v>
      </c>
      <c r="B63">
        <v>3404238</v>
      </c>
      <c r="C63">
        <v>4589.6333329999998</v>
      </c>
    </row>
    <row r="64" spans="1:3">
      <c r="A64">
        <v>261415</v>
      </c>
      <c r="B64">
        <v>3581985</v>
      </c>
      <c r="C64">
        <v>5051.4166670000004</v>
      </c>
    </row>
    <row r="65" spans="1:3">
      <c r="A65">
        <v>153548</v>
      </c>
      <c r="B65">
        <v>3621263</v>
      </c>
      <c r="C65">
        <v>11737.333329999999</v>
      </c>
    </row>
    <row r="66" spans="1:3">
      <c r="A66">
        <v>227717</v>
      </c>
      <c r="B66">
        <v>3944994</v>
      </c>
      <c r="C66">
        <v>4294.2833330000003</v>
      </c>
    </row>
    <row r="67" spans="1:3">
      <c r="A67">
        <v>981615</v>
      </c>
      <c r="B67">
        <v>4109915</v>
      </c>
      <c r="C67">
        <v>4473.7166669999997</v>
      </c>
    </row>
    <row r="68" spans="1:3">
      <c r="A68">
        <v>812338</v>
      </c>
      <c r="B68">
        <v>4166760</v>
      </c>
      <c r="C68">
        <v>7823.4333329999999</v>
      </c>
    </row>
    <row r="69" spans="1:3">
      <c r="A69">
        <v>335916</v>
      </c>
      <c r="B69">
        <v>4333153</v>
      </c>
      <c r="C69">
        <v>4733.8833329999998</v>
      </c>
    </row>
    <row r="70" spans="1:3">
      <c r="A70">
        <v>703763</v>
      </c>
      <c r="B70">
        <v>4511447</v>
      </c>
      <c r="C70">
        <v>5754.5666670000001</v>
      </c>
    </row>
    <row r="71" spans="1:3">
      <c r="A71">
        <v>382527</v>
      </c>
      <c r="B71">
        <v>4530417</v>
      </c>
      <c r="C71">
        <v>5197.9166670000004</v>
      </c>
    </row>
    <row r="72" spans="1:3">
      <c r="A72">
        <v>888291</v>
      </c>
      <c r="B72">
        <v>4626061</v>
      </c>
      <c r="C72">
        <v>8635.5499999999993</v>
      </c>
    </row>
    <row r="73" spans="1:3">
      <c r="A73">
        <v>121688</v>
      </c>
      <c r="B73">
        <v>4630891</v>
      </c>
      <c r="C73">
        <v>10035.18333</v>
      </c>
    </row>
    <row r="74" spans="1:3">
      <c r="A74">
        <v>1009480</v>
      </c>
      <c r="B74">
        <v>4732163</v>
      </c>
      <c r="C74">
        <v>6631.5833329999996</v>
      </c>
    </row>
    <row r="75" spans="1:3">
      <c r="A75">
        <v>755127</v>
      </c>
      <c r="B75">
        <v>4870782</v>
      </c>
      <c r="C75">
        <v>4189.9333329999999</v>
      </c>
    </row>
    <row r="76" spans="1:3">
      <c r="A76">
        <v>80591</v>
      </c>
      <c r="B76">
        <v>4956274</v>
      </c>
      <c r="C76">
        <v>3861.65</v>
      </c>
    </row>
    <row r="77" spans="1:3">
      <c r="A77">
        <v>186087</v>
      </c>
      <c r="B77">
        <v>4975727</v>
      </c>
      <c r="C77">
        <v>4402.1333329999998</v>
      </c>
    </row>
    <row r="78" spans="1:3">
      <c r="A78">
        <v>141685</v>
      </c>
      <c r="B78">
        <v>5063985</v>
      </c>
      <c r="C78">
        <v>4525.45</v>
      </c>
    </row>
    <row r="79" spans="1:3">
      <c r="A79">
        <v>642580</v>
      </c>
      <c r="B79">
        <v>113654</v>
      </c>
      <c r="C79">
        <v>6623.6833329999999</v>
      </c>
    </row>
    <row r="80" spans="1:3">
      <c r="A80">
        <v>67118</v>
      </c>
      <c r="B80">
        <v>137349</v>
      </c>
      <c r="C80">
        <v>5256.5166669999999</v>
      </c>
    </row>
    <row r="81" spans="1:3">
      <c r="A81">
        <v>865319</v>
      </c>
      <c r="B81">
        <v>141261</v>
      </c>
      <c r="C81">
        <v>5583.6333329999998</v>
      </c>
    </row>
    <row r="82" spans="1:3">
      <c r="A82">
        <v>1012152</v>
      </c>
      <c r="B82">
        <v>170410</v>
      </c>
      <c r="C82">
        <v>4729.1166670000002</v>
      </c>
    </row>
    <row r="83" spans="1:3">
      <c r="A83">
        <v>156000</v>
      </c>
      <c r="B83">
        <v>360764</v>
      </c>
      <c r="C83">
        <v>3786.15</v>
      </c>
    </row>
    <row r="84" spans="1:3">
      <c r="A84">
        <v>776096</v>
      </c>
      <c r="B84">
        <v>485394</v>
      </c>
      <c r="C84">
        <v>7441.1166670000002</v>
      </c>
    </row>
    <row r="85" spans="1:3">
      <c r="A85">
        <v>233417</v>
      </c>
      <c r="B85">
        <v>594265</v>
      </c>
      <c r="C85">
        <v>4265.95</v>
      </c>
    </row>
    <row r="86" spans="1:3">
      <c r="A86">
        <v>57215</v>
      </c>
      <c r="B86">
        <v>600756</v>
      </c>
      <c r="C86">
        <v>5036</v>
      </c>
    </row>
    <row r="87" spans="1:3">
      <c r="A87">
        <v>57872</v>
      </c>
      <c r="B87">
        <v>687713</v>
      </c>
      <c r="C87">
        <v>3784.85</v>
      </c>
    </row>
    <row r="88" spans="1:3">
      <c r="A88">
        <v>656597</v>
      </c>
      <c r="B88">
        <v>729565</v>
      </c>
      <c r="C88">
        <v>3851.7333330000001</v>
      </c>
    </row>
    <row r="89" spans="1:3">
      <c r="A89">
        <v>965633</v>
      </c>
      <c r="B89">
        <v>855362</v>
      </c>
      <c r="C89">
        <v>9058.6166670000002</v>
      </c>
    </row>
    <row r="90" spans="1:3">
      <c r="A90">
        <v>124204</v>
      </c>
      <c r="B90">
        <v>929062</v>
      </c>
      <c r="C90">
        <v>4161.9166670000004</v>
      </c>
    </row>
    <row r="91" spans="1:3">
      <c r="A91">
        <v>749404</v>
      </c>
      <c r="B91">
        <v>1223421</v>
      </c>
      <c r="C91">
        <v>3776.6750001665</v>
      </c>
    </row>
    <row r="92" spans="1:3">
      <c r="A92">
        <v>427036</v>
      </c>
      <c r="B92">
        <v>1635672</v>
      </c>
      <c r="C92">
        <v>9847.0833330000005</v>
      </c>
    </row>
    <row r="93" spans="1:3">
      <c r="A93">
        <v>222391</v>
      </c>
      <c r="B93">
        <v>1662406</v>
      </c>
      <c r="C93">
        <v>3623.2583331649998</v>
      </c>
    </row>
    <row r="94" spans="1:3">
      <c r="A94">
        <v>269229</v>
      </c>
      <c r="B94">
        <v>1733671</v>
      </c>
      <c r="C94">
        <v>3951.2</v>
      </c>
    </row>
    <row r="95" spans="1:3">
      <c r="A95">
        <v>246237</v>
      </c>
      <c r="B95">
        <v>1879957</v>
      </c>
      <c r="C95">
        <v>10243.93333</v>
      </c>
    </row>
    <row r="96" spans="1:3">
      <c r="A96">
        <v>462064</v>
      </c>
      <c r="B96">
        <v>1976795</v>
      </c>
      <c r="C96">
        <v>4372.1833329999999</v>
      </c>
    </row>
    <row r="97" spans="1:3">
      <c r="A97">
        <v>453</v>
      </c>
      <c r="B97">
        <v>2087705</v>
      </c>
      <c r="C97">
        <v>3945.6</v>
      </c>
    </row>
    <row r="98" spans="1:3">
      <c r="A98">
        <v>346260</v>
      </c>
      <c r="B98">
        <v>2090774</v>
      </c>
      <c r="C98">
        <v>4334.6333329999998</v>
      </c>
    </row>
    <row r="99" spans="1:3">
      <c r="A99">
        <v>711604</v>
      </c>
      <c r="B99">
        <v>2390372</v>
      </c>
      <c r="C99">
        <v>7363.6666670000004</v>
      </c>
    </row>
    <row r="100" spans="1:3">
      <c r="A100">
        <v>192051</v>
      </c>
      <c r="B100">
        <v>2398776</v>
      </c>
      <c r="C100">
        <v>8384.7166670000006</v>
      </c>
    </row>
    <row r="101" spans="1:3">
      <c r="A101">
        <v>779896</v>
      </c>
      <c r="B101">
        <v>2432123</v>
      </c>
      <c r="C101">
        <v>4604.8999999999996</v>
      </c>
    </row>
    <row r="102" spans="1:3">
      <c r="A102">
        <v>452356</v>
      </c>
      <c r="B102">
        <v>2593106</v>
      </c>
      <c r="C102">
        <v>5404.1333329999998</v>
      </c>
    </row>
    <row r="103" spans="1:3">
      <c r="A103">
        <v>779595</v>
      </c>
      <c r="B103">
        <v>2601131</v>
      </c>
      <c r="C103">
        <v>8688.2166670000006</v>
      </c>
    </row>
    <row r="104" spans="1:3">
      <c r="A104">
        <v>262291</v>
      </c>
      <c r="B104">
        <v>2900928</v>
      </c>
      <c r="C104">
        <v>5240.8500000000004</v>
      </c>
    </row>
    <row r="105" spans="1:3">
      <c r="A105">
        <v>859210</v>
      </c>
      <c r="B105">
        <v>2964774</v>
      </c>
      <c r="C105">
        <v>3854.7666669999999</v>
      </c>
    </row>
    <row r="106" spans="1:3">
      <c r="A106">
        <v>639484</v>
      </c>
      <c r="B106">
        <v>3106693</v>
      </c>
      <c r="C106">
        <v>4231.6666670000004</v>
      </c>
    </row>
    <row r="107" spans="1:3">
      <c r="A107">
        <v>445450</v>
      </c>
      <c r="B107">
        <v>3135672</v>
      </c>
      <c r="C107">
        <v>3660.0166669999999</v>
      </c>
    </row>
    <row r="108" spans="1:3">
      <c r="A108">
        <v>982214</v>
      </c>
      <c r="B108">
        <v>3162715</v>
      </c>
      <c r="C108">
        <v>5709.4333329999999</v>
      </c>
    </row>
    <row r="109" spans="1:3">
      <c r="A109">
        <v>552416</v>
      </c>
      <c r="B109">
        <v>3183664</v>
      </c>
      <c r="C109">
        <v>4495.9333329999999</v>
      </c>
    </row>
    <row r="110" spans="1:3">
      <c r="A110">
        <v>74451</v>
      </c>
      <c r="B110">
        <v>3199921</v>
      </c>
      <c r="C110">
        <v>4232.7333330000001</v>
      </c>
    </row>
    <row r="111" spans="1:3">
      <c r="A111">
        <v>674268</v>
      </c>
      <c r="B111">
        <v>3212227</v>
      </c>
      <c r="C111">
        <v>8598.9666670000006</v>
      </c>
    </row>
    <row r="112" spans="1:3">
      <c r="A112">
        <v>855572</v>
      </c>
      <c r="B112">
        <v>3636143</v>
      </c>
      <c r="C112">
        <v>4575.8500000000004</v>
      </c>
    </row>
    <row r="113" spans="1:3">
      <c r="A113">
        <v>463651</v>
      </c>
      <c r="B113">
        <v>3807774</v>
      </c>
      <c r="C113">
        <v>8134.7166669999997</v>
      </c>
    </row>
    <row r="114" spans="1:3">
      <c r="A114">
        <v>416892</v>
      </c>
      <c r="B114">
        <v>3986887</v>
      </c>
      <c r="C114">
        <v>6223.7833330000003</v>
      </c>
    </row>
    <row r="115" spans="1:3">
      <c r="A115">
        <v>246458</v>
      </c>
      <c r="B115">
        <v>4229099</v>
      </c>
      <c r="C115">
        <v>6875.7833330000003</v>
      </c>
    </row>
    <row r="116" spans="1:3">
      <c r="A116">
        <v>633908</v>
      </c>
      <c r="B116">
        <v>4284073</v>
      </c>
      <c r="C116">
        <v>4310.0833329999996</v>
      </c>
    </row>
    <row r="117" spans="1:3">
      <c r="A117">
        <v>224725</v>
      </c>
      <c r="B117">
        <v>4404671</v>
      </c>
      <c r="C117">
        <v>5269.3666670000002</v>
      </c>
    </row>
    <row r="118" spans="1:3">
      <c r="A118">
        <v>40729</v>
      </c>
      <c r="B118">
        <v>4501890</v>
      </c>
      <c r="C118">
        <v>4778.4666669999997</v>
      </c>
    </row>
    <row r="119" spans="1:3">
      <c r="A119">
        <v>539321</v>
      </c>
      <c r="B119">
        <v>4599506</v>
      </c>
      <c r="C119">
        <v>5970.95</v>
      </c>
    </row>
    <row r="120" spans="1:3">
      <c r="A120">
        <v>351306</v>
      </c>
      <c r="B120">
        <v>4732163</v>
      </c>
      <c r="C120">
        <v>4191.7666669999999</v>
      </c>
    </row>
    <row r="121" spans="1:3">
      <c r="A121">
        <v>293751</v>
      </c>
      <c r="B121">
        <v>4749751</v>
      </c>
      <c r="C121">
        <v>8358.5</v>
      </c>
    </row>
    <row r="122" spans="1:3">
      <c r="A122">
        <v>446413</v>
      </c>
      <c r="B122">
        <v>5041055</v>
      </c>
      <c r="C122">
        <v>5123.55</v>
      </c>
    </row>
    <row r="123" spans="1:3">
      <c r="A123">
        <v>461585</v>
      </c>
      <c r="B123">
        <v>46036</v>
      </c>
      <c r="C123">
        <v>10487.81667</v>
      </c>
    </row>
    <row r="124" spans="1:3">
      <c r="A124">
        <v>678341</v>
      </c>
      <c r="B124">
        <v>52115</v>
      </c>
      <c r="C124">
        <v>4553.0999998335001</v>
      </c>
    </row>
    <row r="125" spans="1:3">
      <c r="A125">
        <v>671933</v>
      </c>
      <c r="B125">
        <v>134901</v>
      </c>
      <c r="C125">
        <v>6388.7333330000001</v>
      </c>
    </row>
    <row r="126" spans="1:3">
      <c r="A126">
        <v>237989</v>
      </c>
      <c r="B126">
        <v>276335</v>
      </c>
      <c r="C126">
        <v>4948.0333330000003</v>
      </c>
    </row>
    <row r="127" spans="1:3">
      <c r="A127">
        <v>490102</v>
      </c>
      <c r="B127">
        <v>301616</v>
      </c>
      <c r="C127">
        <v>7877.1833329999999</v>
      </c>
    </row>
    <row r="128" spans="1:3">
      <c r="A128">
        <v>57620</v>
      </c>
      <c r="B128">
        <v>547789</v>
      </c>
      <c r="C128">
        <v>8215.25</v>
      </c>
    </row>
    <row r="129" spans="1:3">
      <c r="A129">
        <v>691254</v>
      </c>
      <c r="B129">
        <v>791378</v>
      </c>
      <c r="C129">
        <v>10434.366669999999</v>
      </c>
    </row>
    <row r="130" spans="1:3">
      <c r="A130">
        <v>723029</v>
      </c>
      <c r="B130">
        <v>1040073</v>
      </c>
      <c r="C130">
        <v>4459.7833330000003</v>
      </c>
    </row>
    <row r="131" spans="1:3">
      <c r="A131">
        <v>597544</v>
      </c>
      <c r="B131">
        <v>1114616</v>
      </c>
      <c r="C131">
        <v>4806.3833334999999</v>
      </c>
    </row>
    <row r="132" spans="1:3">
      <c r="A132">
        <v>975170</v>
      </c>
      <c r="B132">
        <v>1140618</v>
      </c>
      <c r="C132">
        <v>4552.9666669999997</v>
      </c>
    </row>
    <row r="133" spans="1:3">
      <c r="A133">
        <v>763914</v>
      </c>
      <c r="B133">
        <v>1383842</v>
      </c>
      <c r="C133">
        <v>4236.75</v>
      </c>
    </row>
    <row r="134" spans="1:3">
      <c r="A134">
        <v>84215</v>
      </c>
      <c r="B134">
        <v>1489984</v>
      </c>
      <c r="C134">
        <v>5788.65</v>
      </c>
    </row>
    <row r="135" spans="1:3">
      <c r="A135">
        <v>670130</v>
      </c>
      <c r="B135">
        <v>2051155</v>
      </c>
      <c r="C135">
        <v>10674.3</v>
      </c>
    </row>
    <row r="136" spans="1:3">
      <c r="A136">
        <v>529962</v>
      </c>
      <c r="B136">
        <v>2055733</v>
      </c>
      <c r="C136">
        <v>6225.9</v>
      </c>
    </row>
    <row r="137" spans="1:3">
      <c r="A137">
        <v>707311</v>
      </c>
      <c r="B137">
        <v>2101968</v>
      </c>
      <c r="C137">
        <v>5874.0333330000003</v>
      </c>
    </row>
    <row r="138" spans="1:3">
      <c r="A138">
        <v>879731</v>
      </c>
      <c r="B138">
        <v>2386066</v>
      </c>
      <c r="C138">
        <v>3915.3</v>
      </c>
    </row>
    <row r="139" spans="1:3">
      <c r="A139">
        <v>364239</v>
      </c>
      <c r="B139">
        <v>2437517</v>
      </c>
      <c r="C139">
        <v>5076.2666669999999</v>
      </c>
    </row>
    <row r="140" spans="1:3">
      <c r="A140">
        <v>898949</v>
      </c>
      <c r="B140">
        <v>2468309</v>
      </c>
      <c r="C140">
        <v>11004.083329999999</v>
      </c>
    </row>
    <row r="141" spans="1:3">
      <c r="A141">
        <v>834071</v>
      </c>
      <c r="B141">
        <v>2523453</v>
      </c>
      <c r="C141">
        <v>5801.8333329999996</v>
      </c>
    </row>
    <row r="142" spans="1:3">
      <c r="A142">
        <v>651668</v>
      </c>
      <c r="B142">
        <v>2572863</v>
      </c>
      <c r="C142">
        <v>4517.0166669999999</v>
      </c>
    </row>
    <row r="143" spans="1:3">
      <c r="A143">
        <v>420903</v>
      </c>
      <c r="B143">
        <v>2911060</v>
      </c>
      <c r="C143">
        <v>9303</v>
      </c>
    </row>
    <row r="144" spans="1:3">
      <c r="A144">
        <v>379451</v>
      </c>
      <c r="B144">
        <v>3087961</v>
      </c>
      <c r="C144">
        <v>10306.799999999999</v>
      </c>
    </row>
    <row r="145" spans="1:3">
      <c r="A145">
        <v>160354</v>
      </c>
      <c r="B145">
        <v>3293923</v>
      </c>
      <c r="C145">
        <v>8903.6166670000002</v>
      </c>
    </row>
    <row r="146" spans="1:3">
      <c r="A146">
        <v>532296</v>
      </c>
      <c r="B146">
        <v>3332457</v>
      </c>
      <c r="C146">
        <v>8601.1166670000002</v>
      </c>
    </row>
    <row r="147" spans="1:3">
      <c r="A147">
        <v>79366</v>
      </c>
      <c r="B147">
        <v>3428766</v>
      </c>
      <c r="C147">
        <v>4277.1499999999996</v>
      </c>
    </row>
    <row r="148" spans="1:3">
      <c r="A148">
        <v>278882</v>
      </c>
      <c r="B148">
        <v>3560918</v>
      </c>
      <c r="C148">
        <v>7093.25</v>
      </c>
    </row>
    <row r="149" spans="1:3">
      <c r="A149">
        <v>479082</v>
      </c>
      <c r="B149">
        <v>3608407</v>
      </c>
      <c r="C149">
        <v>5396.5333330000003</v>
      </c>
    </row>
    <row r="150" spans="1:3">
      <c r="A150">
        <v>472756</v>
      </c>
      <c r="B150">
        <v>3664207</v>
      </c>
      <c r="C150">
        <v>7179.55</v>
      </c>
    </row>
    <row r="151" spans="1:3">
      <c r="A151">
        <v>236821</v>
      </c>
      <c r="B151">
        <v>3669021</v>
      </c>
      <c r="C151">
        <v>4732.2833330000003</v>
      </c>
    </row>
    <row r="152" spans="1:3">
      <c r="A152">
        <v>613912</v>
      </c>
      <c r="B152">
        <v>3685189</v>
      </c>
      <c r="C152">
        <v>8032.3166670000001</v>
      </c>
    </row>
    <row r="153" spans="1:3">
      <c r="A153">
        <v>898443</v>
      </c>
      <c r="B153">
        <v>3710116</v>
      </c>
      <c r="C153">
        <v>5392.25</v>
      </c>
    </row>
    <row r="154" spans="1:3">
      <c r="A154">
        <v>889384</v>
      </c>
      <c r="B154">
        <v>3717378</v>
      </c>
      <c r="C154">
        <v>5085.6666670000004</v>
      </c>
    </row>
    <row r="155" spans="1:3">
      <c r="A155">
        <v>656409</v>
      </c>
      <c r="B155">
        <v>3878985</v>
      </c>
      <c r="C155">
        <v>6055.1</v>
      </c>
    </row>
    <row r="156" spans="1:3">
      <c r="A156">
        <v>810115</v>
      </c>
      <c r="B156">
        <v>4024409</v>
      </c>
      <c r="C156">
        <v>5567.7333330000001</v>
      </c>
    </row>
    <row r="157" spans="1:3">
      <c r="A157">
        <v>986442</v>
      </c>
      <c r="B157">
        <v>4203292</v>
      </c>
      <c r="C157">
        <v>9674.4333330000009</v>
      </c>
    </row>
    <row r="158" spans="1:3">
      <c r="A158">
        <v>346075</v>
      </c>
      <c r="B158">
        <v>4299390</v>
      </c>
      <c r="C158">
        <v>5063.5333330000003</v>
      </c>
    </row>
    <row r="159" spans="1:3">
      <c r="A159">
        <v>751935</v>
      </c>
      <c r="B159">
        <v>4344039</v>
      </c>
      <c r="C159">
        <v>3618.7833331665001</v>
      </c>
    </row>
    <row r="160" spans="1:3">
      <c r="A160">
        <v>950185</v>
      </c>
      <c r="B160">
        <v>4549308</v>
      </c>
      <c r="C160">
        <v>5811.2666669999999</v>
      </c>
    </row>
    <row r="161" spans="1:3">
      <c r="A161">
        <v>502862</v>
      </c>
      <c r="B161">
        <v>4595865</v>
      </c>
      <c r="C161">
        <v>4644.0833329999996</v>
      </c>
    </row>
    <row r="162" spans="1:3">
      <c r="A162">
        <v>133538</v>
      </c>
      <c r="B162">
        <v>4604158</v>
      </c>
      <c r="C162">
        <v>4375.4333329999999</v>
      </c>
    </row>
    <row r="163" spans="1:3">
      <c r="A163">
        <v>85835</v>
      </c>
      <c r="B163">
        <v>4745036</v>
      </c>
      <c r="C163">
        <v>4299.5</v>
      </c>
    </row>
    <row r="164" spans="1:3">
      <c r="A164">
        <v>766656</v>
      </c>
      <c r="B164">
        <v>4828777</v>
      </c>
      <c r="C164">
        <v>5264.15</v>
      </c>
    </row>
    <row r="165" spans="1:3">
      <c r="A165">
        <v>251743</v>
      </c>
      <c r="B165">
        <v>4881681</v>
      </c>
      <c r="C165">
        <v>5721.7</v>
      </c>
    </row>
    <row r="166" spans="1:3">
      <c r="A166">
        <v>744688</v>
      </c>
      <c r="B166">
        <v>5086213</v>
      </c>
      <c r="C166">
        <v>12098.5</v>
      </c>
    </row>
    <row r="167" spans="1:3">
      <c r="A167">
        <v>905731</v>
      </c>
      <c r="B167">
        <v>479452</v>
      </c>
      <c r="C167">
        <v>9141.3166669999991</v>
      </c>
    </row>
    <row r="168" spans="1:3">
      <c r="A168">
        <v>541094</v>
      </c>
      <c r="B168">
        <v>688991</v>
      </c>
      <c r="C168">
        <v>6077.3666670000002</v>
      </c>
    </row>
    <row r="169" spans="1:3">
      <c r="A169">
        <v>572636</v>
      </c>
      <c r="B169">
        <v>751298</v>
      </c>
      <c r="C169">
        <v>6916.45</v>
      </c>
    </row>
    <row r="170" spans="1:3">
      <c r="A170">
        <v>878988</v>
      </c>
      <c r="B170">
        <v>1117064</v>
      </c>
      <c r="C170">
        <v>4512.95</v>
      </c>
    </row>
    <row r="171" spans="1:3">
      <c r="A171">
        <v>569450</v>
      </c>
      <c r="B171">
        <v>1131491</v>
      </c>
      <c r="C171">
        <v>5735.0166669999999</v>
      </c>
    </row>
    <row r="172" spans="1:3">
      <c r="A172">
        <v>494778</v>
      </c>
      <c r="B172">
        <v>1419645</v>
      </c>
      <c r="C172">
        <v>6437.8833329999998</v>
      </c>
    </row>
    <row r="173" spans="1:3">
      <c r="A173">
        <v>281979</v>
      </c>
      <c r="B173">
        <v>1486733</v>
      </c>
      <c r="C173">
        <v>5642.9833330000001</v>
      </c>
    </row>
    <row r="174" spans="1:3">
      <c r="A174">
        <v>806231</v>
      </c>
      <c r="B174">
        <v>1552558</v>
      </c>
      <c r="C174">
        <v>3846.25</v>
      </c>
    </row>
    <row r="175" spans="1:3">
      <c r="A175">
        <v>890934</v>
      </c>
      <c r="B175">
        <v>1653667</v>
      </c>
      <c r="C175">
        <v>4868.8666670000002</v>
      </c>
    </row>
    <row r="176" spans="1:3">
      <c r="A176">
        <v>739277</v>
      </c>
      <c r="B176">
        <v>1677003</v>
      </c>
      <c r="C176">
        <v>9558.6166670000002</v>
      </c>
    </row>
    <row r="177" spans="1:3">
      <c r="A177">
        <v>860168</v>
      </c>
      <c r="B177">
        <v>1837383</v>
      </c>
      <c r="C177">
        <v>3937.666667</v>
      </c>
    </row>
    <row r="178" spans="1:3">
      <c r="A178">
        <v>479379</v>
      </c>
      <c r="B178">
        <v>1944987</v>
      </c>
      <c r="C178">
        <v>4177.2833330000003</v>
      </c>
    </row>
    <row r="179" spans="1:3">
      <c r="A179">
        <v>881627</v>
      </c>
      <c r="B179">
        <v>2047347</v>
      </c>
      <c r="C179">
        <v>4555.3666670000002</v>
      </c>
    </row>
    <row r="180" spans="1:3">
      <c r="A180">
        <v>737792</v>
      </c>
      <c r="B180">
        <v>2210026</v>
      </c>
      <c r="C180">
        <v>5725.1333329999998</v>
      </c>
    </row>
    <row r="181" spans="1:3">
      <c r="A181">
        <v>210474</v>
      </c>
      <c r="B181">
        <v>2267659</v>
      </c>
      <c r="C181">
        <v>4378.9833330000001</v>
      </c>
    </row>
    <row r="182" spans="1:3">
      <c r="A182">
        <v>1001289</v>
      </c>
      <c r="B182">
        <v>2284656</v>
      </c>
      <c r="C182">
        <v>4994.9666669999997</v>
      </c>
    </row>
    <row r="183" spans="1:3">
      <c r="A183">
        <v>622290</v>
      </c>
      <c r="B183">
        <v>2402579</v>
      </c>
      <c r="C183">
        <v>5783.6166670000002</v>
      </c>
    </row>
    <row r="184" spans="1:3">
      <c r="A184">
        <v>661563</v>
      </c>
      <c r="B184">
        <v>2425879</v>
      </c>
      <c r="C184">
        <v>3692</v>
      </c>
    </row>
    <row r="185" spans="1:3">
      <c r="A185">
        <v>498446</v>
      </c>
      <c r="B185">
        <v>2492961</v>
      </c>
      <c r="C185">
        <v>6107.5166669999999</v>
      </c>
    </row>
    <row r="186" spans="1:3">
      <c r="A186">
        <v>131817</v>
      </c>
      <c r="B186">
        <v>2529000</v>
      </c>
      <c r="C186">
        <v>6207.6</v>
      </c>
    </row>
    <row r="187" spans="1:3">
      <c r="A187">
        <v>684352</v>
      </c>
      <c r="B187">
        <v>2639048</v>
      </c>
      <c r="C187">
        <v>4513.5166669999999</v>
      </c>
    </row>
    <row r="188" spans="1:3">
      <c r="A188">
        <v>862860</v>
      </c>
      <c r="B188">
        <v>2933834</v>
      </c>
      <c r="C188">
        <v>4391.6166670000002</v>
      </c>
    </row>
    <row r="189" spans="1:3">
      <c r="A189">
        <v>725579</v>
      </c>
      <c r="B189">
        <v>3151670</v>
      </c>
      <c r="C189">
        <v>4251.2</v>
      </c>
    </row>
    <row r="190" spans="1:3">
      <c r="A190">
        <v>640116</v>
      </c>
      <c r="B190">
        <v>3328486</v>
      </c>
      <c r="C190">
        <v>7603.5166669999999</v>
      </c>
    </row>
    <row r="191" spans="1:3">
      <c r="A191">
        <v>29432</v>
      </c>
      <c r="B191">
        <v>3481591</v>
      </c>
      <c r="C191">
        <v>7665.55</v>
      </c>
    </row>
    <row r="192" spans="1:3">
      <c r="A192">
        <v>741978</v>
      </c>
      <c r="B192">
        <v>3997260</v>
      </c>
      <c r="C192">
        <v>4340.4166670000004</v>
      </c>
    </row>
    <row r="193" spans="1:3">
      <c r="A193">
        <v>740463</v>
      </c>
      <c r="B193">
        <v>4204018</v>
      </c>
      <c r="C193">
        <v>5034.1499999999996</v>
      </c>
    </row>
    <row r="194" spans="1:3">
      <c r="A194">
        <v>343636</v>
      </c>
      <c r="B194">
        <v>4226017</v>
      </c>
      <c r="C194">
        <v>4775.55</v>
      </c>
    </row>
    <row r="195" spans="1:3">
      <c r="A195">
        <v>900884</v>
      </c>
      <c r="B195">
        <v>4293745</v>
      </c>
      <c r="C195">
        <v>5096.3166670000001</v>
      </c>
    </row>
    <row r="196" spans="1:3">
      <c r="A196">
        <v>520939</v>
      </c>
      <c r="B196">
        <v>4337209</v>
      </c>
      <c r="C196">
        <v>4453.0833329999996</v>
      </c>
    </row>
    <row r="197" spans="1:3">
      <c r="A197">
        <v>1007159</v>
      </c>
      <c r="B197">
        <v>4360096</v>
      </c>
      <c r="C197">
        <v>4784.6499999999996</v>
      </c>
    </row>
    <row r="198" spans="1:3">
      <c r="A198">
        <v>438526</v>
      </c>
      <c r="B198">
        <v>4370251</v>
      </c>
      <c r="C198">
        <v>4020.2916664999998</v>
      </c>
    </row>
    <row r="199" spans="1:3">
      <c r="A199">
        <v>336608</v>
      </c>
      <c r="B199">
        <v>4463389</v>
      </c>
      <c r="C199">
        <v>6053.8666670000002</v>
      </c>
    </row>
    <row r="200" spans="1:3">
      <c r="A200">
        <v>191853</v>
      </c>
      <c r="B200">
        <v>4512654</v>
      </c>
      <c r="C200">
        <v>4949.8</v>
      </c>
    </row>
    <row r="201" spans="1:3">
      <c r="A201">
        <v>88678</v>
      </c>
      <c r="B201">
        <v>4576241</v>
      </c>
      <c r="C201">
        <v>4679.9333329999999</v>
      </c>
    </row>
    <row r="202" spans="1:3">
      <c r="A202">
        <v>262899</v>
      </c>
      <c r="B202">
        <v>4689827</v>
      </c>
      <c r="C202">
        <v>4421.4333329999999</v>
      </c>
    </row>
    <row r="203" spans="1:3">
      <c r="A203">
        <v>844636</v>
      </c>
      <c r="B203">
        <v>4718133</v>
      </c>
      <c r="C203">
        <v>6613.5166669999999</v>
      </c>
    </row>
    <row r="204" spans="1:3">
      <c r="A204">
        <v>684289</v>
      </c>
      <c r="B204">
        <v>4740109</v>
      </c>
      <c r="C204">
        <v>7532.1666670000004</v>
      </c>
    </row>
    <row r="205" spans="1:3">
      <c r="A205">
        <v>17550</v>
      </c>
      <c r="B205">
        <v>4747566</v>
      </c>
      <c r="C205">
        <v>5827.1333329999998</v>
      </c>
    </row>
    <row r="206" spans="1:3">
      <c r="A206">
        <v>930798</v>
      </c>
      <c r="B206">
        <v>4836094</v>
      </c>
      <c r="C206">
        <v>3849.54444333333</v>
      </c>
    </row>
    <row r="207" spans="1:3">
      <c r="A207">
        <v>4788</v>
      </c>
      <c r="B207">
        <v>5044199</v>
      </c>
      <c r="C207">
        <v>5404.7333330000001</v>
      </c>
    </row>
    <row r="208" spans="1:3">
      <c r="A208">
        <v>627346</v>
      </c>
      <c r="B208">
        <v>218533</v>
      </c>
      <c r="C208">
        <v>6581.9333329999999</v>
      </c>
    </row>
    <row r="209" spans="1:3">
      <c r="A209">
        <v>393888</v>
      </c>
      <c r="B209">
        <v>224835</v>
      </c>
      <c r="C209">
        <v>4635.9833330000001</v>
      </c>
    </row>
    <row r="210" spans="1:3">
      <c r="A210">
        <v>130677</v>
      </c>
      <c r="B210">
        <v>232491</v>
      </c>
      <c r="C210">
        <v>7993.9833330000001</v>
      </c>
    </row>
    <row r="211" spans="1:3">
      <c r="A211">
        <v>368617</v>
      </c>
      <c r="B211">
        <v>329023</v>
      </c>
      <c r="C211">
        <v>4205.3999999999996</v>
      </c>
    </row>
    <row r="212" spans="1:3">
      <c r="A212">
        <v>544365</v>
      </c>
      <c r="B212">
        <v>401681</v>
      </c>
      <c r="C212">
        <v>5543.4333329999999</v>
      </c>
    </row>
    <row r="213" spans="1:3">
      <c r="A213">
        <v>361632</v>
      </c>
      <c r="B213">
        <v>423109</v>
      </c>
      <c r="C213">
        <v>3610.5916665</v>
      </c>
    </row>
    <row r="214" spans="1:3">
      <c r="A214">
        <v>863673</v>
      </c>
      <c r="B214">
        <v>700302</v>
      </c>
      <c r="C214">
        <v>5650.3833329999998</v>
      </c>
    </row>
    <row r="215" spans="1:3">
      <c r="A215">
        <v>628575</v>
      </c>
      <c r="B215">
        <v>980696</v>
      </c>
      <c r="C215">
        <v>4178.1333329999998</v>
      </c>
    </row>
    <row r="216" spans="1:3">
      <c r="A216">
        <v>526212</v>
      </c>
      <c r="B216">
        <v>1057022</v>
      </c>
      <c r="C216">
        <v>3606.1</v>
      </c>
    </row>
    <row r="217" spans="1:3">
      <c r="A217">
        <v>235374</v>
      </c>
      <c r="B217">
        <v>1233295</v>
      </c>
      <c r="C217">
        <v>4319.3833329999998</v>
      </c>
    </row>
    <row r="218" spans="1:3">
      <c r="A218">
        <v>745710</v>
      </c>
      <c r="B218">
        <v>1763248</v>
      </c>
      <c r="C218">
        <v>8889.2999999999993</v>
      </c>
    </row>
    <row r="219" spans="1:3">
      <c r="A219">
        <v>859096</v>
      </c>
      <c r="B219">
        <v>1856676</v>
      </c>
      <c r="C219">
        <v>8322.9</v>
      </c>
    </row>
    <row r="220" spans="1:3">
      <c r="A220">
        <v>434025</v>
      </c>
      <c r="B220">
        <v>1951907</v>
      </c>
      <c r="C220">
        <v>9416.4666670000006</v>
      </c>
    </row>
    <row r="221" spans="1:3">
      <c r="A221">
        <v>773117</v>
      </c>
      <c r="B221">
        <v>2030285</v>
      </c>
      <c r="C221">
        <v>4270.6166670000002</v>
      </c>
    </row>
    <row r="222" spans="1:3">
      <c r="A222">
        <v>456952</v>
      </c>
      <c r="B222">
        <v>2065862</v>
      </c>
      <c r="C222">
        <v>4249.55</v>
      </c>
    </row>
    <row r="223" spans="1:3">
      <c r="A223">
        <v>516550</v>
      </c>
      <c r="B223">
        <v>2167765</v>
      </c>
      <c r="C223">
        <v>4403.4666669999997</v>
      </c>
    </row>
    <row r="224" spans="1:3">
      <c r="A224">
        <v>507568</v>
      </c>
      <c r="B224">
        <v>2284378</v>
      </c>
      <c r="C224">
        <v>4352.95</v>
      </c>
    </row>
    <row r="225" spans="1:3">
      <c r="A225">
        <v>638677</v>
      </c>
      <c r="B225">
        <v>2313884</v>
      </c>
      <c r="C225">
        <v>6291.2333330000001</v>
      </c>
    </row>
    <row r="226" spans="1:3">
      <c r="A226">
        <v>528311</v>
      </c>
      <c r="B226">
        <v>2596902</v>
      </c>
      <c r="C226">
        <v>5476.95</v>
      </c>
    </row>
    <row r="227" spans="1:3">
      <c r="A227">
        <v>996178</v>
      </c>
      <c r="B227">
        <v>2697073</v>
      </c>
      <c r="C227">
        <v>3930.7666669999999</v>
      </c>
    </row>
    <row r="228" spans="1:3">
      <c r="A228">
        <v>319971</v>
      </c>
      <c r="B228">
        <v>2768072</v>
      </c>
      <c r="C228">
        <v>3870.9666670000001</v>
      </c>
    </row>
    <row r="229" spans="1:3">
      <c r="A229">
        <v>740249</v>
      </c>
      <c r="B229">
        <v>2842268</v>
      </c>
      <c r="C229">
        <v>3735.7666669999999</v>
      </c>
    </row>
    <row r="230" spans="1:3">
      <c r="A230">
        <v>925190</v>
      </c>
      <c r="B230">
        <v>2859421</v>
      </c>
      <c r="C230">
        <v>8989</v>
      </c>
    </row>
    <row r="231" spans="1:3">
      <c r="A231">
        <v>213133</v>
      </c>
      <c r="B231">
        <v>3033663</v>
      </c>
      <c r="C231">
        <v>4469.9333329999999</v>
      </c>
    </row>
    <row r="232" spans="1:3">
      <c r="A232">
        <v>351817</v>
      </c>
      <c r="B232">
        <v>3078938</v>
      </c>
      <c r="C232">
        <v>4306.7</v>
      </c>
    </row>
    <row r="233" spans="1:3">
      <c r="A233">
        <v>82961</v>
      </c>
      <c r="B233">
        <v>3157301</v>
      </c>
      <c r="C233">
        <v>8533.7666669999999</v>
      </c>
    </row>
    <row r="234" spans="1:3">
      <c r="A234">
        <v>786202</v>
      </c>
      <c r="B234">
        <v>3332880</v>
      </c>
      <c r="C234">
        <v>4439.4333329999999</v>
      </c>
    </row>
    <row r="235" spans="1:3">
      <c r="A235">
        <v>524026</v>
      </c>
      <c r="B235">
        <v>3347807</v>
      </c>
      <c r="C235">
        <v>6372.0666670000001</v>
      </c>
    </row>
    <row r="236" spans="1:3">
      <c r="A236">
        <v>25716</v>
      </c>
      <c r="B236">
        <v>3488746</v>
      </c>
      <c r="C236">
        <v>7128.3666670000002</v>
      </c>
    </row>
    <row r="237" spans="1:3">
      <c r="A237">
        <v>657510</v>
      </c>
      <c r="B237">
        <v>3821191</v>
      </c>
      <c r="C237">
        <v>6127.4666669999997</v>
      </c>
    </row>
    <row r="238" spans="1:3">
      <c r="A238">
        <v>898213</v>
      </c>
      <c r="B238">
        <v>3832805</v>
      </c>
      <c r="C238">
        <v>8721.4333330000009</v>
      </c>
    </row>
    <row r="239" spans="1:3">
      <c r="A239">
        <v>135149</v>
      </c>
      <c r="B239">
        <v>3983173</v>
      </c>
      <c r="C239">
        <v>6010.8166670000001</v>
      </c>
    </row>
    <row r="240" spans="1:3">
      <c r="A240">
        <v>667540</v>
      </c>
      <c r="B240">
        <v>4104826</v>
      </c>
      <c r="C240">
        <v>10085.583329999999</v>
      </c>
    </row>
    <row r="241" spans="1:3">
      <c r="A241">
        <v>478552</v>
      </c>
      <c r="B241">
        <v>4258680</v>
      </c>
      <c r="C241">
        <v>7645.45</v>
      </c>
    </row>
    <row r="242" spans="1:3">
      <c r="A242">
        <v>776949</v>
      </c>
      <c r="B242">
        <v>4478783</v>
      </c>
      <c r="C242">
        <v>5314.75</v>
      </c>
    </row>
    <row r="243" spans="1:3">
      <c r="A243">
        <v>794219</v>
      </c>
      <c r="B243">
        <v>4514302</v>
      </c>
      <c r="C243">
        <v>5000.6499999999996</v>
      </c>
    </row>
    <row r="244" spans="1:3">
      <c r="A244">
        <v>952080</v>
      </c>
      <c r="B244">
        <v>4601011</v>
      </c>
      <c r="C244">
        <v>9056.6666669999995</v>
      </c>
    </row>
    <row r="245" spans="1:3">
      <c r="A245">
        <v>352496</v>
      </c>
      <c r="B245">
        <v>4645994</v>
      </c>
      <c r="C245">
        <v>5824.6</v>
      </c>
    </row>
    <row r="246" spans="1:3">
      <c r="A246">
        <v>344510</v>
      </c>
      <c r="B246">
        <v>4800088</v>
      </c>
      <c r="C246">
        <v>6345.8666670000002</v>
      </c>
    </row>
    <row r="247" spans="1:3">
      <c r="A247">
        <v>329948</v>
      </c>
      <c r="B247">
        <v>4943898</v>
      </c>
      <c r="C247">
        <v>9935.0166669999999</v>
      </c>
    </row>
    <row r="248" spans="1:3">
      <c r="A248">
        <v>313987</v>
      </c>
      <c r="B248">
        <v>4960620</v>
      </c>
      <c r="C248">
        <v>8187.7</v>
      </c>
    </row>
    <row r="249" spans="1:3">
      <c r="A249">
        <v>857213</v>
      </c>
      <c r="B249">
        <v>4967119</v>
      </c>
      <c r="C249">
        <v>8204.4500000000007</v>
      </c>
    </row>
    <row r="250" spans="1:3">
      <c r="A250">
        <v>729576</v>
      </c>
      <c r="B250">
        <v>60802</v>
      </c>
      <c r="C250">
        <v>3922.3166670000001</v>
      </c>
    </row>
    <row r="251" spans="1:3">
      <c r="A251">
        <v>923091</v>
      </c>
      <c r="B251">
        <v>107214</v>
      </c>
      <c r="C251">
        <v>5791.4166670000004</v>
      </c>
    </row>
    <row r="252" spans="1:3">
      <c r="A252">
        <v>275148</v>
      </c>
      <c r="B252">
        <v>191131</v>
      </c>
      <c r="C252">
        <v>4315.5166669999999</v>
      </c>
    </row>
    <row r="253" spans="1:3">
      <c r="A253">
        <v>498102</v>
      </c>
      <c r="B253">
        <v>468606</v>
      </c>
      <c r="C253">
        <v>5500.8</v>
      </c>
    </row>
    <row r="254" spans="1:3">
      <c r="A254">
        <v>463835</v>
      </c>
      <c r="B254">
        <v>523042</v>
      </c>
      <c r="C254">
        <v>5731.1166670000002</v>
      </c>
    </row>
    <row r="255" spans="1:3">
      <c r="A255">
        <v>613326</v>
      </c>
      <c r="B255">
        <v>683172</v>
      </c>
      <c r="C255">
        <v>5274.8333329999996</v>
      </c>
    </row>
    <row r="256" spans="1:3">
      <c r="A256">
        <v>242155</v>
      </c>
      <c r="B256">
        <v>704801</v>
      </c>
      <c r="C256">
        <v>6462.1166670000002</v>
      </c>
    </row>
    <row r="257" spans="1:3">
      <c r="A257">
        <v>232030</v>
      </c>
      <c r="B257">
        <v>735378</v>
      </c>
      <c r="C257">
        <v>3915.6833329999999</v>
      </c>
    </row>
    <row r="258" spans="1:3">
      <c r="A258">
        <v>800859</v>
      </c>
      <c r="B258">
        <v>827611</v>
      </c>
      <c r="C258">
        <v>4473.55</v>
      </c>
    </row>
    <row r="259" spans="1:3">
      <c r="A259">
        <v>353620</v>
      </c>
      <c r="B259">
        <v>890416</v>
      </c>
      <c r="C259">
        <v>3649.5</v>
      </c>
    </row>
    <row r="260" spans="1:3">
      <c r="A260">
        <v>60140</v>
      </c>
      <c r="B260">
        <v>1003203</v>
      </c>
      <c r="C260">
        <v>6355.85</v>
      </c>
    </row>
    <row r="261" spans="1:3">
      <c r="A261">
        <v>408569</v>
      </c>
      <c r="B261">
        <v>1037624</v>
      </c>
      <c r="C261">
        <v>8580.5</v>
      </c>
    </row>
    <row r="262" spans="1:3">
      <c r="A262">
        <v>713678</v>
      </c>
      <c r="B262">
        <v>1039472</v>
      </c>
      <c r="C262">
        <v>3894.8833330000002</v>
      </c>
    </row>
    <row r="263" spans="1:3">
      <c r="A263">
        <v>912208</v>
      </c>
      <c r="B263">
        <v>1150807</v>
      </c>
      <c r="C263">
        <v>5715.65</v>
      </c>
    </row>
    <row r="264" spans="1:3">
      <c r="A264">
        <v>609082</v>
      </c>
      <c r="B264">
        <v>1336957</v>
      </c>
      <c r="C264">
        <v>5793.7166669999997</v>
      </c>
    </row>
    <row r="265" spans="1:3">
      <c r="A265">
        <v>105491</v>
      </c>
      <c r="B265">
        <v>1602185</v>
      </c>
      <c r="C265">
        <v>5644.0333330000003</v>
      </c>
    </row>
    <row r="266" spans="1:3">
      <c r="A266">
        <v>692850</v>
      </c>
      <c r="B266">
        <v>1681913</v>
      </c>
      <c r="C266">
        <v>3962.5666670000001</v>
      </c>
    </row>
    <row r="267" spans="1:3">
      <c r="A267">
        <v>905221</v>
      </c>
      <c r="B267">
        <v>1727100</v>
      </c>
      <c r="C267">
        <v>6409.6</v>
      </c>
    </row>
    <row r="268" spans="1:3">
      <c r="A268">
        <v>297294</v>
      </c>
      <c r="B268">
        <v>1853155</v>
      </c>
      <c r="C268">
        <v>5884.8</v>
      </c>
    </row>
    <row r="269" spans="1:3">
      <c r="A269">
        <v>289476</v>
      </c>
      <c r="B269">
        <v>1856518</v>
      </c>
      <c r="C269">
        <v>4597.6000000000004</v>
      </c>
    </row>
    <row r="270" spans="1:3">
      <c r="A270">
        <v>660805</v>
      </c>
      <c r="B270">
        <v>1866481</v>
      </c>
      <c r="C270">
        <v>3995.5333329999999</v>
      </c>
    </row>
    <row r="271" spans="1:3">
      <c r="A271">
        <v>607012</v>
      </c>
      <c r="B271">
        <v>1981693</v>
      </c>
      <c r="C271">
        <v>8507.7166670000006</v>
      </c>
    </row>
    <row r="272" spans="1:3">
      <c r="A272">
        <v>929507</v>
      </c>
      <c r="B272">
        <v>2020628</v>
      </c>
      <c r="C272">
        <v>4276.6000000000004</v>
      </c>
    </row>
    <row r="273" spans="1:3">
      <c r="A273">
        <v>342113</v>
      </c>
      <c r="B273">
        <v>2058463</v>
      </c>
      <c r="C273">
        <v>4598.2333330000001</v>
      </c>
    </row>
    <row r="274" spans="1:3">
      <c r="A274">
        <v>468572</v>
      </c>
      <c r="B274">
        <v>2180984</v>
      </c>
      <c r="C274">
        <v>5106.5000016664999</v>
      </c>
    </row>
    <row r="275" spans="1:3">
      <c r="A275">
        <v>665488</v>
      </c>
      <c r="B275">
        <v>2369267</v>
      </c>
      <c r="C275">
        <v>4962.1499999999996</v>
      </c>
    </row>
    <row r="276" spans="1:3">
      <c r="A276">
        <v>851841</v>
      </c>
      <c r="B276">
        <v>2404889</v>
      </c>
      <c r="C276">
        <v>4582.8999999999996</v>
      </c>
    </row>
    <row r="277" spans="1:3">
      <c r="A277">
        <v>865905</v>
      </c>
      <c r="B277">
        <v>2629942</v>
      </c>
      <c r="C277">
        <v>5116.7666669999999</v>
      </c>
    </row>
    <row r="278" spans="1:3">
      <c r="A278">
        <v>317720</v>
      </c>
      <c r="B278">
        <v>2693518</v>
      </c>
      <c r="C278">
        <v>3880.666667</v>
      </c>
    </row>
    <row r="279" spans="1:3">
      <c r="A279">
        <v>898634</v>
      </c>
      <c r="B279">
        <v>2782189</v>
      </c>
      <c r="C279">
        <v>7983</v>
      </c>
    </row>
    <row r="280" spans="1:3">
      <c r="A280">
        <v>667476</v>
      </c>
      <c r="B280">
        <v>2790543</v>
      </c>
      <c r="C280">
        <v>4317.2166669999997</v>
      </c>
    </row>
    <row r="281" spans="1:3">
      <c r="A281">
        <v>797668</v>
      </c>
      <c r="B281">
        <v>2843360</v>
      </c>
      <c r="C281">
        <v>4611.8916666650002</v>
      </c>
    </row>
    <row r="282" spans="1:3">
      <c r="A282">
        <v>190699</v>
      </c>
      <c r="B282">
        <v>3190441</v>
      </c>
      <c r="C282">
        <v>4945.1166670000002</v>
      </c>
    </row>
    <row r="283" spans="1:3">
      <c r="A283">
        <v>588005</v>
      </c>
      <c r="B283">
        <v>3452112</v>
      </c>
      <c r="C283">
        <v>6345.1666670000004</v>
      </c>
    </row>
    <row r="284" spans="1:3">
      <c r="A284">
        <v>265285</v>
      </c>
      <c r="B284">
        <v>3609468</v>
      </c>
      <c r="C284">
        <v>4437.3666670000002</v>
      </c>
    </row>
    <row r="285" spans="1:3">
      <c r="A285">
        <v>882104</v>
      </c>
      <c r="B285">
        <v>3643129</v>
      </c>
      <c r="C285">
        <v>3623.083333</v>
      </c>
    </row>
    <row r="286" spans="1:3">
      <c r="A286">
        <v>607458</v>
      </c>
      <c r="B286">
        <v>3667351</v>
      </c>
      <c r="C286">
        <v>9538.4833330000001</v>
      </c>
    </row>
    <row r="287" spans="1:3">
      <c r="A287">
        <v>498887</v>
      </c>
      <c r="B287">
        <v>3683755</v>
      </c>
      <c r="C287">
        <v>7951.9833330000001</v>
      </c>
    </row>
    <row r="288" spans="1:3">
      <c r="A288">
        <v>450004</v>
      </c>
      <c r="B288">
        <v>3792683</v>
      </c>
      <c r="C288">
        <v>4839.5833329999996</v>
      </c>
    </row>
    <row r="289" spans="1:3">
      <c r="A289">
        <v>141427</v>
      </c>
      <c r="B289">
        <v>3988604</v>
      </c>
      <c r="C289">
        <v>9531.2666669999999</v>
      </c>
    </row>
    <row r="290" spans="1:3">
      <c r="A290">
        <v>213189</v>
      </c>
      <c r="B290">
        <v>4018132</v>
      </c>
      <c r="C290">
        <v>7303.2166669999997</v>
      </c>
    </row>
    <row r="291" spans="1:3">
      <c r="A291">
        <v>126584</v>
      </c>
      <c r="B291">
        <v>4019667</v>
      </c>
      <c r="C291">
        <v>5783.95</v>
      </c>
    </row>
    <row r="292" spans="1:3">
      <c r="A292">
        <v>136890</v>
      </c>
      <c r="B292">
        <v>4024409</v>
      </c>
      <c r="C292">
        <v>3755.3</v>
      </c>
    </row>
    <row r="293" spans="1:3">
      <c r="A293">
        <v>456814</v>
      </c>
      <c r="B293">
        <v>4088401</v>
      </c>
      <c r="C293">
        <v>4649.6000000000004</v>
      </c>
    </row>
    <row r="294" spans="1:3">
      <c r="A294">
        <v>239809</v>
      </c>
      <c r="B294">
        <v>4251025</v>
      </c>
      <c r="C294">
        <v>5628.4</v>
      </c>
    </row>
    <row r="295" spans="1:3">
      <c r="A295">
        <v>32901</v>
      </c>
      <c r="B295">
        <v>4274539</v>
      </c>
      <c r="C295">
        <v>9883.1333329999998</v>
      </c>
    </row>
    <row r="296" spans="1:3">
      <c r="A296">
        <v>608915</v>
      </c>
      <c r="B296">
        <v>4277622</v>
      </c>
      <c r="C296">
        <v>5476.6833329999999</v>
      </c>
    </row>
    <row r="297" spans="1:3">
      <c r="A297">
        <v>545478</v>
      </c>
      <c r="B297">
        <v>4312513</v>
      </c>
      <c r="C297">
        <v>6981.0333330000003</v>
      </c>
    </row>
    <row r="298" spans="1:3">
      <c r="A298">
        <v>275820</v>
      </c>
      <c r="B298">
        <v>4401676</v>
      </c>
      <c r="C298">
        <v>9797.2000000000007</v>
      </c>
    </row>
    <row r="299" spans="1:3">
      <c r="A299">
        <v>865488</v>
      </c>
      <c r="B299">
        <v>4444358</v>
      </c>
      <c r="C299">
        <v>5456.9666669999997</v>
      </c>
    </row>
    <row r="300" spans="1:3">
      <c r="A300">
        <v>515908</v>
      </c>
      <c r="B300">
        <v>4691922</v>
      </c>
      <c r="C300">
        <v>3701.583333</v>
      </c>
    </row>
    <row r="301" spans="1:3">
      <c r="A301">
        <v>215993</v>
      </c>
      <c r="B301">
        <v>4989934</v>
      </c>
      <c r="C301">
        <v>4933.5333330000003</v>
      </c>
    </row>
    <row r="302" spans="1:3">
      <c r="A302">
        <v>569460</v>
      </c>
      <c r="B302">
        <v>5083723</v>
      </c>
      <c r="C302">
        <v>4952.4166670000004</v>
      </c>
    </row>
    <row r="303" spans="1:3">
      <c r="A303">
        <v>635443</v>
      </c>
      <c r="B303">
        <v>78142</v>
      </c>
      <c r="C303">
        <v>4724.3999999999996</v>
      </c>
    </row>
    <row r="304" spans="1:3">
      <c r="A304">
        <v>990796</v>
      </c>
      <c r="B304">
        <v>153297</v>
      </c>
      <c r="C304">
        <v>11974.9</v>
      </c>
    </row>
    <row r="305" spans="1:3">
      <c r="A305">
        <v>232827</v>
      </c>
      <c r="B305">
        <v>216164</v>
      </c>
      <c r="C305">
        <v>8608.6166670000002</v>
      </c>
    </row>
    <row r="306" spans="1:3">
      <c r="A306">
        <v>150099</v>
      </c>
      <c r="B306">
        <v>673866</v>
      </c>
      <c r="C306">
        <v>4393.5833329999996</v>
      </c>
    </row>
    <row r="307" spans="1:3">
      <c r="A307">
        <v>316401</v>
      </c>
      <c r="B307">
        <v>716271</v>
      </c>
      <c r="C307">
        <v>4536.1666670000004</v>
      </c>
    </row>
    <row r="308" spans="1:3">
      <c r="A308">
        <v>94617</v>
      </c>
      <c r="B308">
        <v>760017</v>
      </c>
      <c r="C308">
        <v>6653.3666670000002</v>
      </c>
    </row>
    <row r="309" spans="1:3">
      <c r="A309">
        <v>674259</v>
      </c>
      <c r="B309">
        <v>777108</v>
      </c>
      <c r="C309">
        <v>6272.3333329999996</v>
      </c>
    </row>
    <row r="310" spans="1:3">
      <c r="A310">
        <v>382782</v>
      </c>
      <c r="B310">
        <v>939641</v>
      </c>
      <c r="C310">
        <v>11382.25</v>
      </c>
    </row>
    <row r="311" spans="1:3">
      <c r="A311">
        <v>561714</v>
      </c>
      <c r="B311">
        <v>1052736</v>
      </c>
      <c r="C311">
        <v>5002.9333329999999</v>
      </c>
    </row>
    <row r="312" spans="1:3">
      <c r="A312">
        <v>809633</v>
      </c>
      <c r="B312">
        <v>1173608</v>
      </c>
      <c r="C312">
        <v>6574.6666670000004</v>
      </c>
    </row>
    <row r="313" spans="1:3">
      <c r="A313">
        <v>413514</v>
      </c>
      <c r="B313">
        <v>1174324</v>
      </c>
      <c r="C313">
        <v>5467.1833329999999</v>
      </c>
    </row>
    <row r="314" spans="1:3">
      <c r="A314">
        <v>735775</v>
      </c>
      <c r="B314">
        <v>1190577</v>
      </c>
      <c r="C314">
        <v>7726.3333329999996</v>
      </c>
    </row>
    <row r="315" spans="1:3">
      <c r="A315">
        <v>573347</v>
      </c>
      <c r="B315">
        <v>1387875</v>
      </c>
      <c r="C315">
        <v>4371.5249999999996</v>
      </c>
    </row>
    <row r="316" spans="1:3">
      <c r="A316">
        <v>282979</v>
      </c>
      <c r="B316">
        <v>1490774</v>
      </c>
      <c r="C316">
        <v>3901.45</v>
      </c>
    </row>
    <row r="317" spans="1:3">
      <c r="A317">
        <v>660235</v>
      </c>
      <c r="B317">
        <v>1648831</v>
      </c>
      <c r="C317">
        <v>4343.1333329999998</v>
      </c>
    </row>
    <row r="318" spans="1:3">
      <c r="A318">
        <v>176858</v>
      </c>
      <c r="B318">
        <v>1839755</v>
      </c>
      <c r="C318">
        <v>5827.65</v>
      </c>
    </row>
    <row r="319" spans="1:3">
      <c r="A319">
        <v>313866</v>
      </c>
      <c r="B319">
        <v>2073959</v>
      </c>
      <c r="C319">
        <v>6072.6</v>
      </c>
    </row>
    <row r="320" spans="1:3">
      <c r="A320">
        <v>818855</v>
      </c>
      <c r="B320">
        <v>2100609</v>
      </c>
      <c r="C320">
        <v>6463.0333330000003</v>
      </c>
    </row>
    <row r="321" spans="1:3">
      <c r="A321">
        <v>888364</v>
      </c>
      <c r="B321">
        <v>2332453</v>
      </c>
      <c r="C321">
        <v>4731.0833329999996</v>
      </c>
    </row>
    <row r="322" spans="1:3">
      <c r="A322">
        <v>276307</v>
      </c>
      <c r="B322">
        <v>2449912</v>
      </c>
      <c r="C322">
        <v>5326.3166670000001</v>
      </c>
    </row>
    <row r="323" spans="1:3">
      <c r="A323">
        <v>409359</v>
      </c>
      <c r="B323">
        <v>2576368</v>
      </c>
      <c r="C323">
        <v>4198.7166669999997</v>
      </c>
    </row>
    <row r="324" spans="1:3">
      <c r="A324">
        <v>559916</v>
      </c>
      <c r="B324">
        <v>2648375</v>
      </c>
      <c r="C324">
        <v>4384.0333330000003</v>
      </c>
    </row>
    <row r="325" spans="1:3">
      <c r="A325">
        <v>798392</v>
      </c>
      <c r="B325">
        <v>2682924</v>
      </c>
      <c r="C325">
        <v>4697.0666670000001</v>
      </c>
    </row>
    <row r="326" spans="1:3">
      <c r="A326">
        <v>300770</v>
      </c>
      <c r="B326">
        <v>2767355</v>
      </c>
      <c r="C326">
        <v>5219.3166670000001</v>
      </c>
    </row>
    <row r="327" spans="1:3">
      <c r="A327">
        <v>239746</v>
      </c>
      <c r="B327">
        <v>2884879</v>
      </c>
      <c r="C327">
        <v>5024.1083333349998</v>
      </c>
    </row>
    <row r="328" spans="1:3">
      <c r="A328">
        <v>169325</v>
      </c>
      <c r="B328">
        <v>2922504</v>
      </c>
      <c r="C328">
        <v>5996.9</v>
      </c>
    </row>
    <row r="329" spans="1:3">
      <c r="A329">
        <v>857032</v>
      </c>
      <c r="B329">
        <v>3014024</v>
      </c>
      <c r="C329">
        <v>8345.2999999999993</v>
      </c>
    </row>
    <row r="330" spans="1:3">
      <c r="A330">
        <v>415385</v>
      </c>
      <c r="B330">
        <v>3049033</v>
      </c>
      <c r="C330">
        <v>9760.8833329999998</v>
      </c>
    </row>
    <row r="331" spans="1:3">
      <c r="A331">
        <v>736717</v>
      </c>
      <c r="B331">
        <v>3332827</v>
      </c>
      <c r="C331">
        <v>5921.1</v>
      </c>
    </row>
    <row r="332" spans="1:3">
      <c r="A332">
        <v>922184</v>
      </c>
      <c r="B332">
        <v>3653685</v>
      </c>
      <c r="C332">
        <v>4410.3833329999998</v>
      </c>
    </row>
    <row r="333" spans="1:3">
      <c r="A333">
        <v>670108</v>
      </c>
      <c r="B333">
        <v>3735700</v>
      </c>
      <c r="C333">
        <v>5748.2833330000003</v>
      </c>
    </row>
    <row r="334" spans="1:3">
      <c r="A334">
        <v>370272</v>
      </c>
      <c r="B334">
        <v>3755606</v>
      </c>
      <c r="C334">
        <v>5647.0333330000003</v>
      </c>
    </row>
    <row r="335" spans="1:3">
      <c r="A335">
        <v>610421</v>
      </c>
      <c r="B335">
        <v>3850423</v>
      </c>
      <c r="C335">
        <v>5602.55</v>
      </c>
    </row>
    <row r="336" spans="1:3">
      <c r="A336">
        <v>257303</v>
      </c>
      <c r="B336">
        <v>3863770</v>
      </c>
      <c r="C336">
        <v>9889.0499999999993</v>
      </c>
    </row>
    <row r="337" spans="1:3">
      <c r="A337">
        <v>482199</v>
      </c>
      <c r="B337">
        <v>3960759</v>
      </c>
      <c r="C337">
        <v>5755.8</v>
      </c>
    </row>
    <row r="338" spans="1:3">
      <c r="A338">
        <v>148106</v>
      </c>
      <c r="B338">
        <v>4098302</v>
      </c>
      <c r="C338">
        <v>7152.8166670000001</v>
      </c>
    </row>
    <row r="339" spans="1:3">
      <c r="A339">
        <v>525392</v>
      </c>
      <c r="B339">
        <v>4456821</v>
      </c>
      <c r="C339">
        <v>8301.5499999999993</v>
      </c>
    </row>
    <row r="340" spans="1:3">
      <c r="A340">
        <v>57201</v>
      </c>
      <c r="B340">
        <v>4505689</v>
      </c>
      <c r="C340">
        <v>5764.25</v>
      </c>
    </row>
    <row r="341" spans="1:3">
      <c r="A341">
        <v>797864</v>
      </c>
      <c r="B341">
        <v>4607034</v>
      </c>
      <c r="C341">
        <v>4503.0250001650002</v>
      </c>
    </row>
    <row r="342" spans="1:3">
      <c r="A342">
        <v>15470</v>
      </c>
      <c r="B342">
        <v>4668687</v>
      </c>
      <c r="C342">
        <v>6537.5</v>
      </c>
    </row>
    <row r="343" spans="1:3">
      <c r="A343">
        <v>136750</v>
      </c>
      <c r="B343">
        <v>4721641</v>
      </c>
      <c r="C343">
        <v>4948.3500000000004</v>
      </c>
    </row>
    <row r="344" spans="1:3">
      <c r="A344">
        <v>418751</v>
      </c>
      <c r="B344">
        <v>4909975</v>
      </c>
      <c r="C344">
        <v>7040.35</v>
      </c>
    </row>
    <row r="345" spans="1:3">
      <c r="A345">
        <v>522107</v>
      </c>
      <c r="B345">
        <v>4991917</v>
      </c>
      <c r="C345">
        <v>6111.3</v>
      </c>
    </row>
    <row r="346" spans="1:3">
      <c r="A346">
        <v>477240</v>
      </c>
      <c r="B346">
        <v>5118314</v>
      </c>
      <c r="C346">
        <v>5491.2</v>
      </c>
    </row>
    <row r="347" spans="1:3">
      <c r="A347">
        <v>665009</v>
      </c>
      <c r="B347">
        <v>5130584</v>
      </c>
      <c r="C347">
        <v>4661.0666670000001</v>
      </c>
    </row>
    <row r="348" spans="1:3">
      <c r="A348">
        <v>892241</v>
      </c>
      <c r="B348">
        <v>5134469</v>
      </c>
      <c r="C348">
        <v>4751.5333330000003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0453F-E161-4233-BF94-A8309BC39458}">
  <dimension ref="A1:AA348"/>
  <sheetViews>
    <sheetView workbookViewId="0">
      <selection activeCell="J82" sqref="J82"/>
    </sheetView>
  </sheetViews>
  <sheetFormatPr defaultRowHeight="14.4"/>
  <cols>
    <col min="1" max="1" width="9.21875" bestFit="1" customWidth="1"/>
    <col min="2" max="2" width="12.21875" bestFit="1" customWidth="1"/>
    <col min="3" max="3" width="19.5546875" customWidth="1"/>
    <col min="4" max="4" width="18" customWidth="1"/>
    <col min="5" max="5" width="18.21875" customWidth="1"/>
    <col min="6" max="6" width="31.21875" customWidth="1"/>
    <col min="7" max="7" width="25.44140625" customWidth="1"/>
    <col min="8" max="8" width="18.33203125" bestFit="1" customWidth="1"/>
    <col min="9" max="9" width="26.109375" customWidth="1"/>
    <col min="10" max="10" width="35.77734375" customWidth="1"/>
    <col min="11" max="11" width="19" bestFit="1" customWidth="1"/>
    <col min="12" max="12" width="20.33203125" bestFit="1" customWidth="1"/>
    <col min="14" max="14" width="33.21875" customWidth="1"/>
    <col min="22" max="22" width="16.6640625" customWidth="1"/>
    <col min="23" max="23" width="23.44140625" customWidth="1"/>
    <col min="24" max="24" width="25.33203125" customWidth="1"/>
  </cols>
  <sheetData>
    <row r="1" spans="1:27">
      <c r="A1" t="s">
        <v>0</v>
      </c>
      <c r="B1" t="s">
        <v>8</v>
      </c>
      <c r="C1" t="s">
        <v>163</v>
      </c>
      <c r="D1" t="s">
        <v>79</v>
      </c>
      <c r="E1" t="s">
        <v>80</v>
      </c>
      <c r="F1" t="s">
        <v>162</v>
      </c>
      <c r="G1" t="s">
        <v>164</v>
      </c>
      <c r="H1" t="s">
        <v>165</v>
      </c>
      <c r="I1" t="s">
        <v>166</v>
      </c>
      <c r="Y1" s="3"/>
      <c r="Z1" s="3"/>
      <c r="AA1" s="3"/>
    </row>
    <row r="2" spans="1:27">
      <c r="A2">
        <v>44814</v>
      </c>
      <c r="B2">
        <v>48995</v>
      </c>
      <c r="C2">
        <v>5041.3333329999996</v>
      </c>
      <c r="D2" t="str">
        <f>IF(F2&lt;=2.5, "Low",
 IF(F2&lt;=3.5, "Medium",
 IF(F2&lt;=5.5, "High", "Very High")))</f>
        <v>Medium</v>
      </c>
      <c r="E2">
        <f t="shared" ref="E2:E65" si="0">IF(D2="Very High", 300, IF(D2="High", 200, IF(D2="Medium", 100, 50)))</f>
        <v>100</v>
      </c>
      <c r="F2">
        <f>ROUND(C2/1440,2)</f>
        <v>3.5</v>
      </c>
      <c r="G2">
        <f>IF(D2="High", F2*0.7,
 IF(D2="Very High", F2*0.65,
 F2))</f>
        <v>3.5</v>
      </c>
      <c r="H2">
        <f>ROUND(Latency_Based_Targeting18[[#This Row],[Average time to convert in Days]]-Latency_Based_Targeting18[[#This Row],[Improved Time to convert]],2)</f>
        <v>0</v>
      </c>
      <c r="I2" s="47">
        <f>Latency_Based_Targeting18[[#This Row],[Time Saved]]/Latency_Based_Targeting18[[#This Row],[Average time to convert in Days]]</f>
        <v>0</v>
      </c>
      <c r="Y2" s="4"/>
      <c r="Z2" s="4"/>
      <c r="AA2" s="4"/>
    </row>
    <row r="3" spans="1:27">
      <c r="A3">
        <v>236463</v>
      </c>
      <c r="B3">
        <v>60692</v>
      </c>
      <c r="C3">
        <v>5033.2</v>
      </c>
      <c r="D3" t="str">
        <f t="shared" ref="D3:D66" si="1">IF(F3&lt;=2.5, "Low",
 IF(F3&lt;=3.5, "Medium",
 IF(F3&lt;=5.5, "High", "Very High")))</f>
        <v>Medium</v>
      </c>
      <c r="E3">
        <f t="shared" si="0"/>
        <v>100</v>
      </c>
      <c r="F3">
        <f t="shared" ref="F3:F66" si="2">ROUND(C3/1440,2)</f>
        <v>3.5</v>
      </c>
      <c r="G3">
        <f t="shared" ref="G3:G66" si="3">IF(D3="High", F3*0.7,
 IF(D3="Very High", F3*0.65,
 F3))</f>
        <v>3.5</v>
      </c>
      <c r="H3">
        <f>ROUND(Latency_Based_Targeting18[[#This Row],[Average time to convert in Days]]-Latency_Based_Targeting18[[#This Row],[Improved Time to convert]],2)</f>
        <v>0</v>
      </c>
      <c r="I3" s="47">
        <f>Latency_Based_Targeting18[[#This Row],[Time Saved]]/Latency_Based_Targeting18[[#This Row],[Average time to convert in Days]]</f>
        <v>0</v>
      </c>
      <c r="Y3" s="4"/>
      <c r="Z3" s="4"/>
      <c r="AA3" s="4"/>
    </row>
    <row r="4" spans="1:27">
      <c r="A4">
        <v>73876</v>
      </c>
      <c r="B4">
        <v>317032</v>
      </c>
      <c r="C4">
        <v>4312</v>
      </c>
      <c r="D4" t="str">
        <f t="shared" si="1"/>
        <v>Medium</v>
      </c>
      <c r="E4">
        <f t="shared" si="0"/>
        <v>100</v>
      </c>
      <c r="F4">
        <f t="shared" si="2"/>
        <v>2.99</v>
      </c>
      <c r="G4">
        <f t="shared" si="3"/>
        <v>2.99</v>
      </c>
      <c r="H4">
        <f>ROUND(Latency_Based_Targeting18[[#This Row],[Average time to convert in Days]]-Latency_Based_Targeting18[[#This Row],[Improved Time to convert]],2)</f>
        <v>0</v>
      </c>
      <c r="I4" s="47">
        <f>Latency_Based_Targeting18[[#This Row],[Time Saved]]/Latency_Based_Targeting18[[#This Row],[Average time to convert in Days]]</f>
        <v>0</v>
      </c>
      <c r="Y4" s="4"/>
      <c r="Z4" s="4"/>
      <c r="AA4" s="4"/>
    </row>
    <row r="5" spans="1:27">
      <c r="A5">
        <v>963253</v>
      </c>
      <c r="B5">
        <v>344968</v>
      </c>
      <c r="C5">
        <v>4092.333333</v>
      </c>
      <c r="D5" t="str">
        <f t="shared" si="1"/>
        <v>Medium</v>
      </c>
      <c r="E5">
        <f t="shared" si="0"/>
        <v>100</v>
      </c>
      <c r="F5">
        <f t="shared" si="2"/>
        <v>2.84</v>
      </c>
      <c r="G5">
        <f t="shared" si="3"/>
        <v>2.84</v>
      </c>
      <c r="H5">
        <f>ROUND(Latency_Based_Targeting18[[#This Row],[Average time to convert in Days]]-Latency_Based_Targeting18[[#This Row],[Improved Time to convert]],2)</f>
        <v>0</v>
      </c>
      <c r="I5" s="47">
        <f>Latency_Based_Targeting18[[#This Row],[Time Saved]]/Latency_Based_Targeting18[[#This Row],[Average time to convert in Days]]</f>
        <v>0</v>
      </c>
      <c r="Y5" s="4"/>
      <c r="Z5" s="4"/>
      <c r="AA5" s="4"/>
    </row>
    <row r="6" spans="1:27">
      <c r="A6">
        <v>179022</v>
      </c>
      <c r="B6">
        <v>891289</v>
      </c>
      <c r="C6">
        <v>11246.46667</v>
      </c>
      <c r="D6" t="str">
        <f t="shared" si="1"/>
        <v>Very High</v>
      </c>
      <c r="E6">
        <f t="shared" si="0"/>
        <v>300</v>
      </c>
      <c r="F6">
        <f t="shared" si="2"/>
        <v>7.81</v>
      </c>
      <c r="G6">
        <f t="shared" si="3"/>
        <v>5.0765000000000002</v>
      </c>
      <c r="H6">
        <f>ROUND(Latency_Based_Targeting18[[#This Row],[Average time to convert in Days]]-Latency_Based_Targeting18[[#This Row],[Improved Time to convert]],2)</f>
        <v>2.73</v>
      </c>
      <c r="I6" s="47">
        <f>Latency_Based_Targeting18[[#This Row],[Time Saved]]/Latency_Based_Targeting18[[#This Row],[Average time to convert in Days]]</f>
        <v>0.34955185659411014</v>
      </c>
    </row>
    <row r="7" spans="1:27">
      <c r="A7">
        <v>449416</v>
      </c>
      <c r="B7">
        <v>1109510</v>
      </c>
      <c r="C7">
        <v>3755.583333</v>
      </c>
      <c r="D7" t="str">
        <f t="shared" si="1"/>
        <v>Medium</v>
      </c>
      <c r="E7">
        <f t="shared" si="0"/>
        <v>100</v>
      </c>
      <c r="F7">
        <f t="shared" si="2"/>
        <v>2.61</v>
      </c>
      <c r="G7">
        <f t="shared" si="3"/>
        <v>2.61</v>
      </c>
      <c r="H7">
        <f>ROUND(Latency_Based_Targeting18[[#This Row],[Average time to convert in Days]]-Latency_Based_Targeting18[[#This Row],[Improved Time to convert]],2)</f>
        <v>0</v>
      </c>
      <c r="I7" s="47">
        <f>Latency_Based_Targeting18[[#This Row],[Time Saved]]/Latency_Based_Targeting18[[#This Row],[Average time to convert in Days]]</f>
        <v>0</v>
      </c>
    </row>
    <row r="8" spans="1:27">
      <c r="A8">
        <v>148991</v>
      </c>
      <c r="B8">
        <v>1178516</v>
      </c>
      <c r="C8">
        <v>4764.1666670000004</v>
      </c>
      <c r="D8" t="str">
        <f t="shared" si="1"/>
        <v>Medium</v>
      </c>
      <c r="E8">
        <f t="shared" si="0"/>
        <v>100</v>
      </c>
      <c r="F8">
        <f t="shared" si="2"/>
        <v>3.31</v>
      </c>
      <c r="G8">
        <f t="shared" si="3"/>
        <v>3.31</v>
      </c>
      <c r="H8">
        <f>ROUND(Latency_Based_Targeting18[[#This Row],[Average time to convert in Days]]-Latency_Based_Targeting18[[#This Row],[Improved Time to convert]],2)</f>
        <v>0</v>
      </c>
      <c r="I8" s="47">
        <f>Latency_Based_Targeting18[[#This Row],[Time Saved]]/Latency_Based_Targeting18[[#This Row],[Average time to convert in Days]]</f>
        <v>0</v>
      </c>
    </row>
    <row r="9" spans="1:27">
      <c r="A9">
        <v>968220</v>
      </c>
      <c r="B9">
        <v>1208487</v>
      </c>
      <c r="C9">
        <v>11275.483329999999</v>
      </c>
      <c r="D9" t="str">
        <f t="shared" si="1"/>
        <v>Very High</v>
      </c>
      <c r="E9">
        <f t="shared" si="0"/>
        <v>300</v>
      </c>
      <c r="F9">
        <f t="shared" si="2"/>
        <v>7.83</v>
      </c>
      <c r="G9">
        <f t="shared" si="3"/>
        <v>5.0895000000000001</v>
      </c>
      <c r="H9">
        <f>ROUND(Latency_Based_Targeting18[[#This Row],[Average time to convert in Days]]-Latency_Based_Targeting18[[#This Row],[Improved Time to convert]],2)</f>
        <v>2.74</v>
      </c>
      <c r="I9" s="47">
        <f>Latency_Based_Targeting18[[#This Row],[Time Saved]]/Latency_Based_Targeting18[[#This Row],[Average time to convert in Days]]</f>
        <v>0.34993614303959136</v>
      </c>
    </row>
    <row r="10" spans="1:27">
      <c r="A10">
        <v>172074</v>
      </c>
      <c r="B10">
        <v>1838487</v>
      </c>
      <c r="C10">
        <v>4752.6000000000004</v>
      </c>
      <c r="D10" t="str">
        <f t="shared" si="1"/>
        <v>Medium</v>
      </c>
      <c r="E10">
        <f t="shared" si="0"/>
        <v>100</v>
      </c>
      <c r="F10">
        <f t="shared" si="2"/>
        <v>3.3</v>
      </c>
      <c r="G10">
        <f t="shared" si="3"/>
        <v>3.3</v>
      </c>
      <c r="H10">
        <f>ROUND(Latency_Based_Targeting18[[#This Row],[Average time to convert in Days]]-Latency_Based_Targeting18[[#This Row],[Improved Time to convert]],2)</f>
        <v>0</v>
      </c>
      <c r="I10" s="47">
        <f>Latency_Based_Targeting18[[#This Row],[Time Saved]]/Latency_Based_Targeting18[[#This Row],[Average time to convert in Days]]</f>
        <v>0</v>
      </c>
    </row>
    <row r="11" spans="1:27">
      <c r="A11">
        <v>752173</v>
      </c>
      <c r="B11">
        <v>1893188</v>
      </c>
      <c r="C11">
        <v>6049.2833330000003</v>
      </c>
      <c r="D11" t="str">
        <f t="shared" si="1"/>
        <v>High</v>
      </c>
      <c r="E11">
        <f t="shared" si="0"/>
        <v>200</v>
      </c>
      <c r="F11">
        <f t="shared" si="2"/>
        <v>4.2</v>
      </c>
      <c r="G11">
        <f t="shared" si="3"/>
        <v>2.94</v>
      </c>
      <c r="H11">
        <f>ROUND(Latency_Based_Targeting18[[#This Row],[Average time to convert in Days]]-Latency_Based_Targeting18[[#This Row],[Improved Time to convert]],2)</f>
        <v>1.26</v>
      </c>
      <c r="I11" s="47">
        <f>Latency_Based_Targeting18[[#This Row],[Time Saved]]/Latency_Based_Targeting18[[#This Row],[Average time to convert in Days]]</f>
        <v>0.3</v>
      </c>
    </row>
    <row r="12" spans="1:27">
      <c r="A12">
        <v>925984</v>
      </c>
      <c r="B12">
        <v>1938055</v>
      </c>
      <c r="C12">
        <v>4104.1000000000004</v>
      </c>
      <c r="D12" t="str">
        <f t="shared" si="1"/>
        <v>Medium</v>
      </c>
      <c r="E12">
        <f t="shared" si="0"/>
        <v>100</v>
      </c>
      <c r="F12">
        <f t="shared" si="2"/>
        <v>2.85</v>
      </c>
      <c r="G12">
        <f t="shared" si="3"/>
        <v>2.85</v>
      </c>
      <c r="H12">
        <f>ROUND(Latency_Based_Targeting18[[#This Row],[Average time to convert in Days]]-Latency_Based_Targeting18[[#This Row],[Improved Time to convert]],2)</f>
        <v>0</v>
      </c>
      <c r="I12" s="47">
        <f>Latency_Based_Targeting18[[#This Row],[Time Saved]]/Latency_Based_Targeting18[[#This Row],[Average time to convert in Days]]</f>
        <v>0</v>
      </c>
    </row>
    <row r="13" spans="1:27">
      <c r="A13">
        <v>454977</v>
      </c>
      <c r="B13">
        <v>1999347</v>
      </c>
      <c r="C13">
        <v>5783.4833330000001</v>
      </c>
      <c r="D13" t="str">
        <f t="shared" si="1"/>
        <v>High</v>
      </c>
      <c r="E13">
        <f t="shared" si="0"/>
        <v>200</v>
      </c>
      <c r="F13">
        <f t="shared" si="2"/>
        <v>4.0199999999999996</v>
      </c>
      <c r="G13">
        <f t="shared" si="3"/>
        <v>2.8139999999999996</v>
      </c>
      <c r="H13">
        <f>ROUND(Latency_Based_Targeting18[[#This Row],[Average time to convert in Days]]-Latency_Based_Targeting18[[#This Row],[Improved Time to convert]],2)</f>
        <v>1.21</v>
      </c>
      <c r="I13" s="47">
        <f>Latency_Based_Targeting18[[#This Row],[Time Saved]]/Latency_Based_Targeting18[[#This Row],[Average time to convert in Days]]</f>
        <v>0.30099502487562191</v>
      </c>
    </row>
    <row r="14" spans="1:27">
      <c r="A14">
        <v>830226</v>
      </c>
      <c r="B14">
        <v>2085146</v>
      </c>
      <c r="C14">
        <v>3630.166667</v>
      </c>
      <c r="D14" t="str">
        <f t="shared" si="1"/>
        <v>Medium</v>
      </c>
      <c r="E14">
        <f t="shared" si="0"/>
        <v>100</v>
      </c>
      <c r="F14">
        <f t="shared" si="2"/>
        <v>2.52</v>
      </c>
      <c r="G14">
        <f t="shared" si="3"/>
        <v>2.52</v>
      </c>
      <c r="H14">
        <f>ROUND(Latency_Based_Targeting18[[#This Row],[Average time to convert in Days]]-Latency_Based_Targeting18[[#This Row],[Improved Time to convert]],2)</f>
        <v>0</v>
      </c>
      <c r="I14" s="47">
        <f>Latency_Based_Targeting18[[#This Row],[Time Saved]]/Latency_Based_Targeting18[[#This Row],[Average time to convert in Days]]</f>
        <v>0</v>
      </c>
    </row>
    <row r="15" spans="1:27">
      <c r="A15">
        <v>30006</v>
      </c>
      <c r="B15">
        <v>2085876</v>
      </c>
      <c r="C15">
        <v>6028.2333330000001</v>
      </c>
      <c r="D15" t="str">
        <f t="shared" si="1"/>
        <v>High</v>
      </c>
      <c r="E15">
        <f t="shared" si="0"/>
        <v>200</v>
      </c>
      <c r="F15">
        <f t="shared" si="2"/>
        <v>4.1900000000000004</v>
      </c>
      <c r="G15">
        <f t="shared" si="3"/>
        <v>2.9330000000000003</v>
      </c>
      <c r="H15">
        <f>ROUND(Latency_Based_Targeting18[[#This Row],[Average time to convert in Days]]-Latency_Based_Targeting18[[#This Row],[Improved Time to convert]],2)</f>
        <v>1.26</v>
      </c>
      <c r="I15" s="47">
        <f>Latency_Based_Targeting18[[#This Row],[Time Saved]]/Latency_Based_Targeting18[[#This Row],[Average time to convert in Days]]</f>
        <v>0.30071599045346059</v>
      </c>
    </row>
    <row r="16" spans="1:27">
      <c r="A16">
        <v>256704</v>
      </c>
      <c r="B16">
        <v>2230415</v>
      </c>
      <c r="C16">
        <v>3932.9</v>
      </c>
      <c r="D16" t="str">
        <f t="shared" si="1"/>
        <v>Medium</v>
      </c>
      <c r="E16">
        <f t="shared" si="0"/>
        <v>100</v>
      </c>
      <c r="F16">
        <f t="shared" si="2"/>
        <v>2.73</v>
      </c>
      <c r="G16">
        <f t="shared" si="3"/>
        <v>2.73</v>
      </c>
      <c r="H16">
        <f>ROUND(Latency_Based_Targeting18[[#This Row],[Average time to convert in Days]]-Latency_Based_Targeting18[[#This Row],[Improved Time to convert]],2)</f>
        <v>0</v>
      </c>
      <c r="I16" s="47">
        <f>Latency_Based_Targeting18[[#This Row],[Time Saved]]/Latency_Based_Targeting18[[#This Row],[Average time to convert in Days]]</f>
        <v>0</v>
      </c>
    </row>
    <row r="17" spans="1:9">
      <c r="A17">
        <v>71346</v>
      </c>
      <c r="B17">
        <v>2439940</v>
      </c>
      <c r="C17">
        <v>4563.0833329999996</v>
      </c>
      <c r="D17" t="str">
        <f t="shared" si="1"/>
        <v>Medium</v>
      </c>
      <c r="E17">
        <f t="shared" si="0"/>
        <v>100</v>
      </c>
      <c r="F17">
        <f t="shared" si="2"/>
        <v>3.17</v>
      </c>
      <c r="G17">
        <f t="shared" si="3"/>
        <v>3.17</v>
      </c>
      <c r="H17">
        <f>ROUND(Latency_Based_Targeting18[[#This Row],[Average time to convert in Days]]-Latency_Based_Targeting18[[#This Row],[Improved Time to convert]],2)</f>
        <v>0</v>
      </c>
      <c r="I17" s="47">
        <f>Latency_Based_Targeting18[[#This Row],[Time Saved]]/Latency_Based_Targeting18[[#This Row],[Average time to convert in Days]]</f>
        <v>0</v>
      </c>
    </row>
    <row r="18" spans="1:9">
      <c r="A18">
        <v>687867</v>
      </c>
      <c r="B18">
        <v>2486727</v>
      </c>
      <c r="C18">
        <v>4575.8833329999998</v>
      </c>
      <c r="D18" t="str">
        <f t="shared" si="1"/>
        <v>Medium</v>
      </c>
      <c r="E18">
        <f t="shared" si="0"/>
        <v>100</v>
      </c>
      <c r="F18">
        <f t="shared" si="2"/>
        <v>3.18</v>
      </c>
      <c r="G18">
        <f t="shared" si="3"/>
        <v>3.18</v>
      </c>
      <c r="H18">
        <f>ROUND(Latency_Based_Targeting18[[#This Row],[Average time to convert in Days]]-Latency_Based_Targeting18[[#This Row],[Improved Time to convert]],2)</f>
        <v>0</v>
      </c>
      <c r="I18" s="47">
        <f>Latency_Based_Targeting18[[#This Row],[Time Saved]]/Latency_Based_Targeting18[[#This Row],[Average time to convert in Days]]</f>
        <v>0</v>
      </c>
    </row>
    <row r="19" spans="1:9">
      <c r="A19">
        <v>85630</v>
      </c>
      <c r="B19">
        <v>2686209</v>
      </c>
      <c r="C19">
        <v>8351.7999999999993</v>
      </c>
      <c r="D19" t="str">
        <f t="shared" si="1"/>
        <v>Very High</v>
      </c>
      <c r="E19">
        <f t="shared" si="0"/>
        <v>300</v>
      </c>
      <c r="F19">
        <f t="shared" si="2"/>
        <v>5.8</v>
      </c>
      <c r="G19">
        <f t="shared" si="3"/>
        <v>3.77</v>
      </c>
      <c r="H19">
        <f>ROUND(Latency_Based_Targeting18[[#This Row],[Average time to convert in Days]]-Latency_Based_Targeting18[[#This Row],[Improved Time to convert]],2)</f>
        <v>2.0299999999999998</v>
      </c>
      <c r="I19" s="47">
        <f>Latency_Based_Targeting18[[#This Row],[Time Saved]]/Latency_Based_Targeting18[[#This Row],[Average time to convert in Days]]</f>
        <v>0.35</v>
      </c>
    </row>
    <row r="20" spans="1:9">
      <c r="A20">
        <v>633837</v>
      </c>
      <c r="B20">
        <v>2695558</v>
      </c>
      <c r="C20">
        <v>4499.8</v>
      </c>
      <c r="D20" t="str">
        <f t="shared" si="1"/>
        <v>Medium</v>
      </c>
      <c r="E20">
        <f t="shared" si="0"/>
        <v>100</v>
      </c>
      <c r="F20">
        <f t="shared" si="2"/>
        <v>3.12</v>
      </c>
      <c r="G20">
        <f t="shared" si="3"/>
        <v>3.12</v>
      </c>
      <c r="H20">
        <f>ROUND(Latency_Based_Targeting18[[#This Row],[Average time to convert in Days]]-Latency_Based_Targeting18[[#This Row],[Improved Time to convert]],2)</f>
        <v>0</v>
      </c>
      <c r="I20" s="47">
        <f>Latency_Based_Targeting18[[#This Row],[Time Saved]]/Latency_Based_Targeting18[[#This Row],[Average time to convert in Days]]</f>
        <v>0</v>
      </c>
    </row>
    <row r="21" spans="1:9">
      <c r="A21">
        <v>963228</v>
      </c>
      <c r="B21">
        <v>3073913</v>
      </c>
      <c r="C21">
        <v>6126.4166670000004</v>
      </c>
      <c r="D21" t="str">
        <f t="shared" si="1"/>
        <v>High</v>
      </c>
      <c r="E21">
        <f t="shared" si="0"/>
        <v>200</v>
      </c>
      <c r="F21">
        <f t="shared" si="2"/>
        <v>4.25</v>
      </c>
      <c r="G21">
        <f t="shared" si="3"/>
        <v>2.9749999999999996</v>
      </c>
      <c r="H21">
        <f>ROUND(Latency_Based_Targeting18[[#This Row],[Average time to convert in Days]]-Latency_Based_Targeting18[[#This Row],[Improved Time to convert]],2)</f>
        <v>1.28</v>
      </c>
      <c r="I21" s="47">
        <f>Latency_Based_Targeting18[[#This Row],[Time Saved]]/Latency_Based_Targeting18[[#This Row],[Average time to convert in Days]]</f>
        <v>0.30117647058823532</v>
      </c>
    </row>
    <row r="22" spans="1:9">
      <c r="A22">
        <v>997927</v>
      </c>
      <c r="B22">
        <v>3116774</v>
      </c>
      <c r="C22">
        <v>3974.8166670000001</v>
      </c>
      <c r="D22" t="str">
        <f t="shared" si="1"/>
        <v>Medium</v>
      </c>
      <c r="E22">
        <f t="shared" si="0"/>
        <v>100</v>
      </c>
      <c r="F22">
        <f t="shared" si="2"/>
        <v>2.76</v>
      </c>
      <c r="G22">
        <f t="shared" si="3"/>
        <v>2.76</v>
      </c>
      <c r="H22">
        <f>ROUND(Latency_Based_Targeting18[[#This Row],[Average time to convert in Days]]-Latency_Based_Targeting18[[#This Row],[Improved Time to convert]],2)</f>
        <v>0</v>
      </c>
      <c r="I22" s="47">
        <f>Latency_Based_Targeting18[[#This Row],[Time Saved]]/Latency_Based_Targeting18[[#This Row],[Average time to convert in Days]]</f>
        <v>0</v>
      </c>
    </row>
    <row r="23" spans="1:9">
      <c r="A23">
        <v>82074</v>
      </c>
      <c r="B23">
        <v>3331987</v>
      </c>
      <c r="C23">
        <v>4539.5833329999996</v>
      </c>
      <c r="D23" t="str">
        <f t="shared" si="1"/>
        <v>Medium</v>
      </c>
      <c r="E23">
        <f t="shared" si="0"/>
        <v>100</v>
      </c>
      <c r="F23">
        <f t="shared" si="2"/>
        <v>3.15</v>
      </c>
      <c r="G23">
        <f t="shared" si="3"/>
        <v>3.15</v>
      </c>
      <c r="H23">
        <f>ROUND(Latency_Based_Targeting18[[#This Row],[Average time to convert in Days]]-Latency_Based_Targeting18[[#This Row],[Improved Time to convert]],2)</f>
        <v>0</v>
      </c>
      <c r="I23" s="47">
        <f>Latency_Based_Targeting18[[#This Row],[Time Saved]]/Latency_Based_Targeting18[[#This Row],[Average time to convert in Days]]</f>
        <v>0</v>
      </c>
    </row>
    <row r="24" spans="1:9">
      <c r="A24">
        <v>756961</v>
      </c>
      <c r="B24">
        <v>3360324</v>
      </c>
      <c r="C24">
        <v>4642.0166669999999</v>
      </c>
      <c r="D24" t="str">
        <f t="shared" si="1"/>
        <v>Medium</v>
      </c>
      <c r="E24">
        <f t="shared" si="0"/>
        <v>100</v>
      </c>
      <c r="F24">
        <f t="shared" si="2"/>
        <v>3.22</v>
      </c>
      <c r="G24">
        <f t="shared" si="3"/>
        <v>3.22</v>
      </c>
      <c r="H24">
        <f>ROUND(Latency_Based_Targeting18[[#This Row],[Average time to convert in Days]]-Latency_Based_Targeting18[[#This Row],[Improved Time to convert]],2)</f>
        <v>0</v>
      </c>
      <c r="I24" s="47">
        <f>Latency_Based_Targeting18[[#This Row],[Time Saved]]/Latency_Based_Targeting18[[#This Row],[Average time to convert in Days]]</f>
        <v>0</v>
      </c>
    </row>
    <row r="25" spans="1:9">
      <c r="A25">
        <v>182190</v>
      </c>
      <c r="B25">
        <v>3390839</v>
      </c>
      <c r="C25">
        <v>9406.5833330000005</v>
      </c>
      <c r="D25" t="str">
        <f t="shared" si="1"/>
        <v>Very High</v>
      </c>
      <c r="E25">
        <f t="shared" si="0"/>
        <v>300</v>
      </c>
      <c r="F25">
        <f t="shared" si="2"/>
        <v>6.53</v>
      </c>
      <c r="G25">
        <f t="shared" si="3"/>
        <v>4.2445000000000004</v>
      </c>
      <c r="H25">
        <f>ROUND(Latency_Based_Targeting18[[#This Row],[Average time to convert in Days]]-Latency_Based_Targeting18[[#This Row],[Improved Time to convert]],2)</f>
        <v>2.29</v>
      </c>
      <c r="I25" s="47">
        <f>Latency_Based_Targeting18[[#This Row],[Time Saved]]/Latency_Based_Targeting18[[#This Row],[Average time to convert in Days]]</f>
        <v>0.35068912710566613</v>
      </c>
    </row>
    <row r="26" spans="1:9">
      <c r="A26">
        <v>872831</v>
      </c>
      <c r="B26">
        <v>3519195</v>
      </c>
      <c r="C26">
        <v>11108.866669999999</v>
      </c>
      <c r="D26" t="str">
        <f t="shared" si="1"/>
        <v>Very High</v>
      </c>
      <c r="E26">
        <f t="shared" si="0"/>
        <v>300</v>
      </c>
      <c r="F26">
        <f t="shared" si="2"/>
        <v>7.71</v>
      </c>
      <c r="G26">
        <f t="shared" si="3"/>
        <v>5.0114999999999998</v>
      </c>
      <c r="H26">
        <f>ROUND(Latency_Based_Targeting18[[#This Row],[Average time to convert in Days]]-Latency_Based_Targeting18[[#This Row],[Improved Time to convert]],2)</f>
        <v>2.7</v>
      </c>
      <c r="I26" s="47">
        <f>Latency_Based_Targeting18[[#This Row],[Time Saved]]/Latency_Based_Targeting18[[#This Row],[Average time to convert in Days]]</f>
        <v>0.35019455252918291</v>
      </c>
    </row>
    <row r="27" spans="1:9">
      <c r="A27">
        <v>839995</v>
      </c>
      <c r="B27">
        <v>3754882</v>
      </c>
      <c r="C27">
        <v>3828.5</v>
      </c>
      <c r="D27" t="str">
        <f t="shared" si="1"/>
        <v>Medium</v>
      </c>
      <c r="E27">
        <f t="shared" si="0"/>
        <v>100</v>
      </c>
      <c r="F27">
        <f t="shared" si="2"/>
        <v>2.66</v>
      </c>
      <c r="G27">
        <f t="shared" si="3"/>
        <v>2.66</v>
      </c>
      <c r="H27">
        <f>ROUND(Latency_Based_Targeting18[[#This Row],[Average time to convert in Days]]-Latency_Based_Targeting18[[#This Row],[Improved Time to convert]],2)</f>
        <v>0</v>
      </c>
      <c r="I27" s="47">
        <f>Latency_Based_Targeting18[[#This Row],[Time Saved]]/Latency_Based_Targeting18[[#This Row],[Average time to convert in Days]]</f>
        <v>0</v>
      </c>
    </row>
    <row r="28" spans="1:9">
      <c r="A28">
        <v>604274</v>
      </c>
      <c r="B28">
        <v>3915717</v>
      </c>
      <c r="C28">
        <v>4981.1833329999999</v>
      </c>
      <c r="D28" t="str">
        <f t="shared" si="1"/>
        <v>Medium</v>
      </c>
      <c r="E28">
        <f t="shared" si="0"/>
        <v>100</v>
      </c>
      <c r="F28">
        <f t="shared" si="2"/>
        <v>3.46</v>
      </c>
      <c r="G28">
        <f t="shared" si="3"/>
        <v>3.46</v>
      </c>
      <c r="H28">
        <f>ROUND(Latency_Based_Targeting18[[#This Row],[Average time to convert in Days]]-Latency_Based_Targeting18[[#This Row],[Improved Time to convert]],2)</f>
        <v>0</v>
      </c>
      <c r="I28" s="47">
        <f>Latency_Based_Targeting18[[#This Row],[Time Saved]]/Latency_Based_Targeting18[[#This Row],[Average time to convert in Days]]</f>
        <v>0</v>
      </c>
    </row>
    <row r="29" spans="1:9">
      <c r="A29">
        <v>467170</v>
      </c>
      <c r="B29">
        <v>3917476</v>
      </c>
      <c r="C29">
        <v>3692.2166670000001</v>
      </c>
      <c r="D29" t="str">
        <f t="shared" si="1"/>
        <v>Medium</v>
      </c>
      <c r="E29">
        <f t="shared" si="0"/>
        <v>100</v>
      </c>
      <c r="F29">
        <f t="shared" si="2"/>
        <v>2.56</v>
      </c>
      <c r="G29">
        <f t="shared" si="3"/>
        <v>2.56</v>
      </c>
      <c r="H29">
        <f>ROUND(Latency_Based_Targeting18[[#This Row],[Average time to convert in Days]]-Latency_Based_Targeting18[[#This Row],[Improved Time to convert]],2)</f>
        <v>0</v>
      </c>
      <c r="I29" s="47">
        <f>Latency_Based_Targeting18[[#This Row],[Time Saved]]/Latency_Based_Targeting18[[#This Row],[Average time to convert in Days]]</f>
        <v>0</v>
      </c>
    </row>
    <row r="30" spans="1:9">
      <c r="A30">
        <v>956752</v>
      </c>
      <c r="B30">
        <v>4159294</v>
      </c>
      <c r="C30">
        <v>3957.9666670000001</v>
      </c>
      <c r="D30" t="str">
        <f t="shared" si="1"/>
        <v>Medium</v>
      </c>
      <c r="E30">
        <f t="shared" si="0"/>
        <v>100</v>
      </c>
      <c r="F30">
        <f t="shared" si="2"/>
        <v>2.75</v>
      </c>
      <c r="G30">
        <f t="shared" si="3"/>
        <v>2.75</v>
      </c>
      <c r="H30">
        <f>ROUND(Latency_Based_Targeting18[[#This Row],[Average time to convert in Days]]-Latency_Based_Targeting18[[#This Row],[Improved Time to convert]],2)</f>
        <v>0</v>
      </c>
      <c r="I30" s="47">
        <f>Latency_Based_Targeting18[[#This Row],[Time Saved]]/Latency_Based_Targeting18[[#This Row],[Average time to convert in Days]]</f>
        <v>0</v>
      </c>
    </row>
    <row r="31" spans="1:9">
      <c r="A31">
        <v>857083</v>
      </c>
      <c r="B31">
        <v>4244755</v>
      </c>
      <c r="C31">
        <v>5536.3166670000001</v>
      </c>
      <c r="D31" t="str">
        <f t="shared" si="1"/>
        <v>High</v>
      </c>
      <c r="E31">
        <f t="shared" si="0"/>
        <v>200</v>
      </c>
      <c r="F31">
        <f t="shared" si="2"/>
        <v>3.84</v>
      </c>
      <c r="G31">
        <f t="shared" si="3"/>
        <v>2.6879999999999997</v>
      </c>
      <c r="H31">
        <f>ROUND(Latency_Based_Targeting18[[#This Row],[Average time to convert in Days]]-Latency_Based_Targeting18[[#This Row],[Improved Time to convert]],2)</f>
        <v>1.1499999999999999</v>
      </c>
      <c r="I31" s="47">
        <f>Latency_Based_Targeting18[[#This Row],[Time Saved]]/Latency_Based_Targeting18[[#This Row],[Average time to convert in Days]]</f>
        <v>0.29947916666666663</v>
      </c>
    </row>
    <row r="32" spans="1:9">
      <c r="A32">
        <v>827902</v>
      </c>
      <c r="B32">
        <v>4480532</v>
      </c>
      <c r="C32">
        <v>5589.3333329999996</v>
      </c>
      <c r="D32" t="str">
        <f t="shared" si="1"/>
        <v>High</v>
      </c>
      <c r="E32">
        <f t="shared" si="0"/>
        <v>200</v>
      </c>
      <c r="F32">
        <f t="shared" si="2"/>
        <v>3.88</v>
      </c>
      <c r="G32">
        <f t="shared" si="3"/>
        <v>2.7159999999999997</v>
      </c>
      <c r="H32">
        <f>ROUND(Latency_Based_Targeting18[[#This Row],[Average time to convert in Days]]-Latency_Based_Targeting18[[#This Row],[Improved Time to convert]],2)</f>
        <v>1.1599999999999999</v>
      </c>
      <c r="I32" s="47">
        <f>Latency_Based_Targeting18[[#This Row],[Time Saved]]/Latency_Based_Targeting18[[#This Row],[Average time to convert in Days]]</f>
        <v>0.29896907216494845</v>
      </c>
    </row>
    <row r="33" spans="1:9">
      <c r="A33">
        <v>862259</v>
      </c>
      <c r="B33">
        <v>4664121</v>
      </c>
      <c r="C33">
        <v>5507</v>
      </c>
      <c r="D33" t="str">
        <f t="shared" si="1"/>
        <v>High</v>
      </c>
      <c r="E33">
        <f t="shared" si="0"/>
        <v>200</v>
      </c>
      <c r="F33">
        <f t="shared" si="2"/>
        <v>3.82</v>
      </c>
      <c r="G33">
        <f t="shared" si="3"/>
        <v>2.6739999999999999</v>
      </c>
      <c r="H33">
        <f>ROUND(Latency_Based_Targeting18[[#This Row],[Average time to convert in Days]]-Latency_Based_Targeting18[[#This Row],[Improved Time to convert]],2)</f>
        <v>1.1499999999999999</v>
      </c>
      <c r="I33" s="47">
        <f>Latency_Based_Targeting18[[#This Row],[Time Saved]]/Latency_Based_Targeting18[[#This Row],[Average time to convert in Days]]</f>
        <v>0.30104712041884818</v>
      </c>
    </row>
    <row r="34" spans="1:9">
      <c r="A34">
        <v>967854</v>
      </c>
      <c r="B34">
        <v>4722735</v>
      </c>
      <c r="C34">
        <v>5901.0666670000001</v>
      </c>
      <c r="D34" t="str">
        <f t="shared" si="1"/>
        <v>High</v>
      </c>
      <c r="E34">
        <f t="shared" si="0"/>
        <v>200</v>
      </c>
      <c r="F34">
        <f t="shared" si="2"/>
        <v>4.0999999999999996</v>
      </c>
      <c r="G34">
        <f t="shared" si="3"/>
        <v>2.8699999999999997</v>
      </c>
      <c r="H34">
        <f>ROUND(Latency_Based_Targeting18[[#This Row],[Average time to convert in Days]]-Latency_Based_Targeting18[[#This Row],[Improved Time to convert]],2)</f>
        <v>1.23</v>
      </c>
      <c r="I34" s="47">
        <f>Latency_Based_Targeting18[[#This Row],[Time Saved]]/Latency_Based_Targeting18[[#This Row],[Average time to convert in Days]]</f>
        <v>0.30000000000000004</v>
      </c>
    </row>
    <row r="35" spans="1:9">
      <c r="A35">
        <v>634429</v>
      </c>
      <c r="B35">
        <v>4793721</v>
      </c>
      <c r="C35">
        <v>5807.6</v>
      </c>
      <c r="D35" t="str">
        <f t="shared" si="1"/>
        <v>High</v>
      </c>
      <c r="E35">
        <f t="shared" si="0"/>
        <v>200</v>
      </c>
      <c r="F35">
        <f t="shared" si="2"/>
        <v>4.03</v>
      </c>
      <c r="G35">
        <f t="shared" si="3"/>
        <v>2.8210000000000002</v>
      </c>
      <c r="H35">
        <f>ROUND(Latency_Based_Targeting18[[#This Row],[Average time to convert in Days]]-Latency_Based_Targeting18[[#This Row],[Improved Time to convert]],2)</f>
        <v>1.21</v>
      </c>
      <c r="I35" s="47">
        <f>Latency_Based_Targeting18[[#This Row],[Time Saved]]/Latency_Based_Targeting18[[#This Row],[Average time to convert in Days]]</f>
        <v>0.30024813895781632</v>
      </c>
    </row>
    <row r="36" spans="1:9">
      <c r="A36">
        <v>521433</v>
      </c>
      <c r="B36">
        <v>4854978</v>
      </c>
      <c r="C36">
        <v>5100.05</v>
      </c>
      <c r="D36" t="str">
        <f t="shared" si="1"/>
        <v>High</v>
      </c>
      <c r="E36">
        <f t="shared" si="0"/>
        <v>200</v>
      </c>
      <c r="F36">
        <f t="shared" si="2"/>
        <v>3.54</v>
      </c>
      <c r="G36">
        <f t="shared" si="3"/>
        <v>2.4779999999999998</v>
      </c>
      <c r="H36">
        <f>ROUND(Latency_Based_Targeting18[[#This Row],[Average time to convert in Days]]-Latency_Based_Targeting18[[#This Row],[Improved Time to convert]],2)</f>
        <v>1.06</v>
      </c>
      <c r="I36" s="47">
        <f>Latency_Based_Targeting18[[#This Row],[Time Saved]]/Latency_Based_Targeting18[[#This Row],[Average time to convert in Days]]</f>
        <v>0.29943502824858759</v>
      </c>
    </row>
    <row r="37" spans="1:9">
      <c r="A37">
        <v>673404</v>
      </c>
      <c r="B37">
        <v>141316</v>
      </c>
      <c r="C37">
        <v>7320.7</v>
      </c>
      <c r="D37" t="str">
        <f t="shared" si="1"/>
        <v>High</v>
      </c>
      <c r="E37">
        <f t="shared" si="0"/>
        <v>200</v>
      </c>
      <c r="F37">
        <f t="shared" si="2"/>
        <v>5.08</v>
      </c>
      <c r="G37">
        <f t="shared" si="3"/>
        <v>3.5559999999999996</v>
      </c>
      <c r="H37">
        <f>ROUND(Latency_Based_Targeting18[[#This Row],[Average time to convert in Days]]-Latency_Based_Targeting18[[#This Row],[Improved Time to convert]],2)</f>
        <v>1.52</v>
      </c>
      <c r="I37" s="47">
        <f>Latency_Based_Targeting18[[#This Row],[Time Saved]]/Latency_Based_Targeting18[[#This Row],[Average time to convert in Days]]</f>
        <v>0.29921259842519687</v>
      </c>
    </row>
    <row r="38" spans="1:9">
      <c r="A38">
        <v>483546</v>
      </c>
      <c r="B38">
        <v>279673</v>
      </c>
      <c r="C38">
        <v>8178.45</v>
      </c>
      <c r="D38" t="str">
        <f t="shared" si="1"/>
        <v>Very High</v>
      </c>
      <c r="E38">
        <f t="shared" si="0"/>
        <v>300</v>
      </c>
      <c r="F38">
        <f t="shared" si="2"/>
        <v>5.68</v>
      </c>
      <c r="G38">
        <f t="shared" si="3"/>
        <v>3.6919999999999997</v>
      </c>
      <c r="H38">
        <f>ROUND(Latency_Based_Targeting18[[#This Row],[Average time to convert in Days]]-Latency_Based_Targeting18[[#This Row],[Improved Time to convert]],2)</f>
        <v>1.99</v>
      </c>
      <c r="I38" s="47">
        <f>Latency_Based_Targeting18[[#This Row],[Time Saved]]/Latency_Based_Targeting18[[#This Row],[Average time to convert in Days]]</f>
        <v>0.35035211267605637</v>
      </c>
    </row>
    <row r="39" spans="1:9">
      <c r="A39">
        <v>514133</v>
      </c>
      <c r="B39">
        <v>306257</v>
      </c>
      <c r="C39">
        <v>4561.9833330000001</v>
      </c>
      <c r="D39" t="str">
        <f t="shared" si="1"/>
        <v>Medium</v>
      </c>
      <c r="E39">
        <f t="shared" si="0"/>
        <v>100</v>
      </c>
      <c r="F39">
        <f t="shared" si="2"/>
        <v>3.17</v>
      </c>
      <c r="G39">
        <f t="shared" si="3"/>
        <v>3.17</v>
      </c>
      <c r="H39">
        <f>ROUND(Latency_Based_Targeting18[[#This Row],[Average time to convert in Days]]-Latency_Based_Targeting18[[#This Row],[Improved Time to convert]],2)</f>
        <v>0</v>
      </c>
      <c r="I39" s="47">
        <f>Latency_Based_Targeting18[[#This Row],[Time Saved]]/Latency_Based_Targeting18[[#This Row],[Average time to convert in Days]]</f>
        <v>0</v>
      </c>
    </row>
    <row r="40" spans="1:9">
      <c r="A40">
        <v>713999</v>
      </c>
      <c r="B40">
        <v>307882</v>
      </c>
      <c r="C40">
        <v>7543.9333329999999</v>
      </c>
      <c r="D40" t="str">
        <f t="shared" si="1"/>
        <v>High</v>
      </c>
      <c r="E40">
        <f t="shared" si="0"/>
        <v>200</v>
      </c>
      <c r="F40">
        <f t="shared" si="2"/>
        <v>5.24</v>
      </c>
      <c r="G40">
        <f t="shared" si="3"/>
        <v>3.6679999999999997</v>
      </c>
      <c r="H40">
        <f>ROUND(Latency_Based_Targeting18[[#This Row],[Average time to convert in Days]]-Latency_Based_Targeting18[[#This Row],[Improved Time to convert]],2)</f>
        <v>1.57</v>
      </c>
      <c r="I40" s="47">
        <f>Latency_Based_Targeting18[[#This Row],[Time Saved]]/Latency_Based_Targeting18[[#This Row],[Average time to convert in Days]]</f>
        <v>0.29961832061068705</v>
      </c>
    </row>
    <row r="41" spans="1:9">
      <c r="A41">
        <v>115542</v>
      </c>
      <c r="B41">
        <v>414618</v>
      </c>
      <c r="C41">
        <v>4319.7</v>
      </c>
      <c r="D41" t="str">
        <f t="shared" si="1"/>
        <v>Medium</v>
      </c>
      <c r="E41">
        <f t="shared" si="0"/>
        <v>100</v>
      </c>
      <c r="F41">
        <f t="shared" si="2"/>
        <v>3</v>
      </c>
      <c r="G41">
        <f t="shared" si="3"/>
        <v>3</v>
      </c>
      <c r="H41">
        <f>ROUND(Latency_Based_Targeting18[[#This Row],[Average time to convert in Days]]-Latency_Based_Targeting18[[#This Row],[Improved Time to convert]],2)</f>
        <v>0</v>
      </c>
      <c r="I41" s="47">
        <f>Latency_Based_Targeting18[[#This Row],[Time Saved]]/Latency_Based_Targeting18[[#This Row],[Average time to convert in Days]]</f>
        <v>0</v>
      </c>
    </row>
    <row r="42" spans="1:9">
      <c r="A42">
        <v>479506</v>
      </c>
      <c r="B42">
        <v>977627</v>
      </c>
      <c r="C42">
        <v>5851.2666669999999</v>
      </c>
      <c r="D42" t="str">
        <f t="shared" si="1"/>
        <v>High</v>
      </c>
      <c r="E42">
        <f t="shared" si="0"/>
        <v>200</v>
      </c>
      <c r="F42">
        <f t="shared" si="2"/>
        <v>4.0599999999999996</v>
      </c>
      <c r="G42">
        <f t="shared" si="3"/>
        <v>2.8419999999999996</v>
      </c>
      <c r="H42">
        <f>ROUND(Latency_Based_Targeting18[[#This Row],[Average time to convert in Days]]-Latency_Based_Targeting18[[#This Row],[Improved Time to convert]],2)</f>
        <v>1.22</v>
      </c>
      <c r="I42" s="47">
        <f>Latency_Based_Targeting18[[#This Row],[Time Saved]]/Latency_Based_Targeting18[[#This Row],[Average time to convert in Days]]</f>
        <v>0.30049261083743845</v>
      </c>
    </row>
    <row r="43" spans="1:9">
      <c r="A43">
        <v>418176</v>
      </c>
      <c r="B43">
        <v>1048796</v>
      </c>
      <c r="C43">
        <v>5754.6</v>
      </c>
      <c r="D43" t="str">
        <f t="shared" si="1"/>
        <v>High</v>
      </c>
      <c r="E43">
        <f t="shared" si="0"/>
        <v>200</v>
      </c>
      <c r="F43">
        <f t="shared" si="2"/>
        <v>4</v>
      </c>
      <c r="G43">
        <f t="shared" si="3"/>
        <v>2.8</v>
      </c>
      <c r="H43">
        <f>ROUND(Latency_Based_Targeting18[[#This Row],[Average time to convert in Days]]-Latency_Based_Targeting18[[#This Row],[Improved Time to convert]],2)</f>
        <v>1.2</v>
      </c>
      <c r="I43" s="47">
        <f>Latency_Based_Targeting18[[#This Row],[Time Saved]]/Latency_Based_Targeting18[[#This Row],[Average time to convert in Days]]</f>
        <v>0.3</v>
      </c>
    </row>
    <row r="44" spans="1:9">
      <c r="A44">
        <v>111624</v>
      </c>
      <c r="B44">
        <v>1079981</v>
      </c>
      <c r="C44">
        <v>8514.0166669999999</v>
      </c>
      <c r="D44" t="str">
        <f t="shared" si="1"/>
        <v>Very High</v>
      </c>
      <c r="E44">
        <f t="shared" si="0"/>
        <v>300</v>
      </c>
      <c r="F44">
        <f t="shared" si="2"/>
        <v>5.91</v>
      </c>
      <c r="G44">
        <f t="shared" si="3"/>
        <v>3.8415000000000004</v>
      </c>
      <c r="H44">
        <f>ROUND(Latency_Based_Targeting18[[#This Row],[Average time to convert in Days]]-Latency_Based_Targeting18[[#This Row],[Improved Time to convert]],2)</f>
        <v>2.0699999999999998</v>
      </c>
      <c r="I44" s="47">
        <f>Latency_Based_Targeting18[[#This Row],[Time Saved]]/Latency_Based_Targeting18[[#This Row],[Average time to convert in Days]]</f>
        <v>0.35025380710659892</v>
      </c>
    </row>
    <row r="45" spans="1:9">
      <c r="A45">
        <v>352</v>
      </c>
      <c r="B45">
        <v>1093361</v>
      </c>
      <c r="C45">
        <v>5274.2166669999997</v>
      </c>
      <c r="D45" t="str">
        <f t="shared" si="1"/>
        <v>High</v>
      </c>
      <c r="E45">
        <f t="shared" si="0"/>
        <v>200</v>
      </c>
      <c r="F45">
        <f t="shared" si="2"/>
        <v>3.66</v>
      </c>
      <c r="G45">
        <f t="shared" si="3"/>
        <v>2.5619999999999998</v>
      </c>
      <c r="H45">
        <f>ROUND(Latency_Based_Targeting18[[#This Row],[Average time to convert in Days]]-Latency_Based_Targeting18[[#This Row],[Improved Time to convert]],2)</f>
        <v>1.1000000000000001</v>
      </c>
      <c r="I45" s="47">
        <f>Latency_Based_Targeting18[[#This Row],[Time Saved]]/Latency_Based_Targeting18[[#This Row],[Average time to convert in Days]]</f>
        <v>0.30054644808743169</v>
      </c>
    </row>
    <row r="46" spans="1:9">
      <c r="A46">
        <v>91718</v>
      </c>
      <c r="B46">
        <v>1398644</v>
      </c>
      <c r="C46">
        <v>7796.4</v>
      </c>
      <c r="D46" t="str">
        <f t="shared" si="1"/>
        <v>High</v>
      </c>
      <c r="E46">
        <f t="shared" si="0"/>
        <v>200</v>
      </c>
      <c r="F46">
        <f t="shared" si="2"/>
        <v>5.41</v>
      </c>
      <c r="G46">
        <f t="shared" si="3"/>
        <v>3.7869999999999999</v>
      </c>
      <c r="H46">
        <f>ROUND(Latency_Based_Targeting18[[#This Row],[Average time to convert in Days]]-Latency_Based_Targeting18[[#This Row],[Improved Time to convert]],2)</f>
        <v>1.62</v>
      </c>
      <c r="I46" s="47">
        <f>Latency_Based_Targeting18[[#This Row],[Time Saved]]/Latency_Based_Targeting18[[#This Row],[Average time to convert in Days]]</f>
        <v>0.29944547134935307</v>
      </c>
    </row>
    <row r="47" spans="1:9">
      <c r="A47">
        <v>147404</v>
      </c>
      <c r="B47">
        <v>1446825</v>
      </c>
      <c r="C47">
        <v>4146.8666670000002</v>
      </c>
      <c r="D47" t="str">
        <f t="shared" si="1"/>
        <v>Medium</v>
      </c>
      <c r="E47">
        <f t="shared" si="0"/>
        <v>100</v>
      </c>
      <c r="F47">
        <f t="shared" si="2"/>
        <v>2.88</v>
      </c>
      <c r="G47">
        <f t="shared" si="3"/>
        <v>2.88</v>
      </c>
      <c r="H47">
        <f>ROUND(Latency_Based_Targeting18[[#This Row],[Average time to convert in Days]]-Latency_Based_Targeting18[[#This Row],[Improved Time to convert]],2)</f>
        <v>0</v>
      </c>
      <c r="I47" s="47">
        <f>Latency_Based_Targeting18[[#This Row],[Time Saved]]/Latency_Based_Targeting18[[#This Row],[Average time to convert in Days]]</f>
        <v>0</v>
      </c>
    </row>
    <row r="48" spans="1:9">
      <c r="A48">
        <v>347476</v>
      </c>
      <c r="B48">
        <v>1719847</v>
      </c>
      <c r="C48">
        <v>7151.7166669999997</v>
      </c>
      <c r="D48" t="str">
        <f t="shared" si="1"/>
        <v>High</v>
      </c>
      <c r="E48">
        <f t="shared" si="0"/>
        <v>200</v>
      </c>
      <c r="F48">
        <f t="shared" si="2"/>
        <v>4.97</v>
      </c>
      <c r="G48">
        <f t="shared" si="3"/>
        <v>3.4789999999999996</v>
      </c>
      <c r="H48">
        <f>ROUND(Latency_Based_Targeting18[[#This Row],[Average time to convert in Days]]-Latency_Based_Targeting18[[#This Row],[Improved Time to convert]],2)</f>
        <v>1.49</v>
      </c>
      <c r="I48" s="47">
        <f>Latency_Based_Targeting18[[#This Row],[Time Saved]]/Latency_Based_Targeting18[[#This Row],[Average time to convert in Days]]</f>
        <v>0.29979879275653926</v>
      </c>
    </row>
    <row r="49" spans="1:9">
      <c r="A49">
        <v>398490</v>
      </c>
      <c r="B49">
        <v>1906137</v>
      </c>
      <c r="C49">
        <v>10134.166670000001</v>
      </c>
      <c r="D49" t="str">
        <f t="shared" si="1"/>
        <v>Very High</v>
      </c>
      <c r="E49">
        <f t="shared" si="0"/>
        <v>300</v>
      </c>
      <c r="F49">
        <f t="shared" si="2"/>
        <v>7.04</v>
      </c>
      <c r="G49">
        <f t="shared" si="3"/>
        <v>4.5760000000000005</v>
      </c>
      <c r="H49">
        <f>ROUND(Latency_Based_Targeting18[[#This Row],[Average time to convert in Days]]-Latency_Based_Targeting18[[#This Row],[Improved Time to convert]],2)</f>
        <v>2.46</v>
      </c>
      <c r="I49" s="47">
        <f>Latency_Based_Targeting18[[#This Row],[Time Saved]]/Latency_Based_Targeting18[[#This Row],[Average time to convert in Days]]</f>
        <v>0.34943181818181818</v>
      </c>
    </row>
    <row r="50" spans="1:9">
      <c r="A50">
        <v>920408</v>
      </c>
      <c r="B50">
        <v>1924632</v>
      </c>
      <c r="C50">
        <v>5730.9166670000004</v>
      </c>
      <c r="D50" t="str">
        <f t="shared" si="1"/>
        <v>High</v>
      </c>
      <c r="E50">
        <f t="shared" si="0"/>
        <v>200</v>
      </c>
      <c r="F50">
        <f t="shared" si="2"/>
        <v>3.98</v>
      </c>
      <c r="G50">
        <f t="shared" si="3"/>
        <v>2.786</v>
      </c>
      <c r="H50">
        <f>ROUND(Latency_Based_Targeting18[[#This Row],[Average time to convert in Days]]-Latency_Based_Targeting18[[#This Row],[Improved Time to convert]],2)</f>
        <v>1.19</v>
      </c>
      <c r="I50" s="47">
        <f>Latency_Based_Targeting18[[#This Row],[Time Saved]]/Latency_Based_Targeting18[[#This Row],[Average time to convert in Days]]</f>
        <v>0.29899497487437182</v>
      </c>
    </row>
    <row r="51" spans="1:9">
      <c r="A51">
        <v>350195</v>
      </c>
      <c r="B51">
        <v>2286244</v>
      </c>
      <c r="C51">
        <v>5247.35</v>
      </c>
      <c r="D51" t="str">
        <f t="shared" si="1"/>
        <v>High</v>
      </c>
      <c r="E51">
        <f t="shared" si="0"/>
        <v>200</v>
      </c>
      <c r="F51">
        <f t="shared" si="2"/>
        <v>3.64</v>
      </c>
      <c r="G51">
        <f t="shared" si="3"/>
        <v>2.548</v>
      </c>
      <c r="H51">
        <f>ROUND(Latency_Based_Targeting18[[#This Row],[Average time to convert in Days]]-Latency_Based_Targeting18[[#This Row],[Improved Time to convert]],2)</f>
        <v>1.0900000000000001</v>
      </c>
      <c r="I51" s="47">
        <f>Latency_Based_Targeting18[[#This Row],[Time Saved]]/Latency_Based_Targeting18[[#This Row],[Average time to convert in Days]]</f>
        <v>0.29945054945054944</v>
      </c>
    </row>
    <row r="52" spans="1:9">
      <c r="A52">
        <v>127847</v>
      </c>
      <c r="B52">
        <v>2419802</v>
      </c>
      <c r="C52">
        <v>5474.7833330000003</v>
      </c>
      <c r="D52" t="str">
        <f t="shared" si="1"/>
        <v>High</v>
      </c>
      <c r="E52">
        <f t="shared" si="0"/>
        <v>200</v>
      </c>
      <c r="F52">
        <f t="shared" si="2"/>
        <v>3.8</v>
      </c>
      <c r="G52">
        <f t="shared" si="3"/>
        <v>2.6599999999999997</v>
      </c>
      <c r="H52">
        <f>ROUND(Latency_Based_Targeting18[[#This Row],[Average time to convert in Days]]-Latency_Based_Targeting18[[#This Row],[Improved Time to convert]],2)</f>
        <v>1.1399999999999999</v>
      </c>
      <c r="I52" s="47">
        <f>Latency_Based_Targeting18[[#This Row],[Time Saved]]/Latency_Based_Targeting18[[#This Row],[Average time to convert in Days]]</f>
        <v>0.3</v>
      </c>
    </row>
    <row r="53" spans="1:9">
      <c r="A53">
        <v>148891</v>
      </c>
      <c r="B53">
        <v>2474309</v>
      </c>
      <c r="C53">
        <v>4429.6000000000004</v>
      </c>
      <c r="D53" t="str">
        <f t="shared" si="1"/>
        <v>Medium</v>
      </c>
      <c r="E53">
        <f t="shared" si="0"/>
        <v>100</v>
      </c>
      <c r="F53">
        <f t="shared" si="2"/>
        <v>3.08</v>
      </c>
      <c r="G53">
        <f t="shared" si="3"/>
        <v>3.08</v>
      </c>
      <c r="H53">
        <f>ROUND(Latency_Based_Targeting18[[#This Row],[Average time to convert in Days]]-Latency_Based_Targeting18[[#This Row],[Improved Time to convert]],2)</f>
        <v>0</v>
      </c>
      <c r="I53" s="47">
        <f>Latency_Based_Targeting18[[#This Row],[Time Saved]]/Latency_Based_Targeting18[[#This Row],[Average time to convert in Days]]</f>
        <v>0</v>
      </c>
    </row>
    <row r="54" spans="1:9">
      <c r="A54">
        <v>19111</v>
      </c>
      <c r="B54">
        <v>2477034</v>
      </c>
      <c r="C54">
        <v>4954.05</v>
      </c>
      <c r="D54" t="str">
        <f t="shared" si="1"/>
        <v>Medium</v>
      </c>
      <c r="E54">
        <f t="shared" si="0"/>
        <v>100</v>
      </c>
      <c r="F54">
        <f t="shared" si="2"/>
        <v>3.44</v>
      </c>
      <c r="G54">
        <f t="shared" si="3"/>
        <v>3.44</v>
      </c>
      <c r="H54">
        <f>ROUND(Latency_Based_Targeting18[[#This Row],[Average time to convert in Days]]-Latency_Based_Targeting18[[#This Row],[Improved Time to convert]],2)</f>
        <v>0</v>
      </c>
      <c r="I54" s="47">
        <f>Latency_Based_Targeting18[[#This Row],[Time Saved]]/Latency_Based_Targeting18[[#This Row],[Average time to convert in Days]]</f>
        <v>0</v>
      </c>
    </row>
    <row r="55" spans="1:9">
      <c r="A55">
        <v>240272</v>
      </c>
      <c r="B55">
        <v>2550832</v>
      </c>
      <c r="C55">
        <v>4007.85</v>
      </c>
      <c r="D55" t="str">
        <f t="shared" si="1"/>
        <v>Medium</v>
      </c>
      <c r="E55">
        <f t="shared" si="0"/>
        <v>100</v>
      </c>
      <c r="F55">
        <f t="shared" si="2"/>
        <v>2.78</v>
      </c>
      <c r="G55">
        <f t="shared" si="3"/>
        <v>2.78</v>
      </c>
      <c r="H55">
        <f>ROUND(Latency_Based_Targeting18[[#This Row],[Average time to convert in Days]]-Latency_Based_Targeting18[[#This Row],[Improved Time to convert]],2)</f>
        <v>0</v>
      </c>
      <c r="I55" s="47">
        <f>Latency_Based_Targeting18[[#This Row],[Time Saved]]/Latency_Based_Targeting18[[#This Row],[Average time to convert in Days]]</f>
        <v>0</v>
      </c>
    </row>
    <row r="56" spans="1:9">
      <c r="A56">
        <v>148009</v>
      </c>
      <c r="B56">
        <v>2568927</v>
      </c>
      <c r="C56">
        <v>6296.2166669999997</v>
      </c>
      <c r="D56" t="str">
        <f t="shared" si="1"/>
        <v>High</v>
      </c>
      <c r="E56">
        <f t="shared" si="0"/>
        <v>200</v>
      </c>
      <c r="F56">
        <f t="shared" si="2"/>
        <v>4.37</v>
      </c>
      <c r="G56">
        <f t="shared" si="3"/>
        <v>3.0589999999999997</v>
      </c>
      <c r="H56">
        <f>ROUND(Latency_Based_Targeting18[[#This Row],[Average time to convert in Days]]-Latency_Based_Targeting18[[#This Row],[Improved Time to convert]],2)</f>
        <v>1.31</v>
      </c>
      <c r="I56" s="47">
        <f>Latency_Based_Targeting18[[#This Row],[Time Saved]]/Latency_Based_Targeting18[[#This Row],[Average time to convert in Days]]</f>
        <v>0.2997711670480549</v>
      </c>
    </row>
    <row r="57" spans="1:9">
      <c r="A57">
        <v>462285</v>
      </c>
      <c r="B57">
        <v>2667881</v>
      </c>
      <c r="C57">
        <v>6276.1333329999998</v>
      </c>
      <c r="D57" t="str">
        <f t="shared" si="1"/>
        <v>High</v>
      </c>
      <c r="E57">
        <f t="shared" si="0"/>
        <v>200</v>
      </c>
      <c r="F57">
        <f t="shared" si="2"/>
        <v>4.3600000000000003</v>
      </c>
      <c r="G57">
        <f t="shared" si="3"/>
        <v>3.052</v>
      </c>
      <c r="H57">
        <f>ROUND(Latency_Based_Targeting18[[#This Row],[Average time to convert in Days]]-Latency_Based_Targeting18[[#This Row],[Improved Time to convert]],2)</f>
        <v>1.31</v>
      </c>
      <c r="I57" s="47">
        <f>Latency_Based_Targeting18[[#This Row],[Time Saved]]/Latency_Based_Targeting18[[#This Row],[Average time to convert in Days]]</f>
        <v>0.30045871559633025</v>
      </c>
    </row>
    <row r="58" spans="1:9">
      <c r="A58">
        <v>561534</v>
      </c>
      <c r="B58">
        <v>2808350</v>
      </c>
      <c r="C58">
        <v>7040.05</v>
      </c>
      <c r="D58" t="str">
        <f t="shared" si="1"/>
        <v>High</v>
      </c>
      <c r="E58">
        <f t="shared" si="0"/>
        <v>200</v>
      </c>
      <c r="F58">
        <f t="shared" si="2"/>
        <v>4.8899999999999997</v>
      </c>
      <c r="G58">
        <f t="shared" si="3"/>
        <v>3.4229999999999996</v>
      </c>
      <c r="H58">
        <f>ROUND(Latency_Based_Targeting18[[#This Row],[Average time to convert in Days]]-Latency_Based_Targeting18[[#This Row],[Improved Time to convert]],2)</f>
        <v>1.47</v>
      </c>
      <c r="I58" s="47">
        <f>Latency_Based_Targeting18[[#This Row],[Time Saved]]/Latency_Based_Targeting18[[#This Row],[Average time to convert in Days]]</f>
        <v>0.30061349693251538</v>
      </c>
    </row>
    <row r="59" spans="1:9">
      <c r="A59">
        <v>826448</v>
      </c>
      <c r="B59">
        <v>2838066</v>
      </c>
      <c r="C59">
        <v>3649.2666669999999</v>
      </c>
      <c r="D59" t="str">
        <f t="shared" si="1"/>
        <v>Medium</v>
      </c>
      <c r="E59">
        <f t="shared" si="0"/>
        <v>100</v>
      </c>
      <c r="F59">
        <f t="shared" si="2"/>
        <v>2.5299999999999998</v>
      </c>
      <c r="G59">
        <f t="shared" si="3"/>
        <v>2.5299999999999998</v>
      </c>
      <c r="H59">
        <f>ROUND(Latency_Based_Targeting18[[#This Row],[Average time to convert in Days]]-Latency_Based_Targeting18[[#This Row],[Improved Time to convert]],2)</f>
        <v>0</v>
      </c>
      <c r="I59" s="47">
        <f>Latency_Based_Targeting18[[#This Row],[Time Saved]]/Latency_Based_Targeting18[[#This Row],[Average time to convert in Days]]</f>
        <v>0</v>
      </c>
    </row>
    <row r="60" spans="1:9">
      <c r="A60">
        <v>367868</v>
      </c>
      <c r="B60">
        <v>3050899</v>
      </c>
      <c r="C60">
        <v>4275.3333334999998</v>
      </c>
      <c r="D60" t="str">
        <f t="shared" si="1"/>
        <v>Medium</v>
      </c>
      <c r="E60">
        <f t="shared" si="0"/>
        <v>100</v>
      </c>
      <c r="F60">
        <f t="shared" si="2"/>
        <v>2.97</v>
      </c>
      <c r="G60">
        <f t="shared" si="3"/>
        <v>2.97</v>
      </c>
      <c r="H60">
        <f>ROUND(Latency_Based_Targeting18[[#This Row],[Average time to convert in Days]]-Latency_Based_Targeting18[[#This Row],[Improved Time to convert]],2)</f>
        <v>0</v>
      </c>
      <c r="I60" s="47">
        <f>Latency_Based_Targeting18[[#This Row],[Time Saved]]/Latency_Based_Targeting18[[#This Row],[Average time to convert in Days]]</f>
        <v>0</v>
      </c>
    </row>
    <row r="61" spans="1:9">
      <c r="A61">
        <v>494353</v>
      </c>
      <c r="B61">
        <v>3160591</v>
      </c>
      <c r="C61">
        <v>3878.65</v>
      </c>
      <c r="D61" t="str">
        <f t="shared" si="1"/>
        <v>Medium</v>
      </c>
      <c r="E61">
        <f t="shared" si="0"/>
        <v>100</v>
      </c>
      <c r="F61">
        <f t="shared" si="2"/>
        <v>2.69</v>
      </c>
      <c r="G61">
        <f t="shared" si="3"/>
        <v>2.69</v>
      </c>
      <c r="H61">
        <f>ROUND(Latency_Based_Targeting18[[#This Row],[Average time to convert in Days]]-Latency_Based_Targeting18[[#This Row],[Improved Time to convert]],2)</f>
        <v>0</v>
      </c>
      <c r="I61" s="47">
        <f>Latency_Based_Targeting18[[#This Row],[Time Saved]]/Latency_Based_Targeting18[[#This Row],[Average time to convert in Days]]</f>
        <v>0</v>
      </c>
    </row>
    <row r="62" spans="1:9">
      <c r="A62">
        <v>58614</v>
      </c>
      <c r="B62">
        <v>3338488</v>
      </c>
      <c r="C62">
        <v>6396.8</v>
      </c>
      <c r="D62" t="str">
        <f t="shared" si="1"/>
        <v>High</v>
      </c>
      <c r="E62">
        <f t="shared" si="0"/>
        <v>200</v>
      </c>
      <c r="F62">
        <f t="shared" si="2"/>
        <v>4.4400000000000004</v>
      </c>
      <c r="G62">
        <f t="shared" si="3"/>
        <v>3.1080000000000001</v>
      </c>
      <c r="H62">
        <f>ROUND(Latency_Based_Targeting18[[#This Row],[Average time to convert in Days]]-Latency_Based_Targeting18[[#This Row],[Improved Time to convert]],2)</f>
        <v>1.33</v>
      </c>
      <c r="I62" s="47">
        <f>Latency_Based_Targeting18[[#This Row],[Time Saved]]/Latency_Based_Targeting18[[#This Row],[Average time to convert in Days]]</f>
        <v>0.29954954954954954</v>
      </c>
    </row>
    <row r="63" spans="1:9">
      <c r="A63">
        <v>621933</v>
      </c>
      <c r="B63">
        <v>3404238</v>
      </c>
      <c r="C63">
        <v>4589.6333329999998</v>
      </c>
      <c r="D63" t="str">
        <f t="shared" si="1"/>
        <v>Medium</v>
      </c>
      <c r="E63">
        <f t="shared" si="0"/>
        <v>100</v>
      </c>
      <c r="F63">
        <f t="shared" si="2"/>
        <v>3.19</v>
      </c>
      <c r="G63">
        <f t="shared" si="3"/>
        <v>3.19</v>
      </c>
      <c r="H63">
        <f>ROUND(Latency_Based_Targeting18[[#This Row],[Average time to convert in Days]]-Latency_Based_Targeting18[[#This Row],[Improved Time to convert]],2)</f>
        <v>0</v>
      </c>
      <c r="I63" s="47">
        <f>Latency_Based_Targeting18[[#This Row],[Time Saved]]/Latency_Based_Targeting18[[#This Row],[Average time to convert in Days]]</f>
        <v>0</v>
      </c>
    </row>
    <row r="64" spans="1:9">
      <c r="A64">
        <v>261415</v>
      </c>
      <c r="B64">
        <v>3581985</v>
      </c>
      <c r="C64">
        <v>5051.4166670000004</v>
      </c>
      <c r="D64" t="str">
        <f t="shared" si="1"/>
        <v>High</v>
      </c>
      <c r="E64">
        <f t="shared" si="0"/>
        <v>200</v>
      </c>
      <c r="F64">
        <f t="shared" si="2"/>
        <v>3.51</v>
      </c>
      <c r="G64">
        <f t="shared" si="3"/>
        <v>2.4569999999999999</v>
      </c>
      <c r="H64">
        <f>ROUND(Latency_Based_Targeting18[[#This Row],[Average time to convert in Days]]-Latency_Based_Targeting18[[#This Row],[Improved Time to convert]],2)</f>
        <v>1.05</v>
      </c>
      <c r="I64" s="47">
        <f>Latency_Based_Targeting18[[#This Row],[Time Saved]]/Latency_Based_Targeting18[[#This Row],[Average time to convert in Days]]</f>
        <v>0.29914529914529919</v>
      </c>
    </row>
    <row r="65" spans="1:9">
      <c r="A65">
        <v>153548</v>
      </c>
      <c r="B65">
        <v>3621263</v>
      </c>
      <c r="C65">
        <v>11737.333329999999</v>
      </c>
      <c r="D65" t="str">
        <f t="shared" si="1"/>
        <v>Very High</v>
      </c>
      <c r="E65">
        <f t="shared" si="0"/>
        <v>300</v>
      </c>
      <c r="F65">
        <f t="shared" si="2"/>
        <v>8.15</v>
      </c>
      <c r="G65">
        <f t="shared" si="3"/>
        <v>5.2975000000000003</v>
      </c>
      <c r="H65">
        <f>ROUND(Latency_Based_Targeting18[[#This Row],[Average time to convert in Days]]-Latency_Based_Targeting18[[#This Row],[Improved Time to convert]],2)</f>
        <v>2.85</v>
      </c>
      <c r="I65" s="47">
        <f>Latency_Based_Targeting18[[#This Row],[Time Saved]]/Latency_Based_Targeting18[[#This Row],[Average time to convert in Days]]</f>
        <v>0.34969325153374231</v>
      </c>
    </row>
    <row r="66" spans="1:9">
      <c r="A66">
        <v>227717</v>
      </c>
      <c r="B66">
        <v>3944994</v>
      </c>
      <c r="C66">
        <v>4294.2833330000003</v>
      </c>
      <c r="D66" t="str">
        <f t="shared" si="1"/>
        <v>Medium</v>
      </c>
      <c r="E66">
        <f t="shared" ref="E66:E129" si="4">IF(D66="Very High", 300, IF(D66="High", 200, IF(D66="Medium", 100, 50)))</f>
        <v>100</v>
      </c>
      <c r="F66">
        <f t="shared" si="2"/>
        <v>2.98</v>
      </c>
      <c r="G66">
        <f t="shared" si="3"/>
        <v>2.98</v>
      </c>
      <c r="H66">
        <f>ROUND(Latency_Based_Targeting18[[#This Row],[Average time to convert in Days]]-Latency_Based_Targeting18[[#This Row],[Improved Time to convert]],2)</f>
        <v>0</v>
      </c>
      <c r="I66" s="47">
        <f>Latency_Based_Targeting18[[#This Row],[Time Saved]]/Latency_Based_Targeting18[[#This Row],[Average time to convert in Days]]</f>
        <v>0</v>
      </c>
    </row>
    <row r="67" spans="1:9">
      <c r="A67">
        <v>981615</v>
      </c>
      <c r="B67">
        <v>4109915</v>
      </c>
      <c r="C67">
        <v>4473.7166669999997</v>
      </c>
      <c r="D67" t="str">
        <f t="shared" ref="D67:D130" si="5">IF(F67&lt;=2.5, "Low",
 IF(F67&lt;=3.5, "Medium",
 IF(F67&lt;=5.5, "High", "Very High")))</f>
        <v>Medium</v>
      </c>
      <c r="E67">
        <f t="shared" si="4"/>
        <v>100</v>
      </c>
      <c r="F67">
        <f t="shared" ref="F67:F130" si="6">ROUND(C67/1440,2)</f>
        <v>3.11</v>
      </c>
      <c r="G67">
        <f t="shared" ref="G67:G130" si="7">IF(D67="High", F67*0.7,
 IF(D67="Very High", F67*0.65,
 F67))</f>
        <v>3.11</v>
      </c>
      <c r="H67">
        <f>ROUND(Latency_Based_Targeting18[[#This Row],[Average time to convert in Days]]-Latency_Based_Targeting18[[#This Row],[Improved Time to convert]],2)</f>
        <v>0</v>
      </c>
      <c r="I67" s="47">
        <f>Latency_Based_Targeting18[[#This Row],[Time Saved]]/Latency_Based_Targeting18[[#This Row],[Average time to convert in Days]]</f>
        <v>0</v>
      </c>
    </row>
    <row r="68" spans="1:9">
      <c r="A68">
        <v>812338</v>
      </c>
      <c r="B68">
        <v>4166760</v>
      </c>
      <c r="C68">
        <v>7823.4333329999999</v>
      </c>
      <c r="D68" t="str">
        <f t="shared" si="5"/>
        <v>High</v>
      </c>
      <c r="E68">
        <f t="shared" si="4"/>
        <v>200</v>
      </c>
      <c r="F68">
        <f t="shared" si="6"/>
        <v>5.43</v>
      </c>
      <c r="G68">
        <f t="shared" si="7"/>
        <v>3.8009999999999997</v>
      </c>
      <c r="H68">
        <f>ROUND(Latency_Based_Targeting18[[#This Row],[Average time to convert in Days]]-Latency_Based_Targeting18[[#This Row],[Improved Time to convert]],2)</f>
        <v>1.63</v>
      </c>
      <c r="I68" s="47">
        <f>Latency_Based_Targeting18[[#This Row],[Time Saved]]/Latency_Based_Targeting18[[#This Row],[Average time to convert in Days]]</f>
        <v>0.30018416206261511</v>
      </c>
    </row>
    <row r="69" spans="1:9">
      <c r="A69">
        <v>335916</v>
      </c>
      <c r="B69">
        <v>4333153</v>
      </c>
      <c r="C69">
        <v>4733.8833329999998</v>
      </c>
      <c r="D69" t="str">
        <f t="shared" si="5"/>
        <v>Medium</v>
      </c>
      <c r="E69">
        <f t="shared" si="4"/>
        <v>100</v>
      </c>
      <c r="F69">
        <f t="shared" si="6"/>
        <v>3.29</v>
      </c>
      <c r="G69">
        <f t="shared" si="7"/>
        <v>3.29</v>
      </c>
      <c r="H69">
        <f>ROUND(Latency_Based_Targeting18[[#This Row],[Average time to convert in Days]]-Latency_Based_Targeting18[[#This Row],[Improved Time to convert]],2)</f>
        <v>0</v>
      </c>
      <c r="I69" s="47">
        <f>Latency_Based_Targeting18[[#This Row],[Time Saved]]/Latency_Based_Targeting18[[#This Row],[Average time to convert in Days]]</f>
        <v>0</v>
      </c>
    </row>
    <row r="70" spans="1:9">
      <c r="A70">
        <v>703763</v>
      </c>
      <c r="B70">
        <v>4511447</v>
      </c>
      <c r="C70">
        <v>5754.5666670000001</v>
      </c>
      <c r="D70" t="str">
        <f t="shared" si="5"/>
        <v>High</v>
      </c>
      <c r="E70">
        <f t="shared" si="4"/>
        <v>200</v>
      </c>
      <c r="F70">
        <f t="shared" si="6"/>
        <v>4</v>
      </c>
      <c r="G70">
        <f t="shared" si="7"/>
        <v>2.8</v>
      </c>
      <c r="H70">
        <f>ROUND(Latency_Based_Targeting18[[#This Row],[Average time to convert in Days]]-Latency_Based_Targeting18[[#This Row],[Improved Time to convert]],2)</f>
        <v>1.2</v>
      </c>
      <c r="I70" s="47">
        <f>Latency_Based_Targeting18[[#This Row],[Time Saved]]/Latency_Based_Targeting18[[#This Row],[Average time to convert in Days]]</f>
        <v>0.3</v>
      </c>
    </row>
    <row r="71" spans="1:9">
      <c r="A71">
        <v>382527</v>
      </c>
      <c r="B71">
        <v>4530417</v>
      </c>
      <c r="C71">
        <v>5197.9166670000004</v>
      </c>
      <c r="D71" t="str">
        <f t="shared" si="5"/>
        <v>High</v>
      </c>
      <c r="E71">
        <f t="shared" si="4"/>
        <v>200</v>
      </c>
      <c r="F71">
        <f t="shared" si="6"/>
        <v>3.61</v>
      </c>
      <c r="G71">
        <f t="shared" si="7"/>
        <v>2.5269999999999997</v>
      </c>
      <c r="H71">
        <f>ROUND(Latency_Based_Targeting18[[#This Row],[Average time to convert in Days]]-Latency_Based_Targeting18[[#This Row],[Improved Time to convert]],2)</f>
        <v>1.08</v>
      </c>
      <c r="I71" s="47">
        <f>Latency_Based_Targeting18[[#This Row],[Time Saved]]/Latency_Based_Targeting18[[#This Row],[Average time to convert in Days]]</f>
        <v>0.29916897506925211</v>
      </c>
    </row>
    <row r="72" spans="1:9">
      <c r="A72">
        <v>888291</v>
      </c>
      <c r="B72">
        <v>4626061</v>
      </c>
      <c r="C72">
        <v>8635.5499999999993</v>
      </c>
      <c r="D72" t="str">
        <f t="shared" si="5"/>
        <v>Very High</v>
      </c>
      <c r="E72">
        <f t="shared" si="4"/>
        <v>300</v>
      </c>
      <c r="F72">
        <f t="shared" si="6"/>
        <v>6</v>
      </c>
      <c r="G72">
        <f t="shared" si="7"/>
        <v>3.9000000000000004</v>
      </c>
      <c r="H72">
        <f>ROUND(Latency_Based_Targeting18[[#This Row],[Average time to convert in Days]]-Latency_Based_Targeting18[[#This Row],[Improved Time to convert]],2)</f>
        <v>2.1</v>
      </c>
      <c r="I72" s="47">
        <f>Latency_Based_Targeting18[[#This Row],[Time Saved]]/Latency_Based_Targeting18[[#This Row],[Average time to convert in Days]]</f>
        <v>0.35000000000000003</v>
      </c>
    </row>
    <row r="73" spans="1:9">
      <c r="A73">
        <v>121688</v>
      </c>
      <c r="B73">
        <v>4630891</v>
      </c>
      <c r="C73">
        <v>10035.18333</v>
      </c>
      <c r="D73" t="str">
        <f t="shared" si="5"/>
        <v>Very High</v>
      </c>
      <c r="E73">
        <f t="shared" si="4"/>
        <v>300</v>
      </c>
      <c r="F73">
        <f t="shared" si="6"/>
        <v>6.97</v>
      </c>
      <c r="G73">
        <f t="shared" si="7"/>
        <v>4.5305</v>
      </c>
      <c r="H73">
        <f>ROUND(Latency_Based_Targeting18[[#This Row],[Average time to convert in Days]]-Latency_Based_Targeting18[[#This Row],[Improved Time to convert]],2)</f>
        <v>2.44</v>
      </c>
      <c r="I73" s="47">
        <f>Latency_Based_Targeting18[[#This Row],[Time Saved]]/Latency_Based_Targeting18[[#This Row],[Average time to convert in Days]]</f>
        <v>0.35007173601147779</v>
      </c>
    </row>
    <row r="74" spans="1:9">
      <c r="A74">
        <v>1009480</v>
      </c>
      <c r="B74">
        <v>4732163</v>
      </c>
      <c r="C74">
        <v>6631.5833329999996</v>
      </c>
      <c r="D74" t="str">
        <f t="shared" si="5"/>
        <v>High</v>
      </c>
      <c r="E74">
        <f t="shared" si="4"/>
        <v>200</v>
      </c>
      <c r="F74">
        <f t="shared" si="6"/>
        <v>4.6100000000000003</v>
      </c>
      <c r="G74">
        <f t="shared" si="7"/>
        <v>3.2269999999999999</v>
      </c>
      <c r="H74">
        <f>ROUND(Latency_Based_Targeting18[[#This Row],[Average time to convert in Days]]-Latency_Based_Targeting18[[#This Row],[Improved Time to convert]],2)</f>
        <v>1.38</v>
      </c>
      <c r="I74" s="47">
        <f>Latency_Based_Targeting18[[#This Row],[Time Saved]]/Latency_Based_Targeting18[[#This Row],[Average time to convert in Days]]</f>
        <v>0.29934924078091102</v>
      </c>
    </row>
    <row r="75" spans="1:9">
      <c r="A75">
        <v>755127</v>
      </c>
      <c r="B75">
        <v>4870782</v>
      </c>
      <c r="C75">
        <v>4189.9333329999999</v>
      </c>
      <c r="D75" t="str">
        <f t="shared" si="5"/>
        <v>Medium</v>
      </c>
      <c r="E75">
        <f t="shared" si="4"/>
        <v>100</v>
      </c>
      <c r="F75">
        <f t="shared" si="6"/>
        <v>2.91</v>
      </c>
      <c r="G75">
        <f t="shared" si="7"/>
        <v>2.91</v>
      </c>
      <c r="H75">
        <f>ROUND(Latency_Based_Targeting18[[#This Row],[Average time to convert in Days]]-Latency_Based_Targeting18[[#This Row],[Improved Time to convert]],2)</f>
        <v>0</v>
      </c>
      <c r="I75" s="47">
        <f>Latency_Based_Targeting18[[#This Row],[Time Saved]]/Latency_Based_Targeting18[[#This Row],[Average time to convert in Days]]</f>
        <v>0</v>
      </c>
    </row>
    <row r="76" spans="1:9">
      <c r="A76">
        <v>80591</v>
      </c>
      <c r="B76">
        <v>4956274</v>
      </c>
      <c r="C76">
        <v>3861.65</v>
      </c>
      <c r="D76" t="str">
        <f t="shared" si="5"/>
        <v>Medium</v>
      </c>
      <c r="E76">
        <f t="shared" si="4"/>
        <v>100</v>
      </c>
      <c r="F76">
        <f t="shared" si="6"/>
        <v>2.68</v>
      </c>
      <c r="G76">
        <f t="shared" si="7"/>
        <v>2.68</v>
      </c>
      <c r="H76">
        <f>ROUND(Latency_Based_Targeting18[[#This Row],[Average time to convert in Days]]-Latency_Based_Targeting18[[#This Row],[Improved Time to convert]],2)</f>
        <v>0</v>
      </c>
      <c r="I76" s="47">
        <f>Latency_Based_Targeting18[[#This Row],[Time Saved]]/Latency_Based_Targeting18[[#This Row],[Average time to convert in Days]]</f>
        <v>0</v>
      </c>
    </row>
    <row r="77" spans="1:9">
      <c r="A77">
        <v>186087</v>
      </c>
      <c r="B77">
        <v>4975727</v>
      </c>
      <c r="C77">
        <v>4402.1333329999998</v>
      </c>
      <c r="D77" t="str">
        <f t="shared" si="5"/>
        <v>Medium</v>
      </c>
      <c r="E77">
        <f t="shared" si="4"/>
        <v>100</v>
      </c>
      <c r="F77">
        <f t="shared" si="6"/>
        <v>3.06</v>
      </c>
      <c r="G77">
        <f t="shared" si="7"/>
        <v>3.06</v>
      </c>
      <c r="H77">
        <f>ROUND(Latency_Based_Targeting18[[#This Row],[Average time to convert in Days]]-Latency_Based_Targeting18[[#This Row],[Improved Time to convert]],2)</f>
        <v>0</v>
      </c>
      <c r="I77" s="47">
        <f>Latency_Based_Targeting18[[#This Row],[Time Saved]]/Latency_Based_Targeting18[[#This Row],[Average time to convert in Days]]</f>
        <v>0</v>
      </c>
    </row>
    <row r="78" spans="1:9">
      <c r="A78">
        <v>141685</v>
      </c>
      <c r="B78">
        <v>5063985</v>
      </c>
      <c r="C78">
        <v>4525.45</v>
      </c>
      <c r="D78" t="str">
        <f t="shared" si="5"/>
        <v>Medium</v>
      </c>
      <c r="E78">
        <f t="shared" si="4"/>
        <v>100</v>
      </c>
      <c r="F78">
        <f t="shared" si="6"/>
        <v>3.14</v>
      </c>
      <c r="G78">
        <f t="shared" si="7"/>
        <v>3.14</v>
      </c>
      <c r="H78">
        <f>ROUND(Latency_Based_Targeting18[[#This Row],[Average time to convert in Days]]-Latency_Based_Targeting18[[#This Row],[Improved Time to convert]],2)</f>
        <v>0</v>
      </c>
      <c r="I78" s="47">
        <f>Latency_Based_Targeting18[[#This Row],[Time Saved]]/Latency_Based_Targeting18[[#This Row],[Average time to convert in Days]]</f>
        <v>0</v>
      </c>
    </row>
    <row r="79" spans="1:9">
      <c r="A79">
        <v>642580</v>
      </c>
      <c r="B79">
        <v>113654</v>
      </c>
      <c r="C79">
        <v>6623.6833329999999</v>
      </c>
      <c r="D79" t="str">
        <f t="shared" si="5"/>
        <v>High</v>
      </c>
      <c r="E79">
        <f t="shared" si="4"/>
        <v>200</v>
      </c>
      <c r="F79">
        <f t="shared" si="6"/>
        <v>4.5999999999999996</v>
      </c>
      <c r="G79">
        <f t="shared" si="7"/>
        <v>3.2199999999999998</v>
      </c>
      <c r="H79">
        <f>ROUND(Latency_Based_Targeting18[[#This Row],[Average time to convert in Days]]-Latency_Based_Targeting18[[#This Row],[Improved Time to convert]],2)</f>
        <v>1.38</v>
      </c>
      <c r="I79" s="47">
        <f>Latency_Based_Targeting18[[#This Row],[Time Saved]]/Latency_Based_Targeting18[[#This Row],[Average time to convert in Days]]</f>
        <v>0.3</v>
      </c>
    </row>
    <row r="80" spans="1:9">
      <c r="A80">
        <v>67118</v>
      </c>
      <c r="B80">
        <v>137349</v>
      </c>
      <c r="C80">
        <v>5256.5166669999999</v>
      </c>
      <c r="D80" t="str">
        <f t="shared" si="5"/>
        <v>High</v>
      </c>
      <c r="E80">
        <f t="shared" si="4"/>
        <v>200</v>
      </c>
      <c r="F80">
        <f t="shared" si="6"/>
        <v>3.65</v>
      </c>
      <c r="G80">
        <f t="shared" si="7"/>
        <v>2.5549999999999997</v>
      </c>
      <c r="H80">
        <f>ROUND(Latency_Based_Targeting18[[#This Row],[Average time to convert in Days]]-Latency_Based_Targeting18[[#This Row],[Improved Time to convert]],2)</f>
        <v>1.1000000000000001</v>
      </c>
      <c r="I80" s="47">
        <f>Latency_Based_Targeting18[[#This Row],[Time Saved]]/Latency_Based_Targeting18[[#This Row],[Average time to convert in Days]]</f>
        <v>0.30136986301369867</v>
      </c>
    </row>
    <row r="81" spans="1:9">
      <c r="A81">
        <v>865319</v>
      </c>
      <c r="B81">
        <v>141261</v>
      </c>
      <c r="C81">
        <v>5583.6333329999998</v>
      </c>
      <c r="D81" t="str">
        <f t="shared" si="5"/>
        <v>High</v>
      </c>
      <c r="E81">
        <f t="shared" si="4"/>
        <v>200</v>
      </c>
      <c r="F81">
        <f t="shared" si="6"/>
        <v>3.88</v>
      </c>
      <c r="G81">
        <f t="shared" si="7"/>
        <v>2.7159999999999997</v>
      </c>
      <c r="H81">
        <f>ROUND(Latency_Based_Targeting18[[#This Row],[Average time to convert in Days]]-Latency_Based_Targeting18[[#This Row],[Improved Time to convert]],2)</f>
        <v>1.1599999999999999</v>
      </c>
      <c r="I81" s="47">
        <f>Latency_Based_Targeting18[[#This Row],[Time Saved]]/Latency_Based_Targeting18[[#This Row],[Average time to convert in Days]]</f>
        <v>0.29896907216494845</v>
      </c>
    </row>
    <row r="82" spans="1:9">
      <c r="A82">
        <v>1012152</v>
      </c>
      <c r="B82">
        <v>170410</v>
      </c>
      <c r="C82">
        <v>4729.1166670000002</v>
      </c>
      <c r="D82" t="str">
        <f t="shared" si="5"/>
        <v>Medium</v>
      </c>
      <c r="E82">
        <f t="shared" si="4"/>
        <v>100</v>
      </c>
      <c r="F82">
        <f t="shared" si="6"/>
        <v>3.28</v>
      </c>
      <c r="G82">
        <f t="shared" si="7"/>
        <v>3.28</v>
      </c>
      <c r="H82">
        <f>ROUND(Latency_Based_Targeting18[[#This Row],[Average time to convert in Days]]-Latency_Based_Targeting18[[#This Row],[Improved Time to convert]],2)</f>
        <v>0</v>
      </c>
      <c r="I82" s="47">
        <f>Latency_Based_Targeting18[[#This Row],[Time Saved]]/Latency_Based_Targeting18[[#This Row],[Average time to convert in Days]]</f>
        <v>0</v>
      </c>
    </row>
    <row r="83" spans="1:9">
      <c r="A83">
        <v>156000</v>
      </c>
      <c r="B83">
        <v>360764</v>
      </c>
      <c r="C83">
        <v>3786.15</v>
      </c>
      <c r="D83" t="str">
        <f t="shared" si="5"/>
        <v>Medium</v>
      </c>
      <c r="E83">
        <f t="shared" si="4"/>
        <v>100</v>
      </c>
      <c r="F83">
        <f t="shared" si="6"/>
        <v>2.63</v>
      </c>
      <c r="G83">
        <f t="shared" si="7"/>
        <v>2.63</v>
      </c>
      <c r="H83">
        <f>ROUND(Latency_Based_Targeting18[[#This Row],[Average time to convert in Days]]-Latency_Based_Targeting18[[#This Row],[Improved Time to convert]],2)</f>
        <v>0</v>
      </c>
      <c r="I83" s="47">
        <f>Latency_Based_Targeting18[[#This Row],[Time Saved]]/Latency_Based_Targeting18[[#This Row],[Average time to convert in Days]]</f>
        <v>0</v>
      </c>
    </row>
    <row r="84" spans="1:9">
      <c r="A84">
        <v>776096</v>
      </c>
      <c r="B84">
        <v>485394</v>
      </c>
      <c r="C84">
        <v>7441.1166670000002</v>
      </c>
      <c r="D84" t="str">
        <f t="shared" si="5"/>
        <v>High</v>
      </c>
      <c r="E84">
        <f t="shared" si="4"/>
        <v>200</v>
      </c>
      <c r="F84">
        <f t="shared" si="6"/>
        <v>5.17</v>
      </c>
      <c r="G84">
        <f t="shared" si="7"/>
        <v>3.6189999999999998</v>
      </c>
      <c r="H84">
        <f>ROUND(Latency_Based_Targeting18[[#This Row],[Average time to convert in Days]]-Latency_Based_Targeting18[[#This Row],[Improved Time to convert]],2)</f>
        <v>1.55</v>
      </c>
      <c r="I84" s="47">
        <f>Latency_Based_Targeting18[[#This Row],[Time Saved]]/Latency_Based_Targeting18[[#This Row],[Average time to convert in Days]]</f>
        <v>0.29980657640232111</v>
      </c>
    </row>
    <row r="85" spans="1:9">
      <c r="A85">
        <v>233417</v>
      </c>
      <c r="B85">
        <v>594265</v>
      </c>
      <c r="C85">
        <v>4265.95</v>
      </c>
      <c r="D85" t="str">
        <f t="shared" si="5"/>
        <v>Medium</v>
      </c>
      <c r="E85">
        <f t="shared" si="4"/>
        <v>100</v>
      </c>
      <c r="F85">
        <f t="shared" si="6"/>
        <v>2.96</v>
      </c>
      <c r="G85">
        <f t="shared" si="7"/>
        <v>2.96</v>
      </c>
      <c r="H85">
        <f>ROUND(Latency_Based_Targeting18[[#This Row],[Average time to convert in Days]]-Latency_Based_Targeting18[[#This Row],[Improved Time to convert]],2)</f>
        <v>0</v>
      </c>
      <c r="I85" s="47">
        <f>Latency_Based_Targeting18[[#This Row],[Time Saved]]/Latency_Based_Targeting18[[#This Row],[Average time to convert in Days]]</f>
        <v>0</v>
      </c>
    </row>
    <row r="86" spans="1:9">
      <c r="A86">
        <v>57215</v>
      </c>
      <c r="B86">
        <v>600756</v>
      </c>
      <c r="C86">
        <v>5036</v>
      </c>
      <c r="D86" t="str">
        <f t="shared" si="5"/>
        <v>Medium</v>
      </c>
      <c r="E86">
        <f t="shared" si="4"/>
        <v>100</v>
      </c>
      <c r="F86">
        <f t="shared" si="6"/>
        <v>3.5</v>
      </c>
      <c r="G86">
        <f t="shared" si="7"/>
        <v>3.5</v>
      </c>
      <c r="H86">
        <f>ROUND(Latency_Based_Targeting18[[#This Row],[Average time to convert in Days]]-Latency_Based_Targeting18[[#This Row],[Improved Time to convert]],2)</f>
        <v>0</v>
      </c>
      <c r="I86" s="47">
        <f>Latency_Based_Targeting18[[#This Row],[Time Saved]]/Latency_Based_Targeting18[[#This Row],[Average time to convert in Days]]</f>
        <v>0</v>
      </c>
    </row>
    <row r="87" spans="1:9">
      <c r="A87">
        <v>57872</v>
      </c>
      <c r="B87">
        <v>687713</v>
      </c>
      <c r="C87">
        <v>3784.85</v>
      </c>
      <c r="D87" t="str">
        <f t="shared" si="5"/>
        <v>Medium</v>
      </c>
      <c r="E87">
        <f t="shared" si="4"/>
        <v>100</v>
      </c>
      <c r="F87">
        <f t="shared" si="6"/>
        <v>2.63</v>
      </c>
      <c r="G87">
        <f t="shared" si="7"/>
        <v>2.63</v>
      </c>
      <c r="H87">
        <f>ROUND(Latency_Based_Targeting18[[#This Row],[Average time to convert in Days]]-Latency_Based_Targeting18[[#This Row],[Improved Time to convert]],2)</f>
        <v>0</v>
      </c>
      <c r="I87" s="47">
        <f>Latency_Based_Targeting18[[#This Row],[Time Saved]]/Latency_Based_Targeting18[[#This Row],[Average time to convert in Days]]</f>
        <v>0</v>
      </c>
    </row>
    <row r="88" spans="1:9">
      <c r="A88">
        <v>656597</v>
      </c>
      <c r="B88">
        <v>729565</v>
      </c>
      <c r="C88">
        <v>3851.7333330000001</v>
      </c>
      <c r="D88" t="str">
        <f t="shared" si="5"/>
        <v>Medium</v>
      </c>
      <c r="E88">
        <f t="shared" si="4"/>
        <v>100</v>
      </c>
      <c r="F88">
        <f t="shared" si="6"/>
        <v>2.67</v>
      </c>
      <c r="G88">
        <f t="shared" si="7"/>
        <v>2.67</v>
      </c>
      <c r="H88">
        <f>ROUND(Latency_Based_Targeting18[[#This Row],[Average time to convert in Days]]-Latency_Based_Targeting18[[#This Row],[Improved Time to convert]],2)</f>
        <v>0</v>
      </c>
      <c r="I88" s="47">
        <f>Latency_Based_Targeting18[[#This Row],[Time Saved]]/Latency_Based_Targeting18[[#This Row],[Average time to convert in Days]]</f>
        <v>0</v>
      </c>
    </row>
    <row r="89" spans="1:9">
      <c r="A89">
        <v>965633</v>
      </c>
      <c r="B89">
        <v>855362</v>
      </c>
      <c r="C89">
        <v>9058.6166670000002</v>
      </c>
      <c r="D89" t="str">
        <f t="shared" si="5"/>
        <v>Very High</v>
      </c>
      <c r="E89">
        <f t="shared" si="4"/>
        <v>300</v>
      </c>
      <c r="F89">
        <f t="shared" si="6"/>
        <v>6.29</v>
      </c>
      <c r="G89">
        <f t="shared" si="7"/>
        <v>4.0884999999999998</v>
      </c>
      <c r="H89">
        <f>ROUND(Latency_Based_Targeting18[[#This Row],[Average time to convert in Days]]-Latency_Based_Targeting18[[#This Row],[Improved Time to convert]],2)</f>
        <v>2.2000000000000002</v>
      </c>
      <c r="I89" s="47">
        <f>Latency_Based_Targeting18[[#This Row],[Time Saved]]/Latency_Based_Targeting18[[#This Row],[Average time to convert in Days]]</f>
        <v>0.34976152623211448</v>
      </c>
    </row>
    <row r="90" spans="1:9">
      <c r="A90">
        <v>124204</v>
      </c>
      <c r="B90">
        <v>929062</v>
      </c>
      <c r="C90">
        <v>4161.9166670000004</v>
      </c>
      <c r="D90" t="str">
        <f t="shared" si="5"/>
        <v>Medium</v>
      </c>
      <c r="E90">
        <f t="shared" si="4"/>
        <v>100</v>
      </c>
      <c r="F90">
        <f t="shared" si="6"/>
        <v>2.89</v>
      </c>
      <c r="G90">
        <f t="shared" si="7"/>
        <v>2.89</v>
      </c>
      <c r="H90">
        <f>ROUND(Latency_Based_Targeting18[[#This Row],[Average time to convert in Days]]-Latency_Based_Targeting18[[#This Row],[Improved Time to convert]],2)</f>
        <v>0</v>
      </c>
      <c r="I90" s="47">
        <f>Latency_Based_Targeting18[[#This Row],[Time Saved]]/Latency_Based_Targeting18[[#This Row],[Average time to convert in Days]]</f>
        <v>0</v>
      </c>
    </row>
    <row r="91" spans="1:9">
      <c r="A91">
        <v>749404</v>
      </c>
      <c r="B91">
        <v>1223421</v>
      </c>
      <c r="C91">
        <v>3776.6750001665</v>
      </c>
      <c r="D91" t="str">
        <f t="shared" si="5"/>
        <v>Medium</v>
      </c>
      <c r="E91">
        <f t="shared" si="4"/>
        <v>100</v>
      </c>
      <c r="F91">
        <f t="shared" si="6"/>
        <v>2.62</v>
      </c>
      <c r="G91">
        <f t="shared" si="7"/>
        <v>2.62</v>
      </c>
      <c r="H91">
        <f>ROUND(Latency_Based_Targeting18[[#This Row],[Average time to convert in Days]]-Latency_Based_Targeting18[[#This Row],[Improved Time to convert]],2)</f>
        <v>0</v>
      </c>
      <c r="I91" s="47">
        <f>Latency_Based_Targeting18[[#This Row],[Time Saved]]/Latency_Based_Targeting18[[#This Row],[Average time to convert in Days]]</f>
        <v>0</v>
      </c>
    </row>
    <row r="92" spans="1:9">
      <c r="A92">
        <v>427036</v>
      </c>
      <c r="B92">
        <v>1635672</v>
      </c>
      <c r="C92">
        <v>9847.0833330000005</v>
      </c>
      <c r="D92" t="str">
        <f t="shared" si="5"/>
        <v>Very High</v>
      </c>
      <c r="E92">
        <f t="shared" si="4"/>
        <v>300</v>
      </c>
      <c r="F92">
        <f t="shared" si="6"/>
        <v>6.84</v>
      </c>
      <c r="G92">
        <f t="shared" si="7"/>
        <v>4.4459999999999997</v>
      </c>
      <c r="H92">
        <f>ROUND(Latency_Based_Targeting18[[#This Row],[Average time to convert in Days]]-Latency_Based_Targeting18[[#This Row],[Improved Time to convert]],2)</f>
        <v>2.39</v>
      </c>
      <c r="I92" s="47">
        <f>Latency_Based_Targeting18[[#This Row],[Time Saved]]/Latency_Based_Targeting18[[#This Row],[Average time to convert in Days]]</f>
        <v>0.34941520467836262</v>
      </c>
    </row>
    <row r="93" spans="1:9">
      <c r="A93">
        <v>222391</v>
      </c>
      <c r="B93">
        <v>1662406</v>
      </c>
      <c r="C93">
        <v>3623.2583331649998</v>
      </c>
      <c r="D93" t="str">
        <f t="shared" si="5"/>
        <v>Medium</v>
      </c>
      <c r="E93">
        <f t="shared" si="4"/>
        <v>100</v>
      </c>
      <c r="F93">
        <f t="shared" si="6"/>
        <v>2.52</v>
      </c>
      <c r="G93">
        <f t="shared" si="7"/>
        <v>2.52</v>
      </c>
      <c r="H93">
        <f>ROUND(Latency_Based_Targeting18[[#This Row],[Average time to convert in Days]]-Latency_Based_Targeting18[[#This Row],[Improved Time to convert]],2)</f>
        <v>0</v>
      </c>
      <c r="I93" s="47">
        <f>Latency_Based_Targeting18[[#This Row],[Time Saved]]/Latency_Based_Targeting18[[#This Row],[Average time to convert in Days]]</f>
        <v>0</v>
      </c>
    </row>
    <row r="94" spans="1:9">
      <c r="A94">
        <v>269229</v>
      </c>
      <c r="B94">
        <v>1733671</v>
      </c>
      <c r="C94">
        <v>3951.2</v>
      </c>
      <c r="D94" t="str">
        <f t="shared" si="5"/>
        <v>Medium</v>
      </c>
      <c r="E94">
        <f t="shared" si="4"/>
        <v>100</v>
      </c>
      <c r="F94">
        <f t="shared" si="6"/>
        <v>2.74</v>
      </c>
      <c r="G94">
        <f t="shared" si="7"/>
        <v>2.74</v>
      </c>
      <c r="H94">
        <f>ROUND(Latency_Based_Targeting18[[#This Row],[Average time to convert in Days]]-Latency_Based_Targeting18[[#This Row],[Improved Time to convert]],2)</f>
        <v>0</v>
      </c>
      <c r="I94" s="47">
        <f>Latency_Based_Targeting18[[#This Row],[Time Saved]]/Latency_Based_Targeting18[[#This Row],[Average time to convert in Days]]</f>
        <v>0</v>
      </c>
    </row>
    <row r="95" spans="1:9">
      <c r="A95">
        <v>246237</v>
      </c>
      <c r="B95">
        <v>1879957</v>
      </c>
      <c r="C95">
        <v>10243.93333</v>
      </c>
      <c r="D95" t="str">
        <f t="shared" si="5"/>
        <v>Very High</v>
      </c>
      <c r="E95">
        <f t="shared" si="4"/>
        <v>300</v>
      </c>
      <c r="F95">
        <f t="shared" si="6"/>
        <v>7.11</v>
      </c>
      <c r="G95">
        <f t="shared" si="7"/>
        <v>4.6215000000000002</v>
      </c>
      <c r="H95">
        <f>ROUND(Latency_Based_Targeting18[[#This Row],[Average time to convert in Days]]-Latency_Based_Targeting18[[#This Row],[Improved Time to convert]],2)</f>
        <v>2.4900000000000002</v>
      </c>
      <c r="I95" s="47">
        <f>Latency_Based_Targeting18[[#This Row],[Time Saved]]/Latency_Based_Targeting18[[#This Row],[Average time to convert in Days]]</f>
        <v>0.35021097046413502</v>
      </c>
    </row>
    <row r="96" spans="1:9">
      <c r="A96">
        <v>462064</v>
      </c>
      <c r="B96">
        <v>1976795</v>
      </c>
      <c r="C96">
        <v>4372.1833329999999</v>
      </c>
      <c r="D96" t="str">
        <f t="shared" si="5"/>
        <v>Medium</v>
      </c>
      <c r="E96">
        <f t="shared" si="4"/>
        <v>100</v>
      </c>
      <c r="F96">
        <f t="shared" si="6"/>
        <v>3.04</v>
      </c>
      <c r="G96">
        <f t="shared" si="7"/>
        <v>3.04</v>
      </c>
      <c r="H96">
        <f>ROUND(Latency_Based_Targeting18[[#This Row],[Average time to convert in Days]]-Latency_Based_Targeting18[[#This Row],[Improved Time to convert]],2)</f>
        <v>0</v>
      </c>
      <c r="I96" s="47">
        <f>Latency_Based_Targeting18[[#This Row],[Time Saved]]/Latency_Based_Targeting18[[#This Row],[Average time to convert in Days]]</f>
        <v>0</v>
      </c>
    </row>
    <row r="97" spans="1:9">
      <c r="A97">
        <v>453</v>
      </c>
      <c r="B97">
        <v>2087705</v>
      </c>
      <c r="C97">
        <v>3945.6</v>
      </c>
      <c r="D97" t="str">
        <f t="shared" si="5"/>
        <v>Medium</v>
      </c>
      <c r="E97">
        <f t="shared" si="4"/>
        <v>100</v>
      </c>
      <c r="F97">
        <f t="shared" si="6"/>
        <v>2.74</v>
      </c>
      <c r="G97">
        <f t="shared" si="7"/>
        <v>2.74</v>
      </c>
      <c r="H97">
        <f>ROUND(Latency_Based_Targeting18[[#This Row],[Average time to convert in Days]]-Latency_Based_Targeting18[[#This Row],[Improved Time to convert]],2)</f>
        <v>0</v>
      </c>
      <c r="I97" s="47">
        <f>Latency_Based_Targeting18[[#This Row],[Time Saved]]/Latency_Based_Targeting18[[#This Row],[Average time to convert in Days]]</f>
        <v>0</v>
      </c>
    </row>
    <row r="98" spans="1:9">
      <c r="A98">
        <v>346260</v>
      </c>
      <c r="B98">
        <v>2090774</v>
      </c>
      <c r="C98">
        <v>4334.6333329999998</v>
      </c>
      <c r="D98" t="str">
        <f t="shared" si="5"/>
        <v>Medium</v>
      </c>
      <c r="E98">
        <f t="shared" si="4"/>
        <v>100</v>
      </c>
      <c r="F98">
        <f t="shared" si="6"/>
        <v>3.01</v>
      </c>
      <c r="G98">
        <f t="shared" si="7"/>
        <v>3.01</v>
      </c>
      <c r="H98">
        <f>ROUND(Latency_Based_Targeting18[[#This Row],[Average time to convert in Days]]-Latency_Based_Targeting18[[#This Row],[Improved Time to convert]],2)</f>
        <v>0</v>
      </c>
      <c r="I98" s="47">
        <f>Latency_Based_Targeting18[[#This Row],[Time Saved]]/Latency_Based_Targeting18[[#This Row],[Average time to convert in Days]]</f>
        <v>0</v>
      </c>
    </row>
    <row r="99" spans="1:9">
      <c r="A99">
        <v>711604</v>
      </c>
      <c r="B99">
        <v>2390372</v>
      </c>
      <c r="C99">
        <v>7363.6666670000004</v>
      </c>
      <c r="D99" t="str">
        <f t="shared" si="5"/>
        <v>High</v>
      </c>
      <c r="E99">
        <f t="shared" si="4"/>
        <v>200</v>
      </c>
      <c r="F99">
        <f t="shared" si="6"/>
        <v>5.1100000000000003</v>
      </c>
      <c r="G99">
        <f t="shared" si="7"/>
        <v>3.577</v>
      </c>
      <c r="H99">
        <f>ROUND(Latency_Based_Targeting18[[#This Row],[Average time to convert in Days]]-Latency_Based_Targeting18[[#This Row],[Improved Time to convert]],2)</f>
        <v>1.53</v>
      </c>
      <c r="I99" s="47">
        <f>Latency_Based_Targeting18[[#This Row],[Time Saved]]/Latency_Based_Targeting18[[#This Row],[Average time to convert in Days]]</f>
        <v>0.299412915851272</v>
      </c>
    </row>
    <row r="100" spans="1:9">
      <c r="A100">
        <v>192051</v>
      </c>
      <c r="B100">
        <v>2398776</v>
      </c>
      <c r="C100">
        <v>8384.7166670000006</v>
      </c>
      <c r="D100" t="str">
        <f t="shared" si="5"/>
        <v>Very High</v>
      </c>
      <c r="E100">
        <f t="shared" si="4"/>
        <v>300</v>
      </c>
      <c r="F100">
        <f t="shared" si="6"/>
        <v>5.82</v>
      </c>
      <c r="G100">
        <f t="shared" si="7"/>
        <v>3.7830000000000004</v>
      </c>
      <c r="H100">
        <f>ROUND(Latency_Based_Targeting18[[#This Row],[Average time to convert in Days]]-Latency_Based_Targeting18[[#This Row],[Improved Time to convert]],2)</f>
        <v>2.04</v>
      </c>
      <c r="I100" s="47">
        <f>Latency_Based_Targeting18[[#This Row],[Time Saved]]/Latency_Based_Targeting18[[#This Row],[Average time to convert in Days]]</f>
        <v>0.35051546391752575</v>
      </c>
    </row>
    <row r="101" spans="1:9">
      <c r="A101">
        <v>779896</v>
      </c>
      <c r="B101">
        <v>2432123</v>
      </c>
      <c r="C101">
        <v>4604.8999999999996</v>
      </c>
      <c r="D101" t="str">
        <f t="shared" si="5"/>
        <v>Medium</v>
      </c>
      <c r="E101">
        <f t="shared" si="4"/>
        <v>100</v>
      </c>
      <c r="F101">
        <f t="shared" si="6"/>
        <v>3.2</v>
      </c>
      <c r="G101">
        <f t="shared" si="7"/>
        <v>3.2</v>
      </c>
      <c r="H101">
        <f>ROUND(Latency_Based_Targeting18[[#This Row],[Average time to convert in Days]]-Latency_Based_Targeting18[[#This Row],[Improved Time to convert]],2)</f>
        <v>0</v>
      </c>
      <c r="I101" s="47">
        <f>Latency_Based_Targeting18[[#This Row],[Time Saved]]/Latency_Based_Targeting18[[#This Row],[Average time to convert in Days]]</f>
        <v>0</v>
      </c>
    </row>
    <row r="102" spans="1:9">
      <c r="A102">
        <v>452356</v>
      </c>
      <c r="B102">
        <v>2593106</v>
      </c>
      <c r="C102">
        <v>5404.1333329999998</v>
      </c>
      <c r="D102" t="str">
        <f t="shared" si="5"/>
        <v>High</v>
      </c>
      <c r="E102">
        <f t="shared" si="4"/>
        <v>200</v>
      </c>
      <c r="F102">
        <f t="shared" si="6"/>
        <v>3.75</v>
      </c>
      <c r="G102">
        <f t="shared" si="7"/>
        <v>2.625</v>
      </c>
      <c r="H102">
        <f>ROUND(Latency_Based_Targeting18[[#This Row],[Average time to convert in Days]]-Latency_Based_Targeting18[[#This Row],[Improved Time to convert]],2)</f>
        <v>1.1299999999999999</v>
      </c>
      <c r="I102" s="47">
        <f>Latency_Based_Targeting18[[#This Row],[Time Saved]]/Latency_Based_Targeting18[[#This Row],[Average time to convert in Days]]</f>
        <v>0.30133333333333329</v>
      </c>
    </row>
    <row r="103" spans="1:9">
      <c r="A103">
        <v>779595</v>
      </c>
      <c r="B103">
        <v>2601131</v>
      </c>
      <c r="C103">
        <v>8688.2166670000006</v>
      </c>
      <c r="D103" t="str">
        <f t="shared" si="5"/>
        <v>Very High</v>
      </c>
      <c r="E103">
        <f t="shared" si="4"/>
        <v>300</v>
      </c>
      <c r="F103">
        <f t="shared" si="6"/>
        <v>6.03</v>
      </c>
      <c r="G103">
        <f t="shared" si="7"/>
        <v>3.9195000000000002</v>
      </c>
      <c r="H103">
        <f>ROUND(Latency_Based_Targeting18[[#This Row],[Average time to convert in Days]]-Latency_Based_Targeting18[[#This Row],[Improved Time to convert]],2)</f>
        <v>2.11</v>
      </c>
      <c r="I103" s="47">
        <f>Latency_Based_Targeting18[[#This Row],[Time Saved]]/Latency_Based_Targeting18[[#This Row],[Average time to convert in Days]]</f>
        <v>0.3499170812603648</v>
      </c>
    </row>
    <row r="104" spans="1:9">
      <c r="A104">
        <v>262291</v>
      </c>
      <c r="B104">
        <v>2900928</v>
      </c>
      <c r="C104">
        <v>5240.8500000000004</v>
      </c>
      <c r="D104" t="str">
        <f t="shared" si="5"/>
        <v>High</v>
      </c>
      <c r="E104">
        <f t="shared" si="4"/>
        <v>200</v>
      </c>
      <c r="F104">
        <f t="shared" si="6"/>
        <v>3.64</v>
      </c>
      <c r="G104">
        <f t="shared" si="7"/>
        <v>2.548</v>
      </c>
      <c r="H104">
        <f>ROUND(Latency_Based_Targeting18[[#This Row],[Average time to convert in Days]]-Latency_Based_Targeting18[[#This Row],[Improved Time to convert]],2)</f>
        <v>1.0900000000000001</v>
      </c>
      <c r="I104" s="47">
        <f>Latency_Based_Targeting18[[#This Row],[Time Saved]]/Latency_Based_Targeting18[[#This Row],[Average time to convert in Days]]</f>
        <v>0.29945054945054944</v>
      </c>
    </row>
    <row r="105" spans="1:9">
      <c r="A105">
        <v>859210</v>
      </c>
      <c r="B105">
        <v>2964774</v>
      </c>
      <c r="C105">
        <v>3854.7666669999999</v>
      </c>
      <c r="D105" t="str">
        <f t="shared" si="5"/>
        <v>Medium</v>
      </c>
      <c r="E105">
        <f t="shared" si="4"/>
        <v>100</v>
      </c>
      <c r="F105">
        <f t="shared" si="6"/>
        <v>2.68</v>
      </c>
      <c r="G105">
        <f t="shared" si="7"/>
        <v>2.68</v>
      </c>
      <c r="H105">
        <f>ROUND(Latency_Based_Targeting18[[#This Row],[Average time to convert in Days]]-Latency_Based_Targeting18[[#This Row],[Improved Time to convert]],2)</f>
        <v>0</v>
      </c>
      <c r="I105" s="47">
        <f>Latency_Based_Targeting18[[#This Row],[Time Saved]]/Latency_Based_Targeting18[[#This Row],[Average time to convert in Days]]</f>
        <v>0</v>
      </c>
    </row>
    <row r="106" spans="1:9">
      <c r="A106">
        <v>639484</v>
      </c>
      <c r="B106">
        <v>3106693</v>
      </c>
      <c r="C106">
        <v>4231.6666670000004</v>
      </c>
      <c r="D106" t="str">
        <f t="shared" si="5"/>
        <v>Medium</v>
      </c>
      <c r="E106">
        <f t="shared" si="4"/>
        <v>100</v>
      </c>
      <c r="F106">
        <f t="shared" si="6"/>
        <v>2.94</v>
      </c>
      <c r="G106">
        <f t="shared" si="7"/>
        <v>2.94</v>
      </c>
      <c r="H106">
        <f>ROUND(Latency_Based_Targeting18[[#This Row],[Average time to convert in Days]]-Latency_Based_Targeting18[[#This Row],[Improved Time to convert]],2)</f>
        <v>0</v>
      </c>
      <c r="I106" s="47">
        <f>Latency_Based_Targeting18[[#This Row],[Time Saved]]/Latency_Based_Targeting18[[#This Row],[Average time to convert in Days]]</f>
        <v>0</v>
      </c>
    </row>
    <row r="107" spans="1:9">
      <c r="A107">
        <v>445450</v>
      </c>
      <c r="B107">
        <v>3135672</v>
      </c>
      <c r="C107">
        <v>3660.0166669999999</v>
      </c>
      <c r="D107" t="str">
        <f t="shared" si="5"/>
        <v>Medium</v>
      </c>
      <c r="E107">
        <f t="shared" si="4"/>
        <v>100</v>
      </c>
      <c r="F107">
        <f t="shared" si="6"/>
        <v>2.54</v>
      </c>
      <c r="G107">
        <f t="shared" si="7"/>
        <v>2.54</v>
      </c>
      <c r="H107">
        <f>ROUND(Latency_Based_Targeting18[[#This Row],[Average time to convert in Days]]-Latency_Based_Targeting18[[#This Row],[Improved Time to convert]],2)</f>
        <v>0</v>
      </c>
      <c r="I107" s="47">
        <f>Latency_Based_Targeting18[[#This Row],[Time Saved]]/Latency_Based_Targeting18[[#This Row],[Average time to convert in Days]]</f>
        <v>0</v>
      </c>
    </row>
    <row r="108" spans="1:9">
      <c r="A108">
        <v>982214</v>
      </c>
      <c r="B108">
        <v>3162715</v>
      </c>
      <c r="C108">
        <v>5709.4333329999999</v>
      </c>
      <c r="D108" t="str">
        <f t="shared" si="5"/>
        <v>High</v>
      </c>
      <c r="E108">
        <f t="shared" si="4"/>
        <v>200</v>
      </c>
      <c r="F108">
        <f t="shared" si="6"/>
        <v>3.96</v>
      </c>
      <c r="G108">
        <f t="shared" si="7"/>
        <v>2.7719999999999998</v>
      </c>
      <c r="H108">
        <f>ROUND(Latency_Based_Targeting18[[#This Row],[Average time to convert in Days]]-Latency_Based_Targeting18[[#This Row],[Improved Time to convert]],2)</f>
        <v>1.19</v>
      </c>
      <c r="I108" s="47">
        <f>Latency_Based_Targeting18[[#This Row],[Time Saved]]/Latency_Based_Targeting18[[#This Row],[Average time to convert in Days]]</f>
        <v>0.3005050505050505</v>
      </c>
    </row>
    <row r="109" spans="1:9">
      <c r="A109">
        <v>552416</v>
      </c>
      <c r="B109">
        <v>3183664</v>
      </c>
      <c r="C109">
        <v>4495.9333329999999</v>
      </c>
      <c r="D109" t="str">
        <f t="shared" si="5"/>
        <v>Medium</v>
      </c>
      <c r="E109">
        <f t="shared" si="4"/>
        <v>100</v>
      </c>
      <c r="F109">
        <f t="shared" si="6"/>
        <v>3.12</v>
      </c>
      <c r="G109">
        <f t="shared" si="7"/>
        <v>3.12</v>
      </c>
      <c r="H109">
        <f>ROUND(Latency_Based_Targeting18[[#This Row],[Average time to convert in Days]]-Latency_Based_Targeting18[[#This Row],[Improved Time to convert]],2)</f>
        <v>0</v>
      </c>
      <c r="I109" s="47">
        <f>Latency_Based_Targeting18[[#This Row],[Time Saved]]/Latency_Based_Targeting18[[#This Row],[Average time to convert in Days]]</f>
        <v>0</v>
      </c>
    </row>
    <row r="110" spans="1:9">
      <c r="A110">
        <v>74451</v>
      </c>
      <c r="B110">
        <v>3199921</v>
      </c>
      <c r="C110">
        <v>4232.7333330000001</v>
      </c>
      <c r="D110" t="str">
        <f t="shared" si="5"/>
        <v>Medium</v>
      </c>
      <c r="E110">
        <f t="shared" si="4"/>
        <v>100</v>
      </c>
      <c r="F110">
        <f t="shared" si="6"/>
        <v>2.94</v>
      </c>
      <c r="G110">
        <f t="shared" si="7"/>
        <v>2.94</v>
      </c>
      <c r="H110">
        <f>ROUND(Latency_Based_Targeting18[[#This Row],[Average time to convert in Days]]-Latency_Based_Targeting18[[#This Row],[Improved Time to convert]],2)</f>
        <v>0</v>
      </c>
      <c r="I110" s="47">
        <f>Latency_Based_Targeting18[[#This Row],[Time Saved]]/Latency_Based_Targeting18[[#This Row],[Average time to convert in Days]]</f>
        <v>0</v>
      </c>
    </row>
    <row r="111" spans="1:9">
      <c r="A111">
        <v>674268</v>
      </c>
      <c r="B111">
        <v>3212227</v>
      </c>
      <c r="C111">
        <v>8598.9666670000006</v>
      </c>
      <c r="D111" t="str">
        <f t="shared" si="5"/>
        <v>Very High</v>
      </c>
      <c r="E111">
        <f t="shared" si="4"/>
        <v>300</v>
      </c>
      <c r="F111">
        <f t="shared" si="6"/>
        <v>5.97</v>
      </c>
      <c r="G111">
        <f t="shared" si="7"/>
        <v>3.8805000000000001</v>
      </c>
      <c r="H111">
        <f>ROUND(Latency_Based_Targeting18[[#This Row],[Average time to convert in Days]]-Latency_Based_Targeting18[[#This Row],[Improved Time to convert]],2)</f>
        <v>2.09</v>
      </c>
      <c r="I111" s="47">
        <f>Latency_Based_Targeting18[[#This Row],[Time Saved]]/Latency_Based_Targeting18[[#This Row],[Average time to convert in Days]]</f>
        <v>0.35008375209380233</v>
      </c>
    </row>
    <row r="112" spans="1:9">
      <c r="A112">
        <v>855572</v>
      </c>
      <c r="B112">
        <v>3636143</v>
      </c>
      <c r="C112">
        <v>4575.8500000000004</v>
      </c>
      <c r="D112" t="str">
        <f t="shared" si="5"/>
        <v>Medium</v>
      </c>
      <c r="E112">
        <f t="shared" si="4"/>
        <v>100</v>
      </c>
      <c r="F112">
        <f t="shared" si="6"/>
        <v>3.18</v>
      </c>
      <c r="G112">
        <f t="shared" si="7"/>
        <v>3.18</v>
      </c>
      <c r="H112">
        <f>ROUND(Latency_Based_Targeting18[[#This Row],[Average time to convert in Days]]-Latency_Based_Targeting18[[#This Row],[Improved Time to convert]],2)</f>
        <v>0</v>
      </c>
      <c r="I112" s="47">
        <f>Latency_Based_Targeting18[[#This Row],[Time Saved]]/Latency_Based_Targeting18[[#This Row],[Average time to convert in Days]]</f>
        <v>0</v>
      </c>
    </row>
    <row r="113" spans="1:9">
      <c r="A113">
        <v>463651</v>
      </c>
      <c r="B113">
        <v>3807774</v>
      </c>
      <c r="C113">
        <v>8134.7166669999997</v>
      </c>
      <c r="D113" t="str">
        <f t="shared" si="5"/>
        <v>Very High</v>
      </c>
      <c r="E113">
        <f t="shared" si="4"/>
        <v>300</v>
      </c>
      <c r="F113">
        <f t="shared" si="6"/>
        <v>5.65</v>
      </c>
      <c r="G113">
        <f t="shared" si="7"/>
        <v>3.6725000000000003</v>
      </c>
      <c r="H113">
        <f>ROUND(Latency_Based_Targeting18[[#This Row],[Average time to convert in Days]]-Latency_Based_Targeting18[[#This Row],[Improved Time to convert]],2)</f>
        <v>1.98</v>
      </c>
      <c r="I113" s="47">
        <f>Latency_Based_Targeting18[[#This Row],[Time Saved]]/Latency_Based_Targeting18[[#This Row],[Average time to convert in Days]]</f>
        <v>0.35044247787610616</v>
      </c>
    </row>
    <row r="114" spans="1:9">
      <c r="A114">
        <v>416892</v>
      </c>
      <c r="B114">
        <v>3986887</v>
      </c>
      <c r="C114">
        <v>6223.7833330000003</v>
      </c>
      <c r="D114" t="str">
        <f t="shared" si="5"/>
        <v>High</v>
      </c>
      <c r="E114">
        <f t="shared" si="4"/>
        <v>200</v>
      </c>
      <c r="F114">
        <f t="shared" si="6"/>
        <v>4.32</v>
      </c>
      <c r="G114">
        <f t="shared" si="7"/>
        <v>3.024</v>
      </c>
      <c r="H114">
        <f>ROUND(Latency_Based_Targeting18[[#This Row],[Average time to convert in Days]]-Latency_Based_Targeting18[[#This Row],[Improved Time to convert]],2)</f>
        <v>1.3</v>
      </c>
      <c r="I114" s="47">
        <f>Latency_Based_Targeting18[[#This Row],[Time Saved]]/Latency_Based_Targeting18[[#This Row],[Average time to convert in Days]]</f>
        <v>0.30092592592592593</v>
      </c>
    </row>
    <row r="115" spans="1:9">
      <c r="A115">
        <v>246458</v>
      </c>
      <c r="B115">
        <v>4229099</v>
      </c>
      <c r="C115">
        <v>6875.7833330000003</v>
      </c>
      <c r="D115" t="str">
        <f t="shared" si="5"/>
        <v>High</v>
      </c>
      <c r="E115">
        <f t="shared" si="4"/>
        <v>200</v>
      </c>
      <c r="F115">
        <f t="shared" si="6"/>
        <v>4.7699999999999996</v>
      </c>
      <c r="G115">
        <f t="shared" si="7"/>
        <v>3.3389999999999995</v>
      </c>
      <c r="H115">
        <f>ROUND(Latency_Based_Targeting18[[#This Row],[Average time to convert in Days]]-Latency_Based_Targeting18[[#This Row],[Improved Time to convert]],2)</f>
        <v>1.43</v>
      </c>
      <c r="I115" s="47">
        <f>Latency_Based_Targeting18[[#This Row],[Time Saved]]/Latency_Based_Targeting18[[#This Row],[Average time to convert in Days]]</f>
        <v>0.29979035639412999</v>
      </c>
    </row>
    <row r="116" spans="1:9">
      <c r="A116">
        <v>633908</v>
      </c>
      <c r="B116">
        <v>4284073</v>
      </c>
      <c r="C116">
        <v>4310.0833329999996</v>
      </c>
      <c r="D116" t="str">
        <f t="shared" si="5"/>
        <v>Medium</v>
      </c>
      <c r="E116">
        <f t="shared" si="4"/>
        <v>100</v>
      </c>
      <c r="F116">
        <f t="shared" si="6"/>
        <v>2.99</v>
      </c>
      <c r="G116">
        <f t="shared" si="7"/>
        <v>2.99</v>
      </c>
      <c r="H116">
        <f>ROUND(Latency_Based_Targeting18[[#This Row],[Average time to convert in Days]]-Latency_Based_Targeting18[[#This Row],[Improved Time to convert]],2)</f>
        <v>0</v>
      </c>
      <c r="I116" s="47">
        <f>Latency_Based_Targeting18[[#This Row],[Time Saved]]/Latency_Based_Targeting18[[#This Row],[Average time to convert in Days]]</f>
        <v>0</v>
      </c>
    </row>
    <row r="117" spans="1:9">
      <c r="A117">
        <v>224725</v>
      </c>
      <c r="B117">
        <v>4404671</v>
      </c>
      <c r="C117">
        <v>5269.3666670000002</v>
      </c>
      <c r="D117" t="str">
        <f t="shared" si="5"/>
        <v>High</v>
      </c>
      <c r="E117">
        <f t="shared" si="4"/>
        <v>200</v>
      </c>
      <c r="F117">
        <f t="shared" si="6"/>
        <v>3.66</v>
      </c>
      <c r="G117">
        <f t="shared" si="7"/>
        <v>2.5619999999999998</v>
      </c>
      <c r="H117">
        <f>ROUND(Latency_Based_Targeting18[[#This Row],[Average time to convert in Days]]-Latency_Based_Targeting18[[#This Row],[Improved Time to convert]],2)</f>
        <v>1.1000000000000001</v>
      </c>
      <c r="I117" s="47">
        <f>Latency_Based_Targeting18[[#This Row],[Time Saved]]/Latency_Based_Targeting18[[#This Row],[Average time to convert in Days]]</f>
        <v>0.30054644808743169</v>
      </c>
    </row>
    <row r="118" spans="1:9">
      <c r="A118">
        <v>40729</v>
      </c>
      <c r="B118">
        <v>4501890</v>
      </c>
      <c r="C118">
        <v>4778.4666669999997</v>
      </c>
      <c r="D118" t="str">
        <f t="shared" si="5"/>
        <v>Medium</v>
      </c>
      <c r="E118">
        <f t="shared" si="4"/>
        <v>100</v>
      </c>
      <c r="F118">
        <f t="shared" si="6"/>
        <v>3.32</v>
      </c>
      <c r="G118">
        <f t="shared" si="7"/>
        <v>3.32</v>
      </c>
      <c r="H118">
        <f>ROUND(Latency_Based_Targeting18[[#This Row],[Average time to convert in Days]]-Latency_Based_Targeting18[[#This Row],[Improved Time to convert]],2)</f>
        <v>0</v>
      </c>
      <c r="I118" s="47">
        <f>Latency_Based_Targeting18[[#This Row],[Time Saved]]/Latency_Based_Targeting18[[#This Row],[Average time to convert in Days]]</f>
        <v>0</v>
      </c>
    </row>
    <row r="119" spans="1:9">
      <c r="A119">
        <v>539321</v>
      </c>
      <c r="B119">
        <v>4599506</v>
      </c>
      <c r="C119">
        <v>5970.95</v>
      </c>
      <c r="D119" t="str">
        <f t="shared" si="5"/>
        <v>High</v>
      </c>
      <c r="E119">
        <f t="shared" si="4"/>
        <v>200</v>
      </c>
      <c r="F119">
        <f t="shared" si="6"/>
        <v>4.1500000000000004</v>
      </c>
      <c r="G119">
        <f t="shared" si="7"/>
        <v>2.9050000000000002</v>
      </c>
      <c r="H119">
        <f>ROUND(Latency_Based_Targeting18[[#This Row],[Average time to convert in Days]]-Latency_Based_Targeting18[[#This Row],[Improved Time to convert]],2)</f>
        <v>1.25</v>
      </c>
      <c r="I119" s="47">
        <f>Latency_Based_Targeting18[[#This Row],[Time Saved]]/Latency_Based_Targeting18[[#This Row],[Average time to convert in Days]]</f>
        <v>0.3012048192771084</v>
      </c>
    </row>
    <row r="120" spans="1:9">
      <c r="A120">
        <v>351306</v>
      </c>
      <c r="B120">
        <v>4732163</v>
      </c>
      <c r="C120">
        <v>4191.7666669999999</v>
      </c>
      <c r="D120" t="str">
        <f t="shared" si="5"/>
        <v>Medium</v>
      </c>
      <c r="E120">
        <f t="shared" si="4"/>
        <v>100</v>
      </c>
      <c r="F120">
        <f t="shared" si="6"/>
        <v>2.91</v>
      </c>
      <c r="G120">
        <f t="shared" si="7"/>
        <v>2.91</v>
      </c>
      <c r="H120">
        <f>ROUND(Latency_Based_Targeting18[[#This Row],[Average time to convert in Days]]-Latency_Based_Targeting18[[#This Row],[Improved Time to convert]],2)</f>
        <v>0</v>
      </c>
      <c r="I120" s="47">
        <f>Latency_Based_Targeting18[[#This Row],[Time Saved]]/Latency_Based_Targeting18[[#This Row],[Average time to convert in Days]]</f>
        <v>0</v>
      </c>
    </row>
    <row r="121" spans="1:9">
      <c r="A121">
        <v>293751</v>
      </c>
      <c r="B121">
        <v>4749751</v>
      </c>
      <c r="C121">
        <v>8358.5</v>
      </c>
      <c r="D121" t="str">
        <f t="shared" si="5"/>
        <v>Very High</v>
      </c>
      <c r="E121">
        <f t="shared" si="4"/>
        <v>300</v>
      </c>
      <c r="F121">
        <f t="shared" si="6"/>
        <v>5.8</v>
      </c>
      <c r="G121">
        <f t="shared" si="7"/>
        <v>3.77</v>
      </c>
      <c r="H121">
        <f>ROUND(Latency_Based_Targeting18[[#This Row],[Average time to convert in Days]]-Latency_Based_Targeting18[[#This Row],[Improved Time to convert]],2)</f>
        <v>2.0299999999999998</v>
      </c>
      <c r="I121" s="47">
        <f>Latency_Based_Targeting18[[#This Row],[Time Saved]]/Latency_Based_Targeting18[[#This Row],[Average time to convert in Days]]</f>
        <v>0.35</v>
      </c>
    </row>
    <row r="122" spans="1:9">
      <c r="A122">
        <v>446413</v>
      </c>
      <c r="B122">
        <v>5041055</v>
      </c>
      <c r="C122">
        <v>5123.55</v>
      </c>
      <c r="D122" t="str">
        <f t="shared" si="5"/>
        <v>High</v>
      </c>
      <c r="E122">
        <f t="shared" si="4"/>
        <v>200</v>
      </c>
      <c r="F122">
        <f t="shared" si="6"/>
        <v>3.56</v>
      </c>
      <c r="G122">
        <f t="shared" si="7"/>
        <v>2.492</v>
      </c>
      <c r="H122">
        <f>ROUND(Latency_Based_Targeting18[[#This Row],[Average time to convert in Days]]-Latency_Based_Targeting18[[#This Row],[Improved Time to convert]],2)</f>
        <v>1.07</v>
      </c>
      <c r="I122" s="47">
        <f>Latency_Based_Targeting18[[#This Row],[Time Saved]]/Latency_Based_Targeting18[[#This Row],[Average time to convert in Days]]</f>
        <v>0.300561797752809</v>
      </c>
    </row>
    <row r="123" spans="1:9">
      <c r="A123">
        <v>461585</v>
      </c>
      <c r="B123">
        <v>46036</v>
      </c>
      <c r="C123">
        <v>10487.81667</v>
      </c>
      <c r="D123" t="str">
        <f t="shared" si="5"/>
        <v>Very High</v>
      </c>
      <c r="E123">
        <f t="shared" si="4"/>
        <v>300</v>
      </c>
      <c r="F123">
        <f t="shared" si="6"/>
        <v>7.28</v>
      </c>
      <c r="G123">
        <f t="shared" si="7"/>
        <v>4.7320000000000002</v>
      </c>
      <c r="H123">
        <f>ROUND(Latency_Based_Targeting18[[#This Row],[Average time to convert in Days]]-Latency_Based_Targeting18[[#This Row],[Improved Time to convert]],2)</f>
        <v>2.5499999999999998</v>
      </c>
      <c r="I123" s="47">
        <f>Latency_Based_Targeting18[[#This Row],[Time Saved]]/Latency_Based_Targeting18[[#This Row],[Average time to convert in Days]]</f>
        <v>0.35027472527472525</v>
      </c>
    </row>
    <row r="124" spans="1:9">
      <c r="A124">
        <v>678341</v>
      </c>
      <c r="B124">
        <v>52115</v>
      </c>
      <c r="C124">
        <v>4553.0999998335001</v>
      </c>
      <c r="D124" t="str">
        <f t="shared" si="5"/>
        <v>Medium</v>
      </c>
      <c r="E124">
        <f t="shared" si="4"/>
        <v>100</v>
      </c>
      <c r="F124">
        <f t="shared" si="6"/>
        <v>3.16</v>
      </c>
      <c r="G124">
        <f t="shared" si="7"/>
        <v>3.16</v>
      </c>
      <c r="H124">
        <f>ROUND(Latency_Based_Targeting18[[#This Row],[Average time to convert in Days]]-Latency_Based_Targeting18[[#This Row],[Improved Time to convert]],2)</f>
        <v>0</v>
      </c>
      <c r="I124" s="47">
        <f>Latency_Based_Targeting18[[#This Row],[Time Saved]]/Latency_Based_Targeting18[[#This Row],[Average time to convert in Days]]</f>
        <v>0</v>
      </c>
    </row>
    <row r="125" spans="1:9">
      <c r="A125">
        <v>671933</v>
      </c>
      <c r="B125">
        <v>134901</v>
      </c>
      <c r="C125">
        <v>6388.7333330000001</v>
      </c>
      <c r="D125" t="str">
        <f t="shared" si="5"/>
        <v>High</v>
      </c>
      <c r="E125">
        <f t="shared" si="4"/>
        <v>200</v>
      </c>
      <c r="F125">
        <f t="shared" si="6"/>
        <v>4.4400000000000004</v>
      </c>
      <c r="G125">
        <f t="shared" si="7"/>
        <v>3.1080000000000001</v>
      </c>
      <c r="H125">
        <f>ROUND(Latency_Based_Targeting18[[#This Row],[Average time to convert in Days]]-Latency_Based_Targeting18[[#This Row],[Improved Time to convert]],2)</f>
        <v>1.33</v>
      </c>
      <c r="I125" s="47">
        <f>Latency_Based_Targeting18[[#This Row],[Time Saved]]/Latency_Based_Targeting18[[#This Row],[Average time to convert in Days]]</f>
        <v>0.29954954954954954</v>
      </c>
    </row>
    <row r="126" spans="1:9">
      <c r="A126">
        <v>237989</v>
      </c>
      <c r="B126">
        <v>276335</v>
      </c>
      <c r="C126">
        <v>4948.0333330000003</v>
      </c>
      <c r="D126" t="str">
        <f t="shared" si="5"/>
        <v>Medium</v>
      </c>
      <c r="E126">
        <f t="shared" si="4"/>
        <v>100</v>
      </c>
      <c r="F126">
        <f t="shared" si="6"/>
        <v>3.44</v>
      </c>
      <c r="G126">
        <f t="shared" si="7"/>
        <v>3.44</v>
      </c>
      <c r="H126">
        <f>ROUND(Latency_Based_Targeting18[[#This Row],[Average time to convert in Days]]-Latency_Based_Targeting18[[#This Row],[Improved Time to convert]],2)</f>
        <v>0</v>
      </c>
      <c r="I126" s="47">
        <f>Latency_Based_Targeting18[[#This Row],[Time Saved]]/Latency_Based_Targeting18[[#This Row],[Average time to convert in Days]]</f>
        <v>0</v>
      </c>
    </row>
    <row r="127" spans="1:9">
      <c r="A127">
        <v>490102</v>
      </c>
      <c r="B127">
        <v>301616</v>
      </c>
      <c r="C127">
        <v>7877.1833329999999</v>
      </c>
      <c r="D127" t="str">
        <f t="shared" si="5"/>
        <v>High</v>
      </c>
      <c r="E127">
        <f t="shared" si="4"/>
        <v>200</v>
      </c>
      <c r="F127">
        <f t="shared" si="6"/>
        <v>5.47</v>
      </c>
      <c r="G127">
        <f t="shared" si="7"/>
        <v>3.8289999999999997</v>
      </c>
      <c r="H127">
        <f>ROUND(Latency_Based_Targeting18[[#This Row],[Average time to convert in Days]]-Latency_Based_Targeting18[[#This Row],[Improved Time to convert]],2)</f>
        <v>1.64</v>
      </c>
      <c r="I127" s="47">
        <f>Latency_Based_Targeting18[[#This Row],[Time Saved]]/Latency_Based_Targeting18[[#This Row],[Average time to convert in Days]]</f>
        <v>0.29981718464351004</v>
      </c>
    </row>
    <row r="128" spans="1:9">
      <c r="A128">
        <v>57620</v>
      </c>
      <c r="B128">
        <v>547789</v>
      </c>
      <c r="C128">
        <v>8215.25</v>
      </c>
      <c r="D128" t="str">
        <f t="shared" si="5"/>
        <v>Very High</v>
      </c>
      <c r="E128">
        <f t="shared" si="4"/>
        <v>300</v>
      </c>
      <c r="F128">
        <f t="shared" si="6"/>
        <v>5.71</v>
      </c>
      <c r="G128">
        <f t="shared" si="7"/>
        <v>3.7115</v>
      </c>
      <c r="H128">
        <f>ROUND(Latency_Based_Targeting18[[#This Row],[Average time to convert in Days]]-Latency_Based_Targeting18[[#This Row],[Improved Time to convert]],2)</f>
        <v>2</v>
      </c>
      <c r="I128" s="47">
        <f>Latency_Based_Targeting18[[#This Row],[Time Saved]]/Latency_Based_Targeting18[[#This Row],[Average time to convert in Days]]</f>
        <v>0.35026269702276708</v>
      </c>
    </row>
    <row r="129" spans="1:9">
      <c r="A129">
        <v>691254</v>
      </c>
      <c r="B129">
        <v>791378</v>
      </c>
      <c r="C129">
        <v>10434.366669999999</v>
      </c>
      <c r="D129" t="str">
        <f t="shared" si="5"/>
        <v>Very High</v>
      </c>
      <c r="E129">
        <f t="shared" si="4"/>
        <v>300</v>
      </c>
      <c r="F129">
        <f t="shared" si="6"/>
        <v>7.25</v>
      </c>
      <c r="G129">
        <f t="shared" si="7"/>
        <v>4.7125000000000004</v>
      </c>
      <c r="H129">
        <f>ROUND(Latency_Based_Targeting18[[#This Row],[Average time to convert in Days]]-Latency_Based_Targeting18[[#This Row],[Improved Time to convert]],2)</f>
        <v>2.54</v>
      </c>
      <c r="I129" s="47">
        <f>Latency_Based_Targeting18[[#This Row],[Time Saved]]/Latency_Based_Targeting18[[#This Row],[Average time to convert in Days]]</f>
        <v>0.35034482758620689</v>
      </c>
    </row>
    <row r="130" spans="1:9">
      <c r="A130">
        <v>723029</v>
      </c>
      <c r="B130">
        <v>1040073</v>
      </c>
      <c r="C130">
        <v>4459.7833330000003</v>
      </c>
      <c r="D130" t="str">
        <f t="shared" si="5"/>
        <v>Medium</v>
      </c>
      <c r="E130">
        <f t="shared" ref="E130:E193" si="8">IF(D130="Very High", 300, IF(D130="High", 200, IF(D130="Medium", 100, 50)))</f>
        <v>100</v>
      </c>
      <c r="F130">
        <f t="shared" si="6"/>
        <v>3.1</v>
      </c>
      <c r="G130">
        <f t="shared" si="7"/>
        <v>3.1</v>
      </c>
      <c r="H130">
        <f>ROUND(Latency_Based_Targeting18[[#This Row],[Average time to convert in Days]]-Latency_Based_Targeting18[[#This Row],[Improved Time to convert]],2)</f>
        <v>0</v>
      </c>
      <c r="I130" s="47">
        <f>Latency_Based_Targeting18[[#This Row],[Time Saved]]/Latency_Based_Targeting18[[#This Row],[Average time to convert in Days]]</f>
        <v>0</v>
      </c>
    </row>
    <row r="131" spans="1:9">
      <c r="A131">
        <v>597544</v>
      </c>
      <c r="B131">
        <v>1114616</v>
      </c>
      <c r="C131">
        <v>4806.3833334999999</v>
      </c>
      <c r="D131" t="str">
        <f t="shared" ref="D131:D194" si="9">IF(F131&lt;=2.5, "Low",
 IF(F131&lt;=3.5, "Medium",
 IF(F131&lt;=5.5, "High", "Very High")))</f>
        <v>Medium</v>
      </c>
      <c r="E131">
        <f t="shared" si="8"/>
        <v>100</v>
      </c>
      <c r="F131">
        <f t="shared" ref="F131:F194" si="10">ROUND(C131/1440,2)</f>
        <v>3.34</v>
      </c>
      <c r="G131">
        <f t="shared" ref="G131:G194" si="11">IF(D131="High", F131*0.7,
 IF(D131="Very High", F131*0.65,
 F131))</f>
        <v>3.34</v>
      </c>
      <c r="H131">
        <f>ROUND(Latency_Based_Targeting18[[#This Row],[Average time to convert in Days]]-Latency_Based_Targeting18[[#This Row],[Improved Time to convert]],2)</f>
        <v>0</v>
      </c>
      <c r="I131" s="47">
        <f>Latency_Based_Targeting18[[#This Row],[Time Saved]]/Latency_Based_Targeting18[[#This Row],[Average time to convert in Days]]</f>
        <v>0</v>
      </c>
    </row>
    <row r="132" spans="1:9">
      <c r="A132">
        <v>975170</v>
      </c>
      <c r="B132">
        <v>1140618</v>
      </c>
      <c r="C132">
        <v>4552.9666669999997</v>
      </c>
      <c r="D132" t="str">
        <f t="shared" si="9"/>
        <v>Medium</v>
      </c>
      <c r="E132">
        <f t="shared" si="8"/>
        <v>100</v>
      </c>
      <c r="F132">
        <f t="shared" si="10"/>
        <v>3.16</v>
      </c>
      <c r="G132">
        <f t="shared" si="11"/>
        <v>3.16</v>
      </c>
      <c r="H132">
        <f>ROUND(Latency_Based_Targeting18[[#This Row],[Average time to convert in Days]]-Latency_Based_Targeting18[[#This Row],[Improved Time to convert]],2)</f>
        <v>0</v>
      </c>
      <c r="I132" s="47">
        <f>Latency_Based_Targeting18[[#This Row],[Time Saved]]/Latency_Based_Targeting18[[#This Row],[Average time to convert in Days]]</f>
        <v>0</v>
      </c>
    </row>
    <row r="133" spans="1:9">
      <c r="A133">
        <v>763914</v>
      </c>
      <c r="B133">
        <v>1383842</v>
      </c>
      <c r="C133">
        <v>4236.75</v>
      </c>
      <c r="D133" t="str">
        <f t="shared" si="9"/>
        <v>Medium</v>
      </c>
      <c r="E133">
        <f t="shared" si="8"/>
        <v>100</v>
      </c>
      <c r="F133">
        <f t="shared" si="10"/>
        <v>2.94</v>
      </c>
      <c r="G133">
        <f t="shared" si="11"/>
        <v>2.94</v>
      </c>
      <c r="H133">
        <f>ROUND(Latency_Based_Targeting18[[#This Row],[Average time to convert in Days]]-Latency_Based_Targeting18[[#This Row],[Improved Time to convert]],2)</f>
        <v>0</v>
      </c>
      <c r="I133" s="47">
        <f>Latency_Based_Targeting18[[#This Row],[Time Saved]]/Latency_Based_Targeting18[[#This Row],[Average time to convert in Days]]</f>
        <v>0</v>
      </c>
    </row>
    <row r="134" spans="1:9">
      <c r="A134">
        <v>84215</v>
      </c>
      <c r="B134">
        <v>1489984</v>
      </c>
      <c r="C134">
        <v>5788.65</v>
      </c>
      <c r="D134" t="str">
        <f t="shared" si="9"/>
        <v>High</v>
      </c>
      <c r="E134">
        <f t="shared" si="8"/>
        <v>200</v>
      </c>
      <c r="F134">
        <f t="shared" si="10"/>
        <v>4.0199999999999996</v>
      </c>
      <c r="G134">
        <f t="shared" si="11"/>
        <v>2.8139999999999996</v>
      </c>
      <c r="H134">
        <f>ROUND(Latency_Based_Targeting18[[#This Row],[Average time to convert in Days]]-Latency_Based_Targeting18[[#This Row],[Improved Time to convert]],2)</f>
        <v>1.21</v>
      </c>
      <c r="I134" s="47">
        <f>Latency_Based_Targeting18[[#This Row],[Time Saved]]/Latency_Based_Targeting18[[#This Row],[Average time to convert in Days]]</f>
        <v>0.30099502487562191</v>
      </c>
    </row>
    <row r="135" spans="1:9">
      <c r="A135">
        <v>670130</v>
      </c>
      <c r="B135">
        <v>2051155</v>
      </c>
      <c r="C135">
        <v>10674.3</v>
      </c>
      <c r="D135" t="str">
        <f t="shared" si="9"/>
        <v>Very High</v>
      </c>
      <c r="E135">
        <f t="shared" si="8"/>
        <v>300</v>
      </c>
      <c r="F135">
        <f t="shared" si="10"/>
        <v>7.41</v>
      </c>
      <c r="G135">
        <f t="shared" si="11"/>
        <v>4.8165000000000004</v>
      </c>
      <c r="H135">
        <f>ROUND(Latency_Based_Targeting18[[#This Row],[Average time to convert in Days]]-Latency_Based_Targeting18[[#This Row],[Improved Time to convert]],2)</f>
        <v>2.59</v>
      </c>
      <c r="I135" s="47">
        <f>Latency_Based_Targeting18[[#This Row],[Time Saved]]/Latency_Based_Targeting18[[#This Row],[Average time to convert in Days]]</f>
        <v>0.34952766531713897</v>
      </c>
    </row>
    <row r="136" spans="1:9">
      <c r="A136">
        <v>529962</v>
      </c>
      <c r="B136">
        <v>2055733</v>
      </c>
      <c r="C136">
        <v>6225.9</v>
      </c>
      <c r="D136" t="str">
        <f t="shared" si="9"/>
        <v>High</v>
      </c>
      <c r="E136">
        <f t="shared" si="8"/>
        <v>200</v>
      </c>
      <c r="F136">
        <f t="shared" si="10"/>
        <v>4.32</v>
      </c>
      <c r="G136">
        <f t="shared" si="11"/>
        <v>3.024</v>
      </c>
      <c r="H136">
        <f>ROUND(Latency_Based_Targeting18[[#This Row],[Average time to convert in Days]]-Latency_Based_Targeting18[[#This Row],[Improved Time to convert]],2)</f>
        <v>1.3</v>
      </c>
      <c r="I136" s="47">
        <f>Latency_Based_Targeting18[[#This Row],[Time Saved]]/Latency_Based_Targeting18[[#This Row],[Average time to convert in Days]]</f>
        <v>0.30092592592592593</v>
      </c>
    </row>
    <row r="137" spans="1:9">
      <c r="A137">
        <v>707311</v>
      </c>
      <c r="B137">
        <v>2101968</v>
      </c>
      <c r="C137">
        <v>5874.0333330000003</v>
      </c>
      <c r="D137" t="str">
        <f t="shared" si="9"/>
        <v>High</v>
      </c>
      <c r="E137">
        <f t="shared" si="8"/>
        <v>200</v>
      </c>
      <c r="F137">
        <f t="shared" si="10"/>
        <v>4.08</v>
      </c>
      <c r="G137">
        <f t="shared" si="11"/>
        <v>2.8559999999999999</v>
      </c>
      <c r="H137">
        <f>ROUND(Latency_Based_Targeting18[[#This Row],[Average time to convert in Days]]-Latency_Based_Targeting18[[#This Row],[Improved Time to convert]],2)</f>
        <v>1.22</v>
      </c>
      <c r="I137" s="47">
        <f>Latency_Based_Targeting18[[#This Row],[Time Saved]]/Latency_Based_Targeting18[[#This Row],[Average time to convert in Days]]</f>
        <v>0.29901960784313725</v>
      </c>
    </row>
    <row r="138" spans="1:9">
      <c r="A138">
        <v>879731</v>
      </c>
      <c r="B138">
        <v>2386066</v>
      </c>
      <c r="C138">
        <v>3915.3</v>
      </c>
      <c r="D138" t="str">
        <f t="shared" si="9"/>
        <v>Medium</v>
      </c>
      <c r="E138">
        <f t="shared" si="8"/>
        <v>100</v>
      </c>
      <c r="F138">
        <f t="shared" si="10"/>
        <v>2.72</v>
      </c>
      <c r="G138">
        <f t="shared" si="11"/>
        <v>2.72</v>
      </c>
      <c r="H138">
        <f>ROUND(Latency_Based_Targeting18[[#This Row],[Average time to convert in Days]]-Latency_Based_Targeting18[[#This Row],[Improved Time to convert]],2)</f>
        <v>0</v>
      </c>
      <c r="I138" s="47">
        <f>Latency_Based_Targeting18[[#This Row],[Time Saved]]/Latency_Based_Targeting18[[#This Row],[Average time to convert in Days]]</f>
        <v>0</v>
      </c>
    </row>
    <row r="139" spans="1:9">
      <c r="A139">
        <v>364239</v>
      </c>
      <c r="B139">
        <v>2437517</v>
      </c>
      <c r="C139">
        <v>5076.2666669999999</v>
      </c>
      <c r="D139" t="str">
        <f t="shared" si="9"/>
        <v>High</v>
      </c>
      <c r="E139">
        <f t="shared" si="8"/>
        <v>200</v>
      </c>
      <c r="F139">
        <f t="shared" si="10"/>
        <v>3.53</v>
      </c>
      <c r="G139">
        <f t="shared" si="11"/>
        <v>2.4709999999999996</v>
      </c>
      <c r="H139">
        <f>ROUND(Latency_Based_Targeting18[[#This Row],[Average time to convert in Days]]-Latency_Based_Targeting18[[#This Row],[Improved Time to convert]],2)</f>
        <v>1.06</v>
      </c>
      <c r="I139" s="47">
        <f>Latency_Based_Targeting18[[#This Row],[Time Saved]]/Latency_Based_Targeting18[[#This Row],[Average time to convert in Days]]</f>
        <v>0.3002832861189802</v>
      </c>
    </row>
    <row r="140" spans="1:9">
      <c r="A140">
        <v>898949</v>
      </c>
      <c r="B140">
        <v>2468309</v>
      </c>
      <c r="C140">
        <v>11004.083329999999</v>
      </c>
      <c r="D140" t="str">
        <f t="shared" si="9"/>
        <v>Very High</v>
      </c>
      <c r="E140">
        <f t="shared" si="8"/>
        <v>300</v>
      </c>
      <c r="F140">
        <f t="shared" si="10"/>
        <v>7.64</v>
      </c>
      <c r="G140">
        <f t="shared" si="11"/>
        <v>4.9660000000000002</v>
      </c>
      <c r="H140">
        <f>ROUND(Latency_Based_Targeting18[[#This Row],[Average time to convert in Days]]-Latency_Based_Targeting18[[#This Row],[Improved Time to convert]],2)</f>
        <v>2.67</v>
      </c>
      <c r="I140" s="47">
        <f>Latency_Based_Targeting18[[#This Row],[Time Saved]]/Latency_Based_Targeting18[[#This Row],[Average time to convert in Days]]</f>
        <v>0.34947643979057591</v>
      </c>
    </row>
    <row r="141" spans="1:9">
      <c r="A141">
        <v>834071</v>
      </c>
      <c r="B141">
        <v>2523453</v>
      </c>
      <c r="C141">
        <v>5801.8333329999996</v>
      </c>
      <c r="D141" t="str">
        <f t="shared" si="9"/>
        <v>High</v>
      </c>
      <c r="E141">
        <f t="shared" si="8"/>
        <v>200</v>
      </c>
      <c r="F141">
        <f t="shared" si="10"/>
        <v>4.03</v>
      </c>
      <c r="G141">
        <f t="shared" si="11"/>
        <v>2.8210000000000002</v>
      </c>
      <c r="H141">
        <f>ROUND(Latency_Based_Targeting18[[#This Row],[Average time to convert in Days]]-Latency_Based_Targeting18[[#This Row],[Improved Time to convert]],2)</f>
        <v>1.21</v>
      </c>
      <c r="I141" s="47">
        <f>Latency_Based_Targeting18[[#This Row],[Time Saved]]/Latency_Based_Targeting18[[#This Row],[Average time to convert in Days]]</f>
        <v>0.30024813895781632</v>
      </c>
    </row>
    <row r="142" spans="1:9">
      <c r="A142">
        <v>651668</v>
      </c>
      <c r="B142">
        <v>2572863</v>
      </c>
      <c r="C142">
        <v>4517.0166669999999</v>
      </c>
      <c r="D142" t="str">
        <f t="shared" si="9"/>
        <v>Medium</v>
      </c>
      <c r="E142">
        <f t="shared" si="8"/>
        <v>100</v>
      </c>
      <c r="F142">
        <f t="shared" si="10"/>
        <v>3.14</v>
      </c>
      <c r="G142">
        <f t="shared" si="11"/>
        <v>3.14</v>
      </c>
      <c r="H142">
        <f>ROUND(Latency_Based_Targeting18[[#This Row],[Average time to convert in Days]]-Latency_Based_Targeting18[[#This Row],[Improved Time to convert]],2)</f>
        <v>0</v>
      </c>
      <c r="I142" s="47">
        <f>Latency_Based_Targeting18[[#This Row],[Time Saved]]/Latency_Based_Targeting18[[#This Row],[Average time to convert in Days]]</f>
        <v>0</v>
      </c>
    </row>
    <row r="143" spans="1:9">
      <c r="A143">
        <v>420903</v>
      </c>
      <c r="B143">
        <v>2911060</v>
      </c>
      <c r="C143">
        <v>9303</v>
      </c>
      <c r="D143" t="str">
        <f t="shared" si="9"/>
        <v>Very High</v>
      </c>
      <c r="E143">
        <f t="shared" si="8"/>
        <v>300</v>
      </c>
      <c r="F143">
        <f t="shared" si="10"/>
        <v>6.46</v>
      </c>
      <c r="G143">
        <f t="shared" si="11"/>
        <v>4.1989999999999998</v>
      </c>
      <c r="H143">
        <f>ROUND(Latency_Based_Targeting18[[#This Row],[Average time to convert in Days]]-Latency_Based_Targeting18[[#This Row],[Improved Time to convert]],2)</f>
        <v>2.2599999999999998</v>
      </c>
      <c r="I143" s="47">
        <f>Latency_Based_Targeting18[[#This Row],[Time Saved]]/Latency_Based_Targeting18[[#This Row],[Average time to convert in Days]]</f>
        <v>0.34984520123839008</v>
      </c>
    </row>
    <row r="144" spans="1:9">
      <c r="A144">
        <v>379451</v>
      </c>
      <c r="B144">
        <v>3087961</v>
      </c>
      <c r="C144">
        <v>10306.799999999999</v>
      </c>
      <c r="D144" t="str">
        <f t="shared" si="9"/>
        <v>Very High</v>
      </c>
      <c r="E144">
        <f t="shared" si="8"/>
        <v>300</v>
      </c>
      <c r="F144">
        <f t="shared" si="10"/>
        <v>7.16</v>
      </c>
      <c r="G144">
        <f t="shared" si="11"/>
        <v>4.6539999999999999</v>
      </c>
      <c r="H144">
        <f>ROUND(Latency_Based_Targeting18[[#This Row],[Average time to convert in Days]]-Latency_Based_Targeting18[[#This Row],[Improved Time to convert]],2)</f>
        <v>2.5099999999999998</v>
      </c>
      <c r="I144" s="47">
        <f>Latency_Based_Targeting18[[#This Row],[Time Saved]]/Latency_Based_Targeting18[[#This Row],[Average time to convert in Days]]</f>
        <v>0.35055865921787704</v>
      </c>
    </row>
    <row r="145" spans="1:9">
      <c r="A145">
        <v>160354</v>
      </c>
      <c r="B145">
        <v>3293923</v>
      </c>
      <c r="C145">
        <v>8903.6166670000002</v>
      </c>
      <c r="D145" t="str">
        <f t="shared" si="9"/>
        <v>Very High</v>
      </c>
      <c r="E145">
        <f t="shared" si="8"/>
        <v>300</v>
      </c>
      <c r="F145">
        <f t="shared" si="10"/>
        <v>6.18</v>
      </c>
      <c r="G145">
        <f t="shared" si="11"/>
        <v>4.0170000000000003</v>
      </c>
      <c r="H145">
        <f>ROUND(Latency_Based_Targeting18[[#This Row],[Average time to convert in Days]]-Latency_Based_Targeting18[[#This Row],[Improved Time to convert]],2)</f>
        <v>2.16</v>
      </c>
      <c r="I145" s="47">
        <f>Latency_Based_Targeting18[[#This Row],[Time Saved]]/Latency_Based_Targeting18[[#This Row],[Average time to convert in Days]]</f>
        <v>0.34951456310679618</v>
      </c>
    </row>
    <row r="146" spans="1:9">
      <c r="A146">
        <v>532296</v>
      </c>
      <c r="B146">
        <v>3332457</v>
      </c>
      <c r="C146">
        <v>8601.1166670000002</v>
      </c>
      <c r="D146" t="str">
        <f t="shared" si="9"/>
        <v>Very High</v>
      </c>
      <c r="E146">
        <f t="shared" si="8"/>
        <v>300</v>
      </c>
      <c r="F146">
        <f t="shared" si="10"/>
        <v>5.97</v>
      </c>
      <c r="G146">
        <f t="shared" si="11"/>
        <v>3.8805000000000001</v>
      </c>
      <c r="H146">
        <f>ROUND(Latency_Based_Targeting18[[#This Row],[Average time to convert in Days]]-Latency_Based_Targeting18[[#This Row],[Improved Time to convert]],2)</f>
        <v>2.09</v>
      </c>
      <c r="I146" s="47">
        <f>Latency_Based_Targeting18[[#This Row],[Time Saved]]/Latency_Based_Targeting18[[#This Row],[Average time to convert in Days]]</f>
        <v>0.35008375209380233</v>
      </c>
    </row>
    <row r="147" spans="1:9">
      <c r="A147">
        <v>79366</v>
      </c>
      <c r="B147">
        <v>3428766</v>
      </c>
      <c r="C147">
        <v>4277.1499999999996</v>
      </c>
      <c r="D147" t="str">
        <f t="shared" si="9"/>
        <v>Medium</v>
      </c>
      <c r="E147">
        <f t="shared" si="8"/>
        <v>100</v>
      </c>
      <c r="F147">
        <f t="shared" si="10"/>
        <v>2.97</v>
      </c>
      <c r="G147">
        <f t="shared" si="11"/>
        <v>2.97</v>
      </c>
      <c r="H147">
        <f>ROUND(Latency_Based_Targeting18[[#This Row],[Average time to convert in Days]]-Latency_Based_Targeting18[[#This Row],[Improved Time to convert]],2)</f>
        <v>0</v>
      </c>
      <c r="I147" s="47">
        <f>Latency_Based_Targeting18[[#This Row],[Time Saved]]/Latency_Based_Targeting18[[#This Row],[Average time to convert in Days]]</f>
        <v>0</v>
      </c>
    </row>
    <row r="148" spans="1:9">
      <c r="A148">
        <v>278882</v>
      </c>
      <c r="B148">
        <v>3560918</v>
      </c>
      <c r="C148">
        <v>7093.25</v>
      </c>
      <c r="D148" t="str">
        <f t="shared" si="9"/>
        <v>High</v>
      </c>
      <c r="E148">
        <f t="shared" si="8"/>
        <v>200</v>
      </c>
      <c r="F148">
        <f t="shared" si="10"/>
        <v>4.93</v>
      </c>
      <c r="G148">
        <f t="shared" si="11"/>
        <v>3.4509999999999996</v>
      </c>
      <c r="H148">
        <f>ROUND(Latency_Based_Targeting18[[#This Row],[Average time to convert in Days]]-Latency_Based_Targeting18[[#This Row],[Improved Time to convert]],2)</f>
        <v>1.48</v>
      </c>
      <c r="I148" s="47">
        <f>Latency_Based_Targeting18[[#This Row],[Time Saved]]/Latency_Based_Targeting18[[#This Row],[Average time to convert in Days]]</f>
        <v>0.30020283975659229</v>
      </c>
    </row>
    <row r="149" spans="1:9">
      <c r="A149">
        <v>479082</v>
      </c>
      <c r="B149">
        <v>3608407</v>
      </c>
      <c r="C149">
        <v>5396.5333330000003</v>
      </c>
      <c r="D149" t="str">
        <f t="shared" si="9"/>
        <v>High</v>
      </c>
      <c r="E149">
        <f t="shared" si="8"/>
        <v>200</v>
      </c>
      <c r="F149">
        <f t="shared" si="10"/>
        <v>3.75</v>
      </c>
      <c r="G149">
        <f t="shared" si="11"/>
        <v>2.625</v>
      </c>
      <c r="H149">
        <f>ROUND(Latency_Based_Targeting18[[#This Row],[Average time to convert in Days]]-Latency_Based_Targeting18[[#This Row],[Improved Time to convert]],2)</f>
        <v>1.1299999999999999</v>
      </c>
      <c r="I149" s="47">
        <f>Latency_Based_Targeting18[[#This Row],[Time Saved]]/Latency_Based_Targeting18[[#This Row],[Average time to convert in Days]]</f>
        <v>0.30133333333333329</v>
      </c>
    </row>
    <row r="150" spans="1:9">
      <c r="A150">
        <v>472756</v>
      </c>
      <c r="B150">
        <v>3664207</v>
      </c>
      <c r="C150">
        <v>7179.55</v>
      </c>
      <c r="D150" t="str">
        <f t="shared" si="9"/>
        <v>High</v>
      </c>
      <c r="E150">
        <f t="shared" si="8"/>
        <v>200</v>
      </c>
      <c r="F150">
        <f t="shared" si="10"/>
        <v>4.99</v>
      </c>
      <c r="G150">
        <f t="shared" si="11"/>
        <v>3.4929999999999999</v>
      </c>
      <c r="H150">
        <f>ROUND(Latency_Based_Targeting18[[#This Row],[Average time to convert in Days]]-Latency_Based_Targeting18[[#This Row],[Improved Time to convert]],2)</f>
        <v>1.5</v>
      </c>
      <c r="I150" s="47">
        <f>Latency_Based_Targeting18[[#This Row],[Time Saved]]/Latency_Based_Targeting18[[#This Row],[Average time to convert in Days]]</f>
        <v>0.30060120240480959</v>
      </c>
    </row>
    <row r="151" spans="1:9">
      <c r="A151">
        <v>236821</v>
      </c>
      <c r="B151">
        <v>3669021</v>
      </c>
      <c r="C151">
        <v>4732.2833330000003</v>
      </c>
      <c r="D151" t="str">
        <f t="shared" si="9"/>
        <v>Medium</v>
      </c>
      <c r="E151">
        <f t="shared" si="8"/>
        <v>100</v>
      </c>
      <c r="F151">
        <f t="shared" si="10"/>
        <v>3.29</v>
      </c>
      <c r="G151">
        <f t="shared" si="11"/>
        <v>3.29</v>
      </c>
      <c r="H151">
        <f>ROUND(Latency_Based_Targeting18[[#This Row],[Average time to convert in Days]]-Latency_Based_Targeting18[[#This Row],[Improved Time to convert]],2)</f>
        <v>0</v>
      </c>
      <c r="I151" s="47">
        <f>Latency_Based_Targeting18[[#This Row],[Time Saved]]/Latency_Based_Targeting18[[#This Row],[Average time to convert in Days]]</f>
        <v>0</v>
      </c>
    </row>
    <row r="152" spans="1:9">
      <c r="A152">
        <v>613912</v>
      </c>
      <c r="B152">
        <v>3685189</v>
      </c>
      <c r="C152">
        <v>8032.3166670000001</v>
      </c>
      <c r="D152" t="str">
        <f t="shared" si="9"/>
        <v>Very High</v>
      </c>
      <c r="E152">
        <f t="shared" si="8"/>
        <v>300</v>
      </c>
      <c r="F152">
        <f t="shared" si="10"/>
        <v>5.58</v>
      </c>
      <c r="G152">
        <f t="shared" si="11"/>
        <v>3.6270000000000002</v>
      </c>
      <c r="H152">
        <f>ROUND(Latency_Based_Targeting18[[#This Row],[Average time to convert in Days]]-Latency_Based_Targeting18[[#This Row],[Improved Time to convert]],2)</f>
        <v>1.95</v>
      </c>
      <c r="I152" s="47">
        <f>Latency_Based_Targeting18[[#This Row],[Time Saved]]/Latency_Based_Targeting18[[#This Row],[Average time to convert in Days]]</f>
        <v>0.34946236559139782</v>
      </c>
    </row>
    <row r="153" spans="1:9">
      <c r="A153">
        <v>898443</v>
      </c>
      <c r="B153">
        <v>3710116</v>
      </c>
      <c r="C153">
        <v>5392.25</v>
      </c>
      <c r="D153" t="str">
        <f t="shared" si="9"/>
        <v>High</v>
      </c>
      <c r="E153">
        <f t="shared" si="8"/>
        <v>200</v>
      </c>
      <c r="F153">
        <f t="shared" si="10"/>
        <v>3.74</v>
      </c>
      <c r="G153">
        <f t="shared" si="11"/>
        <v>2.6179999999999999</v>
      </c>
      <c r="H153">
        <f>ROUND(Latency_Based_Targeting18[[#This Row],[Average time to convert in Days]]-Latency_Based_Targeting18[[#This Row],[Improved Time to convert]],2)</f>
        <v>1.1200000000000001</v>
      </c>
      <c r="I153" s="47">
        <f>Latency_Based_Targeting18[[#This Row],[Time Saved]]/Latency_Based_Targeting18[[#This Row],[Average time to convert in Days]]</f>
        <v>0.29946524064171126</v>
      </c>
    </row>
    <row r="154" spans="1:9">
      <c r="A154">
        <v>889384</v>
      </c>
      <c r="B154">
        <v>3717378</v>
      </c>
      <c r="C154">
        <v>5085.6666670000004</v>
      </c>
      <c r="D154" t="str">
        <f t="shared" si="9"/>
        <v>High</v>
      </c>
      <c r="E154">
        <f t="shared" si="8"/>
        <v>200</v>
      </c>
      <c r="F154">
        <f t="shared" si="10"/>
        <v>3.53</v>
      </c>
      <c r="G154">
        <f t="shared" si="11"/>
        <v>2.4709999999999996</v>
      </c>
      <c r="H154">
        <f>ROUND(Latency_Based_Targeting18[[#This Row],[Average time to convert in Days]]-Latency_Based_Targeting18[[#This Row],[Improved Time to convert]],2)</f>
        <v>1.06</v>
      </c>
      <c r="I154" s="47">
        <f>Latency_Based_Targeting18[[#This Row],[Time Saved]]/Latency_Based_Targeting18[[#This Row],[Average time to convert in Days]]</f>
        <v>0.3002832861189802</v>
      </c>
    </row>
    <row r="155" spans="1:9">
      <c r="A155">
        <v>656409</v>
      </c>
      <c r="B155">
        <v>3878985</v>
      </c>
      <c r="C155">
        <v>6055.1</v>
      </c>
      <c r="D155" t="str">
        <f t="shared" si="9"/>
        <v>High</v>
      </c>
      <c r="E155">
        <f t="shared" si="8"/>
        <v>200</v>
      </c>
      <c r="F155">
        <f t="shared" si="10"/>
        <v>4.2</v>
      </c>
      <c r="G155">
        <f t="shared" si="11"/>
        <v>2.94</v>
      </c>
      <c r="H155">
        <f>ROUND(Latency_Based_Targeting18[[#This Row],[Average time to convert in Days]]-Latency_Based_Targeting18[[#This Row],[Improved Time to convert]],2)</f>
        <v>1.26</v>
      </c>
      <c r="I155" s="47">
        <f>Latency_Based_Targeting18[[#This Row],[Time Saved]]/Latency_Based_Targeting18[[#This Row],[Average time to convert in Days]]</f>
        <v>0.3</v>
      </c>
    </row>
    <row r="156" spans="1:9">
      <c r="A156">
        <v>810115</v>
      </c>
      <c r="B156">
        <v>4024409</v>
      </c>
      <c r="C156">
        <v>5567.7333330000001</v>
      </c>
      <c r="D156" t="str">
        <f t="shared" si="9"/>
        <v>High</v>
      </c>
      <c r="E156">
        <f t="shared" si="8"/>
        <v>200</v>
      </c>
      <c r="F156">
        <f t="shared" si="10"/>
        <v>3.87</v>
      </c>
      <c r="G156">
        <f t="shared" si="11"/>
        <v>2.7090000000000001</v>
      </c>
      <c r="H156">
        <f>ROUND(Latency_Based_Targeting18[[#This Row],[Average time to convert in Days]]-Latency_Based_Targeting18[[#This Row],[Improved Time to convert]],2)</f>
        <v>1.1599999999999999</v>
      </c>
      <c r="I156" s="47">
        <f>Latency_Based_Targeting18[[#This Row],[Time Saved]]/Latency_Based_Targeting18[[#This Row],[Average time to convert in Days]]</f>
        <v>0.29974160206718342</v>
      </c>
    </row>
    <row r="157" spans="1:9">
      <c r="A157">
        <v>986442</v>
      </c>
      <c r="B157">
        <v>4203292</v>
      </c>
      <c r="C157">
        <v>9674.4333330000009</v>
      </c>
      <c r="D157" t="str">
        <f t="shared" si="9"/>
        <v>Very High</v>
      </c>
      <c r="E157">
        <f t="shared" si="8"/>
        <v>300</v>
      </c>
      <c r="F157">
        <f t="shared" si="10"/>
        <v>6.72</v>
      </c>
      <c r="G157">
        <f t="shared" si="11"/>
        <v>4.3680000000000003</v>
      </c>
      <c r="H157">
        <f>ROUND(Latency_Based_Targeting18[[#This Row],[Average time to convert in Days]]-Latency_Based_Targeting18[[#This Row],[Improved Time to convert]],2)</f>
        <v>2.35</v>
      </c>
      <c r="I157" s="47">
        <f>Latency_Based_Targeting18[[#This Row],[Time Saved]]/Latency_Based_Targeting18[[#This Row],[Average time to convert in Days]]</f>
        <v>0.34970238095238099</v>
      </c>
    </row>
    <row r="158" spans="1:9">
      <c r="A158">
        <v>346075</v>
      </c>
      <c r="B158">
        <v>4299390</v>
      </c>
      <c r="C158">
        <v>5063.5333330000003</v>
      </c>
      <c r="D158" t="str">
        <f t="shared" si="9"/>
        <v>High</v>
      </c>
      <c r="E158">
        <f t="shared" si="8"/>
        <v>200</v>
      </c>
      <c r="F158">
        <f t="shared" si="10"/>
        <v>3.52</v>
      </c>
      <c r="G158">
        <f t="shared" si="11"/>
        <v>2.464</v>
      </c>
      <c r="H158">
        <f>ROUND(Latency_Based_Targeting18[[#This Row],[Average time to convert in Days]]-Latency_Based_Targeting18[[#This Row],[Improved Time to convert]],2)</f>
        <v>1.06</v>
      </c>
      <c r="I158" s="47">
        <f>Latency_Based_Targeting18[[#This Row],[Time Saved]]/Latency_Based_Targeting18[[#This Row],[Average time to convert in Days]]</f>
        <v>0.30113636363636365</v>
      </c>
    </row>
    <row r="159" spans="1:9">
      <c r="A159">
        <v>751935</v>
      </c>
      <c r="B159">
        <v>4344039</v>
      </c>
      <c r="C159">
        <v>3618.7833331665001</v>
      </c>
      <c r="D159" t="str">
        <f t="shared" si="9"/>
        <v>Medium</v>
      </c>
      <c r="E159">
        <f t="shared" si="8"/>
        <v>100</v>
      </c>
      <c r="F159">
        <f t="shared" si="10"/>
        <v>2.5099999999999998</v>
      </c>
      <c r="G159">
        <f t="shared" si="11"/>
        <v>2.5099999999999998</v>
      </c>
      <c r="H159">
        <f>ROUND(Latency_Based_Targeting18[[#This Row],[Average time to convert in Days]]-Latency_Based_Targeting18[[#This Row],[Improved Time to convert]],2)</f>
        <v>0</v>
      </c>
      <c r="I159" s="47">
        <f>Latency_Based_Targeting18[[#This Row],[Time Saved]]/Latency_Based_Targeting18[[#This Row],[Average time to convert in Days]]</f>
        <v>0</v>
      </c>
    </row>
    <row r="160" spans="1:9">
      <c r="A160">
        <v>950185</v>
      </c>
      <c r="B160">
        <v>4549308</v>
      </c>
      <c r="C160">
        <v>5811.2666669999999</v>
      </c>
      <c r="D160" t="str">
        <f t="shared" si="9"/>
        <v>High</v>
      </c>
      <c r="E160">
        <f t="shared" si="8"/>
        <v>200</v>
      </c>
      <c r="F160">
        <f t="shared" si="10"/>
        <v>4.04</v>
      </c>
      <c r="G160">
        <f t="shared" si="11"/>
        <v>2.8279999999999998</v>
      </c>
      <c r="H160">
        <f>ROUND(Latency_Based_Targeting18[[#This Row],[Average time to convert in Days]]-Latency_Based_Targeting18[[#This Row],[Improved Time to convert]],2)</f>
        <v>1.21</v>
      </c>
      <c r="I160" s="47">
        <f>Latency_Based_Targeting18[[#This Row],[Time Saved]]/Latency_Based_Targeting18[[#This Row],[Average time to convert in Days]]</f>
        <v>0.29950495049504949</v>
      </c>
    </row>
    <row r="161" spans="1:9">
      <c r="A161">
        <v>502862</v>
      </c>
      <c r="B161">
        <v>4595865</v>
      </c>
      <c r="C161">
        <v>4644.0833329999996</v>
      </c>
      <c r="D161" t="str">
        <f t="shared" si="9"/>
        <v>Medium</v>
      </c>
      <c r="E161">
        <f t="shared" si="8"/>
        <v>100</v>
      </c>
      <c r="F161">
        <f t="shared" si="10"/>
        <v>3.23</v>
      </c>
      <c r="G161">
        <f t="shared" si="11"/>
        <v>3.23</v>
      </c>
      <c r="H161">
        <f>ROUND(Latency_Based_Targeting18[[#This Row],[Average time to convert in Days]]-Latency_Based_Targeting18[[#This Row],[Improved Time to convert]],2)</f>
        <v>0</v>
      </c>
      <c r="I161" s="47">
        <f>Latency_Based_Targeting18[[#This Row],[Time Saved]]/Latency_Based_Targeting18[[#This Row],[Average time to convert in Days]]</f>
        <v>0</v>
      </c>
    </row>
    <row r="162" spans="1:9">
      <c r="A162">
        <v>133538</v>
      </c>
      <c r="B162">
        <v>4604158</v>
      </c>
      <c r="C162">
        <v>4375.4333329999999</v>
      </c>
      <c r="D162" t="str">
        <f t="shared" si="9"/>
        <v>Medium</v>
      </c>
      <c r="E162">
        <f t="shared" si="8"/>
        <v>100</v>
      </c>
      <c r="F162">
        <f t="shared" si="10"/>
        <v>3.04</v>
      </c>
      <c r="G162">
        <f t="shared" si="11"/>
        <v>3.04</v>
      </c>
      <c r="H162">
        <f>ROUND(Latency_Based_Targeting18[[#This Row],[Average time to convert in Days]]-Latency_Based_Targeting18[[#This Row],[Improved Time to convert]],2)</f>
        <v>0</v>
      </c>
      <c r="I162" s="47">
        <f>Latency_Based_Targeting18[[#This Row],[Time Saved]]/Latency_Based_Targeting18[[#This Row],[Average time to convert in Days]]</f>
        <v>0</v>
      </c>
    </row>
    <row r="163" spans="1:9">
      <c r="A163">
        <v>85835</v>
      </c>
      <c r="B163">
        <v>4745036</v>
      </c>
      <c r="C163">
        <v>4299.5</v>
      </c>
      <c r="D163" t="str">
        <f t="shared" si="9"/>
        <v>Medium</v>
      </c>
      <c r="E163">
        <f t="shared" si="8"/>
        <v>100</v>
      </c>
      <c r="F163">
        <f t="shared" si="10"/>
        <v>2.99</v>
      </c>
      <c r="G163">
        <f t="shared" si="11"/>
        <v>2.99</v>
      </c>
      <c r="H163">
        <f>ROUND(Latency_Based_Targeting18[[#This Row],[Average time to convert in Days]]-Latency_Based_Targeting18[[#This Row],[Improved Time to convert]],2)</f>
        <v>0</v>
      </c>
      <c r="I163" s="47">
        <f>Latency_Based_Targeting18[[#This Row],[Time Saved]]/Latency_Based_Targeting18[[#This Row],[Average time to convert in Days]]</f>
        <v>0</v>
      </c>
    </row>
    <row r="164" spans="1:9">
      <c r="A164">
        <v>766656</v>
      </c>
      <c r="B164">
        <v>4828777</v>
      </c>
      <c r="C164">
        <v>5264.15</v>
      </c>
      <c r="D164" t="str">
        <f t="shared" si="9"/>
        <v>High</v>
      </c>
      <c r="E164">
        <f t="shared" si="8"/>
        <v>200</v>
      </c>
      <c r="F164">
        <f t="shared" si="10"/>
        <v>3.66</v>
      </c>
      <c r="G164">
        <f t="shared" si="11"/>
        <v>2.5619999999999998</v>
      </c>
      <c r="H164">
        <f>ROUND(Latency_Based_Targeting18[[#This Row],[Average time to convert in Days]]-Latency_Based_Targeting18[[#This Row],[Improved Time to convert]],2)</f>
        <v>1.1000000000000001</v>
      </c>
      <c r="I164" s="47">
        <f>Latency_Based_Targeting18[[#This Row],[Time Saved]]/Latency_Based_Targeting18[[#This Row],[Average time to convert in Days]]</f>
        <v>0.30054644808743169</v>
      </c>
    </row>
    <row r="165" spans="1:9">
      <c r="A165">
        <v>251743</v>
      </c>
      <c r="B165">
        <v>4881681</v>
      </c>
      <c r="C165">
        <v>5721.7</v>
      </c>
      <c r="D165" t="str">
        <f t="shared" si="9"/>
        <v>High</v>
      </c>
      <c r="E165">
        <f t="shared" si="8"/>
        <v>200</v>
      </c>
      <c r="F165">
        <f t="shared" si="10"/>
        <v>3.97</v>
      </c>
      <c r="G165">
        <f t="shared" si="11"/>
        <v>2.7789999999999999</v>
      </c>
      <c r="H165">
        <f>ROUND(Latency_Based_Targeting18[[#This Row],[Average time to convert in Days]]-Latency_Based_Targeting18[[#This Row],[Improved Time to convert]],2)</f>
        <v>1.19</v>
      </c>
      <c r="I165" s="47">
        <f>Latency_Based_Targeting18[[#This Row],[Time Saved]]/Latency_Based_Targeting18[[#This Row],[Average time to convert in Days]]</f>
        <v>0.2997481108312342</v>
      </c>
    </row>
    <row r="166" spans="1:9">
      <c r="A166">
        <v>744688</v>
      </c>
      <c r="B166">
        <v>5086213</v>
      </c>
      <c r="C166">
        <v>12098.5</v>
      </c>
      <c r="D166" t="str">
        <f t="shared" si="9"/>
        <v>Very High</v>
      </c>
      <c r="E166">
        <f t="shared" si="8"/>
        <v>300</v>
      </c>
      <c r="F166">
        <f t="shared" si="10"/>
        <v>8.4</v>
      </c>
      <c r="G166">
        <f t="shared" si="11"/>
        <v>5.4600000000000009</v>
      </c>
      <c r="H166">
        <f>ROUND(Latency_Based_Targeting18[[#This Row],[Average time to convert in Days]]-Latency_Based_Targeting18[[#This Row],[Improved Time to convert]],2)</f>
        <v>2.94</v>
      </c>
      <c r="I166" s="47">
        <f>Latency_Based_Targeting18[[#This Row],[Time Saved]]/Latency_Based_Targeting18[[#This Row],[Average time to convert in Days]]</f>
        <v>0.35</v>
      </c>
    </row>
    <row r="167" spans="1:9">
      <c r="A167">
        <v>905731</v>
      </c>
      <c r="B167">
        <v>479452</v>
      </c>
      <c r="C167">
        <v>9141.3166669999991</v>
      </c>
      <c r="D167" t="str">
        <f t="shared" si="9"/>
        <v>Very High</v>
      </c>
      <c r="E167">
        <f t="shared" si="8"/>
        <v>300</v>
      </c>
      <c r="F167">
        <f t="shared" si="10"/>
        <v>6.35</v>
      </c>
      <c r="G167">
        <f t="shared" si="11"/>
        <v>4.1274999999999995</v>
      </c>
      <c r="H167">
        <f>ROUND(Latency_Based_Targeting18[[#This Row],[Average time to convert in Days]]-Latency_Based_Targeting18[[#This Row],[Improved Time to convert]],2)</f>
        <v>2.2200000000000002</v>
      </c>
      <c r="I167" s="47">
        <f>Latency_Based_Targeting18[[#This Row],[Time Saved]]/Latency_Based_Targeting18[[#This Row],[Average time to convert in Days]]</f>
        <v>0.34960629921259845</v>
      </c>
    </row>
    <row r="168" spans="1:9">
      <c r="A168">
        <v>541094</v>
      </c>
      <c r="B168">
        <v>688991</v>
      </c>
      <c r="C168">
        <v>6077.3666670000002</v>
      </c>
      <c r="D168" t="str">
        <f t="shared" si="9"/>
        <v>High</v>
      </c>
      <c r="E168">
        <f t="shared" si="8"/>
        <v>200</v>
      </c>
      <c r="F168">
        <f t="shared" si="10"/>
        <v>4.22</v>
      </c>
      <c r="G168">
        <f t="shared" si="11"/>
        <v>2.9539999999999997</v>
      </c>
      <c r="H168">
        <f>ROUND(Latency_Based_Targeting18[[#This Row],[Average time to convert in Days]]-Latency_Based_Targeting18[[#This Row],[Improved Time to convert]],2)</f>
        <v>1.27</v>
      </c>
      <c r="I168" s="47">
        <f>Latency_Based_Targeting18[[#This Row],[Time Saved]]/Latency_Based_Targeting18[[#This Row],[Average time to convert in Days]]</f>
        <v>0.3009478672985782</v>
      </c>
    </row>
    <row r="169" spans="1:9">
      <c r="A169">
        <v>572636</v>
      </c>
      <c r="B169">
        <v>751298</v>
      </c>
      <c r="C169">
        <v>6916.45</v>
      </c>
      <c r="D169" t="str">
        <f t="shared" si="9"/>
        <v>High</v>
      </c>
      <c r="E169">
        <f t="shared" si="8"/>
        <v>200</v>
      </c>
      <c r="F169">
        <f t="shared" si="10"/>
        <v>4.8</v>
      </c>
      <c r="G169">
        <f t="shared" si="11"/>
        <v>3.36</v>
      </c>
      <c r="H169">
        <f>ROUND(Latency_Based_Targeting18[[#This Row],[Average time to convert in Days]]-Latency_Based_Targeting18[[#This Row],[Improved Time to convert]],2)</f>
        <v>1.44</v>
      </c>
      <c r="I169" s="47">
        <f>Latency_Based_Targeting18[[#This Row],[Time Saved]]/Latency_Based_Targeting18[[#This Row],[Average time to convert in Days]]</f>
        <v>0.3</v>
      </c>
    </row>
    <row r="170" spans="1:9">
      <c r="A170">
        <v>878988</v>
      </c>
      <c r="B170">
        <v>1117064</v>
      </c>
      <c r="C170">
        <v>4512.95</v>
      </c>
      <c r="D170" t="str">
        <f t="shared" si="9"/>
        <v>Medium</v>
      </c>
      <c r="E170">
        <f t="shared" si="8"/>
        <v>100</v>
      </c>
      <c r="F170">
        <f t="shared" si="10"/>
        <v>3.13</v>
      </c>
      <c r="G170">
        <f t="shared" si="11"/>
        <v>3.13</v>
      </c>
      <c r="H170">
        <f>ROUND(Latency_Based_Targeting18[[#This Row],[Average time to convert in Days]]-Latency_Based_Targeting18[[#This Row],[Improved Time to convert]],2)</f>
        <v>0</v>
      </c>
      <c r="I170" s="47">
        <f>Latency_Based_Targeting18[[#This Row],[Time Saved]]/Latency_Based_Targeting18[[#This Row],[Average time to convert in Days]]</f>
        <v>0</v>
      </c>
    </row>
    <row r="171" spans="1:9">
      <c r="A171">
        <v>569450</v>
      </c>
      <c r="B171">
        <v>1131491</v>
      </c>
      <c r="C171">
        <v>5735.0166669999999</v>
      </c>
      <c r="D171" t="str">
        <f t="shared" si="9"/>
        <v>High</v>
      </c>
      <c r="E171">
        <f t="shared" si="8"/>
        <v>200</v>
      </c>
      <c r="F171">
        <f t="shared" si="10"/>
        <v>3.98</v>
      </c>
      <c r="G171">
        <f t="shared" si="11"/>
        <v>2.786</v>
      </c>
      <c r="H171">
        <f>ROUND(Latency_Based_Targeting18[[#This Row],[Average time to convert in Days]]-Latency_Based_Targeting18[[#This Row],[Improved Time to convert]],2)</f>
        <v>1.19</v>
      </c>
      <c r="I171" s="47">
        <f>Latency_Based_Targeting18[[#This Row],[Time Saved]]/Latency_Based_Targeting18[[#This Row],[Average time to convert in Days]]</f>
        <v>0.29899497487437182</v>
      </c>
    </row>
    <row r="172" spans="1:9">
      <c r="A172">
        <v>494778</v>
      </c>
      <c r="B172">
        <v>1419645</v>
      </c>
      <c r="C172">
        <v>6437.8833329999998</v>
      </c>
      <c r="D172" t="str">
        <f t="shared" si="9"/>
        <v>High</v>
      </c>
      <c r="E172">
        <f t="shared" si="8"/>
        <v>200</v>
      </c>
      <c r="F172">
        <f t="shared" si="10"/>
        <v>4.47</v>
      </c>
      <c r="G172">
        <f t="shared" si="11"/>
        <v>3.1289999999999996</v>
      </c>
      <c r="H172">
        <f>ROUND(Latency_Based_Targeting18[[#This Row],[Average time to convert in Days]]-Latency_Based_Targeting18[[#This Row],[Improved Time to convert]],2)</f>
        <v>1.34</v>
      </c>
      <c r="I172" s="47">
        <f>Latency_Based_Targeting18[[#This Row],[Time Saved]]/Latency_Based_Targeting18[[#This Row],[Average time to convert in Days]]</f>
        <v>0.29977628635346759</v>
      </c>
    </row>
    <row r="173" spans="1:9">
      <c r="A173">
        <v>281979</v>
      </c>
      <c r="B173">
        <v>1486733</v>
      </c>
      <c r="C173">
        <v>5642.9833330000001</v>
      </c>
      <c r="D173" t="str">
        <f t="shared" si="9"/>
        <v>High</v>
      </c>
      <c r="E173">
        <f t="shared" si="8"/>
        <v>200</v>
      </c>
      <c r="F173">
        <f t="shared" si="10"/>
        <v>3.92</v>
      </c>
      <c r="G173">
        <f t="shared" si="11"/>
        <v>2.7439999999999998</v>
      </c>
      <c r="H173">
        <f>ROUND(Latency_Based_Targeting18[[#This Row],[Average time to convert in Days]]-Latency_Based_Targeting18[[#This Row],[Improved Time to convert]],2)</f>
        <v>1.18</v>
      </c>
      <c r="I173" s="47">
        <f>Latency_Based_Targeting18[[#This Row],[Time Saved]]/Latency_Based_Targeting18[[#This Row],[Average time to convert in Days]]</f>
        <v>0.30102040816326531</v>
      </c>
    </row>
    <row r="174" spans="1:9">
      <c r="A174">
        <v>806231</v>
      </c>
      <c r="B174">
        <v>1552558</v>
      </c>
      <c r="C174">
        <v>3846.25</v>
      </c>
      <c r="D174" t="str">
        <f t="shared" si="9"/>
        <v>Medium</v>
      </c>
      <c r="E174">
        <f t="shared" si="8"/>
        <v>100</v>
      </c>
      <c r="F174">
        <f t="shared" si="10"/>
        <v>2.67</v>
      </c>
      <c r="G174">
        <f t="shared" si="11"/>
        <v>2.67</v>
      </c>
      <c r="H174">
        <f>ROUND(Latency_Based_Targeting18[[#This Row],[Average time to convert in Days]]-Latency_Based_Targeting18[[#This Row],[Improved Time to convert]],2)</f>
        <v>0</v>
      </c>
      <c r="I174" s="47">
        <f>Latency_Based_Targeting18[[#This Row],[Time Saved]]/Latency_Based_Targeting18[[#This Row],[Average time to convert in Days]]</f>
        <v>0</v>
      </c>
    </row>
    <row r="175" spans="1:9">
      <c r="A175">
        <v>890934</v>
      </c>
      <c r="B175">
        <v>1653667</v>
      </c>
      <c r="C175">
        <v>4868.8666670000002</v>
      </c>
      <c r="D175" t="str">
        <f t="shared" si="9"/>
        <v>Medium</v>
      </c>
      <c r="E175">
        <f t="shared" si="8"/>
        <v>100</v>
      </c>
      <c r="F175">
        <f t="shared" si="10"/>
        <v>3.38</v>
      </c>
      <c r="G175">
        <f t="shared" si="11"/>
        <v>3.38</v>
      </c>
      <c r="H175">
        <f>ROUND(Latency_Based_Targeting18[[#This Row],[Average time to convert in Days]]-Latency_Based_Targeting18[[#This Row],[Improved Time to convert]],2)</f>
        <v>0</v>
      </c>
      <c r="I175" s="47">
        <f>Latency_Based_Targeting18[[#This Row],[Time Saved]]/Latency_Based_Targeting18[[#This Row],[Average time to convert in Days]]</f>
        <v>0</v>
      </c>
    </row>
    <row r="176" spans="1:9">
      <c r="A176">
        <v>739277</v>
      </c>
      <c r="B176">
        <v>1677003</v>
      </c>
      <c r="C176">
        <v>9558.6166670000002</v>
      </c>
      <c r="D176" t="str">
        <f t="shared" si="9"/>
        <v>Very High</v>
      </c>
      <c r="E176">
        <f t="shared" si="8"/>
        <v>300</v>
      </c>
      <c r="F176">
        <f t="shared" si="10"/>
        <v>6.64</v>
      </c>
      <c r="G176">
        <f t="shared" si="11"/>
        <v>4.3159999999999998</v>
      </c>
      <c r="H176">
        <f>ROUND(Latency_Based_Targeting18[[#This Row],[Average time to convert in Days]]-Latency_Based_Targeting18[[#This Row],[Improved Time to convert]],2)</f>
        <v>2.3199999999999998</v>
      </c>
      <c r="I176" s="47">
        <f>Latency_Based_Targeting18[[#This Row],[Time Saved]]/Latency_Based_Targeting18[[#This Row],[Average time to convert in Days]]</f>
        <v>0.3493975903614458</v>
      </c>
    </row>
    <row r="177" spans="1:9">
      <c r="A177">
        <v>860168</v>
      </c>
      <c r="B177">
        <v>1837383</v>
      </c>
      <c r="C177">
        <v>3937.666667</v>
      </c>
      <c r="D177" t="str">
        <f t="shared" si="9"/>
        <v>Medium</v>
      </c>
      <c r="E177">
        <f t="shared" si="8"/>
        <v>100</v>
      </c>
      <c r="F177">
        <f t="shared" si="10"/>
        <v>2.73</v>
      </c>
      <c r="G177">
        <f t="shared" si="11"/>
        <v>2.73</v>
      </c>
      <c r="H177">
        <f>ROUND(Latency_Based_Targeting18[[#This Row],[Average time to convert in Days]]-Latency_Based_Targeting18[[#This Row],[Improved Time to convert]],2)</f>
        <v>0</v>
      </c>
      <c r="I177" s="47">
        <f>Latency_Based_Targeting18[[#This Row],[Time Saved]]/Latency_Based_Targeting18[[#This Row],[Average time to convert in Days]]</f>
        <v>0</v>
      </c>
    </row>
    <row r="178" spans="1:9">
      <c r="A178">
        <v>479379</v>
      </c>
      <c r="B178">
        <v>1944987</v>
      </c>
      <c r="C178">
        <v>4177.2833330000003</v>
      </c>
      <c r="D178" t="str">
        <f t="shared" si="9"/>
        <v>Medium</v>
      </c>
      <c r="E178">
        <f t="shared" si="8"/>
        <v>100</v>
      </c>
      <c r="F178">
        <f t="shared" si="10"/>
        <v>2.9</v>
      </c>
      <c r="G178">
        <f t="shared" si="11"/>
        <v>2.9</v>
      </c>
      <c r="H178">
        <f>ROUND(Latency_Based_Targeting18[[#This Row],[Average time to convert in Days]]-Latency_Based_Targeting18[[#This Row],[Improved Time to convert]],2)</f>
        <v>0</v>
      </c>
      <c r="I178" s="47">
        <f>Latency_Based_Targeting18[[#This Row],[Time Saved]]/Latency_Based_Targeting18[[#This Row],[Average time to convert in Days]]</f>
        <v>0</v>
      </c>
    </row>
    <row r="179" spans="1:9">
      <c r="A179">
        <v>881627</v>
      </c>
      <c r="B179">
        <v>2047347</v>
      </c>
      <c r="C179">
        <v>4555.3666670000002</v>
      </c>
      <c r="D179" t="str">
        <f t="shared" si="9"/>
        <v>Medium</v>
      </c>
      <c r="E179">
        <f t="shared" si="8"/>
        <v>100</v>
      </c>
      <c r="F179">
        <f t="shared" si="10"/>
        <v>3.16</v>
      </c>
      <c r="G179">
        <f t="shared" si="11"/>
        <v>3.16</v>
      </c>
      <c r="H179">
        <f>ROUND(Latency_Based_Targeting18[[#This Row],[Average time to convert in Days]]-Latency_Based_Targeting18[[#This Row],[Improved Time to convert]],2)</f>
        <v>0</v>
      </c>
      <c r="I179" s="47">
        <f>Latency_Based_Targeting18[[#This Row],[Time Saved]]/Latency_Based_Targeting18[[#This Row],[Average time to convert in Days]]</f>
        <v>0</v>
      </c>
    </row>
    <row r="180" spans="1:9">
      <c r="A180">
        <v>737792</v>
      </c>
      <c r="B180">
        <v>2210026</v>
      </c>
      <c r="C180">
        <v>5725.1333329999998</v>
      </c>
      <c r="D180" t="str">
        <f t="shared" si="9"/>
        <v>High</v>
      </c>
      <c r="E180">
        <f t="shared" si="8"/>
        <v>200</v>
      </c>
      <c r="F180">
        <f t="shared" si="10"/>
        <v>3.98</v>
      </c>
      <c r="G180">
        <f t="shared" si="11"/>
        <v>2.786</v>
      </c>
      <c r="H180">
        <f>ROUND(Latency_Based_Targeting18[[#This Row],[Average time to convert in Days]]-Latency_Based_Targeting18[[#This Row],[Improved Time to convert]],2)</f>
        <v>1.19</v>
      </c>
      <c r="I180" s="47">
        <f>Latency_Based_Targeting18[[#This Row],[Time Saved]]/Latency_Based_Targeting18[[#This Row],[Average time to convert in Days]]</f>
        <v>0.29899497487437182</v>
      </c>
    </row>
    <row r="181" spans="1:9">
      <c r="A181">
        <v>210474</v>
      </c>
      <c r="B181">
        <v>2267659</v>
      </c>
      <c r="C181">
        <v>4378.9833330000001</v>
      </c>
      <c r="D181" t="str">
        <f t="shared" si="9"/>
        <v>Medium</v>
      </c>
      <c r="E181">
        <f t="shared" si="8"/>
        <v>100</v>
      </c>
      <c r="F181">
        <f t="shared" si="10"/>
        <v>3.04</v>
      </c>
      <c r="G181">
        <f t="shared" si="11"/>
        <v>3.04</v>
      </c>
      <c r="H181">
        <f>ROUND(Latency_Based_Targeting18[[#This Row],[Average time to convert in Days]]-Latency_Based_Targeting18[[#This Row],[Improved Time to convert]],2)</f>
        <v>0</v>
      </c>
      <c r="I181" s="47">
        <f>Latency_Based_Targeting18[[#This Row],[Time Saved]]/Latency_Based_Targeting18[[#This Row],[Average time to convert in Days]]</f>
        <v>0</v>
      </c>
    </row>
    <row r="182" spans="1:9">
      <c r="A182">
        <v>1001289</v>
      </c>
      <c r="B182">
        <v>2284656</v>
      </c>
      <c r="C182">
        <v>4994.9666669999997</v>
      </c>
      <c r="D182" t="str">
        <f t="shared" si="9"/>
        <v>Medium</v>
      </c>
      <c r="E182">
        <f t="shared" si="8"/>
        <v>100</v>
      </c>
      <c r="F182">
        <f t="shared" si="10"/>
        <v>3.47</v>
      </c>
      <c r="G182">
        <f t="shared" si="11"/>
        <v>3.47</v>
      </c>
      <c r="H182">
        <f>ROUND(Latency_Based_Targeting18[[#This Row],[Average time to convert in Days]]-Latency_Based_Targeting18[[#This Row],[Improved Time to convert]],2)</f>
        <v>0</v>
      </c>
      <c r="I182" s="47">
        <f>Latency_Based_Targeting18[[#This Row],[Time Saved]]/Latency_Based_Targeting18[[#This Row],[Average time to convert in Days]]</f>
        <v>0</v>
      </c>
    </row>
    <row r="183" spans="1:9">
      <c r="A183">
        <v>622290</v>
      </c>
      <c r="B183">
        <v>2402579</v>
      </c>
      <c r="C183">
        <v>5783.6166670000002</v>
      </c>
      <c r="D183" t="str">
        <f t="shared" si="9"/>
        <v>High</v>
      </c>
      <c r="E183">
        <f t="shared" si="8"/>
        <v>200</v>
      </c>
      <c r="F183">
        <f t="shared" si="10"/>
        <v>4.0199999999999996</v>
      </c>
      <c r="G183">
        <f t="shared" si="11"/>
        <v>2.8139999999999996</v>
      </c>
      <c r="H183">
        <f>ROUND(Latency_Based_Targeting18[[#This Row],[Average time to convert in Days]]-Latency_Based_Targeting18[[#This Row],[Improved Time to convert]],2)</f>
        <v>1.21</v>
      </c>
      <c r="I183" s="47">
        <f>Latency_Based_Targeting18[[#This Row],[Time Saved]]/Latency_Based_Targeting18[[#This Row],[Average time to convert in Days]]</f>
        <v>0.30099502487562191</v>
      </c>
    </row>
    <row r="184" spans="1:9">
      <c r="A184">
        <v>661563</v>
      </c>
      <c r="B184">
        <v>2425879</v>
      </c>
      <c r="C184">
        <v>3692</v>
      </c>
      <c r="D184" t="str">
        <f t="shared" si="9"/>
        <v>Medium</v>
      </c>
      <c r="E184">
        <f t="shared" si="8"/>
        <v>100</v>
      </c>
      <c r="F184">
        <f t="shared" si="10"/>
        <v>2.56</v>
      </c>
      <c r="G184">
        <f t="shared" si="11"/>
        <v>2.56</v>
      </c>
      <c r="H184">
        <f>ROUND(Latency_Based_Targeting18[[#This Row],[Average time to convert in Days]]-Latency_Based_Targeting18[[#This Row],[Improved Time to convert]],2)</f>
        <v>0</v>
      </c>
      <c r="I184" s="47">
        <f>Latency_Based_Targeting18[[#This Row],[Time Saved]]/Latency_Based_Targeting18[[#This Row],[Average time to convert in Days]]</f>
        <v>0</v>
      </c>
    </row>
    <row r="185" spans="1:9">
      <c r="A185">
        <v>498446</v>
      </c>
      <c r="B185">
        <v>2492961</v>
      </c>
      <c r="C185">
        <v>6107.5166669999999</v>
      </c>
      <c r="D185" t="str">
        <f t="shared" si="9"/>
        <v>High</v>
      </c>
      <c r="E185">
        <f t="shared" si="8"/>
        <v>200</v>
      </c>
      <c r="F185">
        <f t="shared" si="10"/>
        <v>4.24</v>
      </c>
      <c r="G185">
        <f t="shared" si="11"/>
        <v>2.968</v>
      </c>
      <c r="H185">
        <f>ROUND(Latency_Based_Targeting18[[#This Row],[Average time to convert in Days]]-Latency_Based_Targeting18[[#This Row],[Improved Time to convert]],2)</f>
        <v>1.27</v>
      </c>
      <c r="I185" s="47">
        <f>Latency_Based_Targeting18[[#This Row],[Time Saved]]/Latency_Based_Targeting18[[#This Row],[Average time to convert in Days]]</f>
        <v>0.29952830188679247</v>
      </c>
    </row>
    <row r="186" spans="1:9">
      <c r="A186">
        <v>131817</v>
      </c>
      <c r="B186">
        <v>2529000</v>
      </c>
      <c r="C186">
        <v>6207.6</v>
      </c>
      <c r="D186" t="str">
        <f t="shared" si="9"/>
        <v>High</v>
      </c>
      <c r="E186">
        <f t="shared" si="8"/>
        <v>200</v>
      </c>
      <c r="F186">
        <f t="shared" si="10"/>
        <v>4.3099999999999996</v>
      </c>
      <c r="G186">
        <f t="shared" si="11"/>
        <v>3.0169999999999995</v>
      </c>
      <c r="H186">
        <f>ROUND(Latency_Based_Targeting18[[#This Row],[Average time to convert in Days]]-Latency_Based_Targeting18[[#This Row],[Improved Time to convert]],2)</f>
        <v>1.29</v>
      </c>
      <c r="I186" s="47">
        <f>Latency_Based_Targeting18[[#This Row],[Time Saved]]/Latency_Based_Targeting18[[#This Row],[Average time to convert in Days]]</f>
        <v>0.2993039443155453</v>
      </c>
    </row>
    <row r="187" spans="1:9">
      <c r="A187">
        <v>684352</v>
      </c>
      <c r="B187">
        <v>2639048</v>
      </c>
      <c r="C187">
        <v>4513.5166669999999</v>
      </c>
      <c r="D187" t="str">
        <f t="shared" si="9"/>
        <v>Medium</v>
      </c>
      <c r="E187">
        <f t="shared" si="8"/>
        <v>100</v>
      </c>
      <c r="F187">
        <f t="shared" si="10"/>
        <v>3.13</v>
      </c>
      <c r="G187">
        <f t="shared" si="11"/>
        <v>3.13</v>
      </c>
      <c r="H187">
        <f>ROUND(Latency_Based_Targeting18[[#This Row],[Average time to convert in Days]]-Latency_Based_Targeting18[[#This Row],[Improved Time to convert]],2)</f>
        <v>0</v>
      </c>
      <c r="I187" s="47">
        <f>Latency_Based_Targeting18[[#This Row],[Time Saved]]/Latency_Based_Targeting18[[#This Row],[Average time to convert in Days]]</f>
        <v>0</v>
      </c>
    </row>
    <row r="188" spans="1:9">
      <c r="A188">
        <v>862860</v>
      </c>
      <c r="B188">
        <v>2933834</v>
      </c>
      <c r="C188">
        <v>4391.6166670000002</v>
      </c>
      <c r="D188" t="str">
        <f t="shared" si="9"/>
        <v>Medium</v>
      </c>
      <c r="E188">
        <f t="shared" si="8"/>
        <v>100</v>
      </c>
      <c r="F188">
        <f t="shared" si="10"/>
        <v>3.05</v>
      </c>
      <c r="G188">
        <f t="shared" si="11"/>
        <v>3.05</v>
      </c>
      <c r="H188">
        <f>ROUND(Latency_Based_Targeting18[[#This Row],[Average time to convert in Days]]-Latency_Based_Targeting18[[#This Row],[Improved Time to convert]],2)</f>
        <v>0</v>
      </c>
      <c r="I188" s="47">
        <f>Latency_Based_Targeting18[[#This Row],[Time Saved]]/Latency_Based_Targeting18[[#This Row],[Average time to convert in Days]]</f>
        <v>0</v>
      </c>
    </row>
    <row r="189" spans="1:9">
      <c r="A189">
        <v>725579</v>
      </c>
      <c r="B189">
        <v>3151670</v>
      </c>
      <c r="C189">
        <v>4251.2</v>
      </c>
      <c r="D189" t="str">
        <f t="shared" si="9"/>
        <v>Medium</v>
      </c>
      <c r="E189">
        <f t="shared" si="8"/>
        <v>100</v>
      </c>
      <c r="F189">
        <f t="shared" si="10"/>
        <v>2.95</v>
      </c>
      <c r="G189">
        <f t="shared" si="11"/>
        <v>2.95</v>
      </c>
      <c r="H189">
        <f>ROUND(Latency_Based_Targeting18[[#This Row],[Average time to convert in Days]]-Latency_Based_Targeting18[[#This Row],[Improved Time to convert]],2)</f>
        <v>0</v>
      </c>
      <c r="I189" s="47">
        <f>Latency_Based_Targeting18[[#This Row],[Time Saved]]/Latency_Based_Targeting18[[#This Row],[Average time to convert in Days]]</f>
        <v>0</v>
      </c>
    </row>
    <row r="190" spans="1:9">
      <c r="A190">
        <v>640116</v>
      </c>
      <c r="B190">
        <v>3328486</v>
      </c>
      <c r="C190">
        <v>7603.5166669999999</v>
      </c>
      <c r="D190" t="str">
        <f t="shared" si="9"/>
        <v>High</v>
      </c>
      <c r="E190">
        <f t="shared" si="8"/>
        <v>200</v>
      </c>
      <c r="F190">
        <f t="shared" si="10"/>
        <v>5.28</v>
      </c>
      <c r="G190">
        <f t="shared" si="11"/>
        <v>3.6959999999999997</v>
      </c>
      <c r="H190">
        <f>ROUND(Latency_Based_Targeting18[[#This Row],[Average time to convert in Days]]-Latency_Based_Targeting18[[#This Row],[Improved Time to convert]],2)</f>
        <v>1.58</v>
      </c>
      <c r="I190" s="47">
        <f>Latency_Based_Targeting18[[#This Row],[Time Saved]]/Latency_Based_Targeting18[[#This Row],[Average time to convert in Days]]</f>
        <v>0.29924242424242425</v>
      </c>
    </row>
    <row r="191" spans="1:9">
      <c r="A191">
        <v>29432</v>
      </c>
      <c r="B191">
        <v>3481591</v>
      </c>
      <c r="C191">
        <v>7665.55</v>
      </c>
      <c r="D191" t="str">
        <f t="shared" si="9"/>
        <v>High</v>
      </c>
      <c r="E191">
        <f t="shared" si="8"/>
        <v>200</v>
      </c>
      <c r="F191">
        <f t="shared" si="10"/>
        <v>5.32</v>
      </c>
      <c r="G191">
        <f t="shared" si="11"/>
        <v>3.7239999999999998</v>
      </c>
      <c r="H191">
        <f>ROUND(Latency_Based_Targeting18[[#This Row],[Average time to convert in Days]]-Latency_Based_Targeting18[[#This Row],[Improved Time to convert]],2)</f>
        <v>1.6</v>
      </c>
      <c r="I191" s="47">
        <f>Latency_Based_Targeting18[[#This Row],[Time Saved]]/Latency_Based_Targeting18[[#This Row],[Average time to convert in Days]]</f>
        <v>0.3007518796992481</v>
      </c>
    </row>
    <row r="192" spans="1:9">
      <c r="A192">
        <v>741978</v>
      </c>
      <c r="B192">
        <v>3997260</v>
      </c>
      <c r="C192">
        <v>4340.4166670000004</v>
      </c>
      <c r="D192" t="str">
        <f t="shared" si="9"/>
        <v>Medium</v>
      </c>
      <c r="E192">
        <f t="shared" si="8"/>
        <v>100</v>
      </c>
      <c r="F192">
        <f t="shared" si="10"/>
        <v>3.01</v>
      </c>
      <c r="G192">
        <f t="shared" si="11"/>
        <v>3.01</v>
      </c>
      <c r="H192">
        <f>ROUND(Latency_Based_Targeting18[[#This Row],[Average time to convert in Days]]-Latency_Based_Targeting18[[#This Row],[Improved Time to convert]],2)</f>
        <v>0</v>
      </c>
      <c r="I192" s="47">
        <f>Latency_Based_Targeting18[[#This Row],[Time Saved]]/Latency_Based_Targeting18[[#This Row],[Average time to convert in Days]]</f>
        <v>0</v>
      </c>
    </row>
    <row r="193" spans="1:9">
      <c r="A193">
        <v>740463</v>
      </c>
      <c r="B193">
        <v>4204018</v>
      </c>
      <c r="C193">
        <v>5034.1499999999996</v>
      </c>
      <c r="D193" t="str">
        <f t="shared" si="9"/>
        <v>Medium</v>
      </c>
      <c r="E193">
        <f t="shared" si="8"/>
        <v>100</v>
      </c>
      <c r="F193">
        <f t="shared" si="10"/>
        <v>3.5</v>
      </c>
      <c r="G193">
        <f t="shared" si="11"/>
        <v>3.5</v>
      </c>
      <c r="H193">
        <f>ROUND(Latency_Based_Targeting18[[#This Row],[Average time to convert in Days]]-Latency_Based_Targeting18[[#This Row],[Improved Time to convert]],2)</f>
        <v>0</v>
      </c>
      <c r="I193" s="47">
        <f>Latency_Based_Targeting18[[#This Row],[Time Saved]]/Latency_Based_Targeting18[[#This Row],[Average time to convert in Days]]</f>
        <v>0</v>
      </c>
    </row>
    <row r="194" spans="1:9">
      <c r="A194">
        <v>343636</v>
      </c>
      <c r="B194">
        <v>4226017</v>
      </c>
      <c r="C194">
        <v>4775.55</v>
      </c>
      <c r="D194" t="str">
        <f t="shared" si="9"/>
        <v>Medium</v>
      </c>
      <c r="E194">
        <f t="shared" ref="E194:E257" si="12">IF(D194="Very High", 300, IF(D194="High", 200, IF(D194="Medium", 100, 50)))</f>
        <v>100</v>
      </c>
      <c r="F194">
        <f t="shared" si="10"/>
        <v>3.32</v>
      </c>
      <c r="G194">
        <f t="shared" si="11"/>
        <v>3.32</v>
      </c>
      <c r="H194">
        <f>ROUND(Latency_Based_Targeting18[[#This Row],[Average time to convert in Days]]-Latency_Based_Targeting18[[#This Row],[Improved Time to convert]],2)</f>
        <v>0</v>
      </c>
      <c r="I194" s="47">
        <f>Latency_Based_Targeting18[[#This Row],[Time Saved]]/Latency_Based_Targeting18[[#This Row],[Average time to convert in Days]]</f>
        <v>0</v>
      </c>
    </row>
    <row r="195" spans="1:9">
      <c r="A195">
        <v>900884</v>
      </c>
      <c r="B195">
        <v>4293745</v>
      </c>
      <c r="C195">
        <v>5096.3166670000001</v>
      </c>
      <c r="D195" t="str">
        <f t="shared" ref="D195:D258" si="13">IF(F195&lt;=2.5, "Low",
 IF(F195&lt;=3.5, "Medium",
 IF(F195&lt;=5.5, "High", "Very High")))</f>
        <v>High</v>
      </c>
      <c r="E195">
        <f t="shared" si="12"/>
        <v>200</v>
      </c>
      <c r="F195">
        <f t="shared" ref="F195:F258" si="14">ROUND(C195/1440,2)</f>
        <v>3.54</v>
      </c>
      <c r="G195">
        <f t="shared" ref="G195:G258" si="15">IF(D195="High", F195*0.7,
 IF(D195="Very High", F195*0.65,
 F195))</f>
        <v>2.4779999999999998</v>
      </c>
      <c r="H195">
        <f>ROUND(Latency_Based_Targeting18[[#This Row],[Average time to convert in Days]]-Latency_Based_Targeting18[[#This Row],[Improved Time to convert]],2)</f>
        <v>1.06</v>
      </c>
      <c r="I195" s="47">
        <f>Latency_Based_Targeting18[[#This Row],[Time Saved]]/Latency_Based_Targeting18[[#This Row],[Average time to convert in Days]]</f>
        <v>0.29943502824858759</v>
      </c>
    </row>
    <row r="196" spans="1:9">
      <c r="A196">
        <v>520939</v>
      </c>
      <c r="B196">
        <v>4337209</v>
      </c>
      <c r="C196">
        <v>4453.0833329999996</v>
      </c>
      <c r="D196" t="str">
        <f t="shared" si="13"/>
        <v>Medium</v>
      </c>
      <c r="E196">
        <f t="shared" si="12"/>
        <v>100</v>
      </c>
      <c r="F196">
        <f t="shared" si="14"/>
        <v>3.09</v>
      </c>
      <c r="G196">
        <f t="shared" si="15"/>
        <v>3.09</v>
      </c>
      <c r="H196">
        <f>ROUND(Latency_Based_Targeting18[[#This Row],[Average time to convert in Days]]-Latency_Based_Targeting18[[#This Row],[Improved Time to convert]],2)</f>
        <v>0</v>
      </c>
      <c r="I196" s="47">
        <f>Latency_Based_Targeting18[[#This Row],[Time Saved]]/Latency_Based_Targeting18[[#This Row],[Average time to convert in Days]]</f>
        <v>0</v>
      </c>
    </row>
    <row r="197" spans="1:9">
      <c r="A197">
        <v>1007159</v>
      </c>
      <c r="B197">
        <v>4360096</v>
      </c>
      <c r="C197">
        <v>4784.6499999999996</v>
      </c>
      <c r="D197" t="str">
        <f t="shared" si="13"/>
        <v>Medium</v>
      </c>
      <c r="E197">
        <f t="shared" si="12"/>
        <v>100</v>
      </c>
      <c r="F197">
        <f t="shared" si="14"/>
        <v>3.32</v>
      </c>
      <c r="G197">
        <f t="shared" si="15"/>
        <v>3.32</v>
      </c>
      <c r="H197">
        <f>ROUND(Latency_Based_Targeting18[[#This Row],[Average time to convert in Days]]-Latency_Based_Targeting18[[#This Row],[Improved Time to convert]],2)</f>
        <v>0</v>
      </c>
      <c r="I197" s="47">
        <f>Latency_Based_Targeting18[[#This Row],[Time Saved]]/Latency_Based_Targeting18[[#This Row],[Average time to convert in Days]]</f>
        <v>0</v>
      </c>
    </row>
    <row r="198" spans="1:9">
      <c r="A198">
        <v>438526</v>
      </c>
      <c r="B198">
        <v>4370251</v>
      </c>
      <c r="C198">
        <v>4020.2916664999998</v>
      </c>
      <c r="D198" t="str">
        <f t="shared" si="13"/>
        <v>Medium</v>
      </c>
      <c r="E198">
        <f t="shared" si="12"/>
        <v>100</v>
      </c>
      <c r="F198">
        <f t="shared" si="14"/>
        <v>2.79</v>
      </c>
      <c r="G198">
        <f t="shared" si="15"/>
        <v>2.79</v>
      </c>
      <c r="H198">
        <f>ROUND(Latency_Based_Targeting18[[#This Row],[Average time to convert in Days]]-Latency_Based_Targeting18[[#This Row],[Improved Time to convert]],2)</f>
        <v>0</v>
      </c>
      <c r="I198" s="47">
        <f>Latency_Based_Targeting18[[#This Row],[Time Saved]]/Latency_Based_Targeting18[[#This Row],[Average time to convert in Days]]</f>
        <v>0</v>
      </c>
    </row>
    <row r="199" spans="1:9">
      <c r="A199">
        <v>336608</v>
      </c>
      <c r="B199">
        <v>4463389</v>
      </c>
      <c r="C199">
        <v>6053.8666670000002</v>
      </c>
      <c r="D199" t="str">
        <f t="shared" si="13"/>
        <v>High</v>
      </c>
      <c r="E199">
        <f t="shared" si="12"/>
        <v>200</v>
      </c>
      <c r="F199">
        <f t="shared" si="14"/>
        <v>4.2</v>
      </c>
      <c r="G199">
        <f t="shared" si="15"/>
        <v>2.94</v>
      </c>
      <c r="H199">
        <f>ROUND(Latency_Based_Targeting18[[#This Row],[Average time to convert in Days]]-Latency_Based_Targeting18[[#This Row],[Improved Time to convert]],2)</f>
        <v>1.26</v>
      </c>
      <c r="I199" s="47">
        <f>Latency_Based_Targeting18[[#This Row],[Time Saved]]/Latency_Based_Targeting18[[#This Row],[Average time to convert in Days]]</f>
        <v>0.3</v>
      </c>
    </row>
    <row r="200" spans="1:9">
      <c r="A200">
        <v>191853</v>
      </c>
      <c r="B200">
        <v>4512654</v>
      </c>
      <c r="C200">
        <v>4949.8</v>
      </c>
      <c r="D200" t="str">
        <f t="shared" si="13"/>
        <v>Medium</v>
      </c>
      <c r="E200">
        <f t="shared" si="12"/>
        <v>100</v>
      </c>
      <c r="F200">
        <f t="shared" si="14"/>
        <v>3.44</v>
      </c>
      <c r="G200">
        <f t="shared" si="15"/>
        <v>3.44</v>
      </c>
      <c r="H200">
        <f>ROUND(Latency_Based_Targeting18[[#This Row],[Average time to convert in Days]]-Latency_Based_Targeting18[[#This Row],[Improved Time to convert]],2)</f>
        <v>0</v>
      </c>
      <c r="I200" s="47">
        <f>Latency_Based_Targeting18[[#This Row],[Time Saved]]/Latency_Based_Targeting18[[#This Row],[Average time to convert in Days]]</f>
        <v>0</v>
      </c>
    </row>
    <row r="201" spans="1:9">
      <c r="A201">
        <v>88678</v>
      </c>
      <c r="B201">
        <v>4576241</v>
      </c>
      <c r="C201">
        <v>4679.9333329999999</v>
      </c>
      <c r="D201" t="str">
        <f t="shared" si="13"/>
        <v>Medium</v>
      </c>
      <c r="E201">
        <f t="shared" si="12"/>
        <v>100</v>
      </c>
      <c r="F201">
        <f t="shared" si="14"/>
        <v>3.25</v>
      </c>
      <c r="G201">
        <f t="shared" si="15"/>
        <v>3.25</v>
      </c>
      <c r="H201">
        <f>ROUND(Latency_Based_Targeting18[[#This Row],[Average time to convert in Days]]-Latency_Based_Targeting18[[#This Row],[Improved Time to convert]],2)</f>
        <v>0</v>
      </c>
      <c r="I201" s="47">
        <f>Latency_Based_Targeting18[[#This Row],[Time Saved]]/Latency_Based_Targeting18[[#This Row],[Average time to convert in Days]]</f>
        <v>0</v>
      </c>
    </row>
    <row r="202" spans="1:9">
      <c r="A202">
        <v>262899</v>
      </c>
      <c r="B202">
        <v>4689827</v>
      </c>
      <c r="C202">
        <v>4421.4333329999999</v>
      </c>
      <c r="D202" t="str">
        <f t="shared" si="13"/>
        <v>Medium</v>
      </c>
      <c r="E202">
        <f t="shared" si="12"/>
        <v>100</v>
      </c>
      <c r="F202">
        <f t="shared" si="14"/>
        <v>3.07</v>
      </c>
      <c r="G202">
        <f t="shared" si="15"/>
        <v>3.07</v>
      </c>
      <c r="H202">
        <f>ROUND(Latency_Based_Targeting18[[#This Row],[Average time to convert in Days]]-Latency_Based_Targeting18[[#This Row],[Improved Time to convert]],2)</f>
        <v>0</v>
      </c>
      <c r="I202" s="47">
        <f>Latency_Based_Targeting18[[#This Row],[Time Saved]]/Latency_Based_Targeting18[[#This Row],[Average time to convert in Days]]</f>
        <v>0</v>
      </c>
    </row>
    <row r="203" spans="1:9">
      <c r="A203">
        <v>844636</v>
      </c>
      <c r="B203">
        <v>4718133</v>
      </c>
      <c r="C203">
        <v>6613.5166669999999</v>
      </c>
      <c r="D203" t="str">
        <f t="shared" si="13"/>
        <v>High</v>
      </c>
      <c r="E203">
        <f t="shared" si="12"/>
        <v>200</v>
      </c>
      <c r="F203">
        <f t="shared" si="14"/>
        <v>4.59</v>
      </c>
      <c r="G203">
        <f t="shared" si="15"/>
        <v>3.2129999999999996</v>
      </c>
      <c r="H203">
        <f>ROUND(Latency_Based_Targeting18[[#This Row],[Average time to convert in Days]]-Latency_Based_Targeting18[[#This Row],[Improved Time to convert]],2)</f>
        <v>1.38</v>
      </c>
      <c r="I203" s="47">
        <f>Latency_Based_Targeting18[[#This Row],[Time Saved]]/Latency_Based_Targeting18[[#This Row],[Average time to convert in Days]]</f>
        <v>0.30065359477124182</v>
      </c>
    </row>
    <row r="204" spans="1:9">
      <c r="A204">
        <v>684289</v>
      </c>
      <c r="B204">
        <v>4740109</v>
      </c>
      <c r="C204">
        <v>7532.1666670000004</v>
      </c>
      <c r="D204" t="str">
        <f t="shared" si="13"/>
        <v>High</v>
      </c>
      <c r="E204">
        <f t="shared" si="12"/>
        <v>200</v>
      </c>
      <c r="F204">
        <f t="shared" si="14"/>
        <v>5.23</v>
      </c>
      <c r="G204">
        <f t="shared" si="15"/>
        <v>3.661</v>
      </c>
      <c r="H204">
        <f>ROUND(Latency_Based_Targeting18[[#This Row],[Average time to convert in Days]]-Latency_Based_Targeting18[[#This Row],[Improved Time to convert]],2)</f>
        <v>1.57</v>
      </c>
      <c r="I204" s="47">
        <f>Latency_Based_Targeting18[[#This Row],[Time Saved]]/Latency_Based_Targeting18[[#This Row],[Average time to convert in Days]]</f>
        <v>0.30019120458891013</v>
      </c>
    </row>
    <row r="205" spans="1:9">
      <c r="A205">
        <v>17550</v>
      </c>
      <c r="B205">
        <v>4747566</v>
      </c>
      <c r="C205">
        <v>5827.1333329999998</v>
      </c>
      <c r="D205" t="str">
        <f t="shared" si="13"/>
        <v>High</v>
      </c>
      <c r="E205">
        <f t="shared" si="12"/>
        <v>200</v>
      </c>
      <c r="F205">
        <f t="shared" si="14"/>
        <v>4.05</v>
      </c>
      <c r="G205">
        <f t="shared" si="15"/>
        <v>2.8349999999999995</v>
      </c>
      <c r="H205">
        <f>ROUND(Latency_Based_Targeting18[[#This Row],[Average time to convert in Days]]-Latency_Based_Targeting18[[#This Row],[Improved Time to convert]],2)</f>
        <v>1.22</v>
      </c>
      <c r="I205" s="47">
        <f>Latency_Based_Targeting18[[#This Row],[Time Saved]]/Latency_Based_Targeting18[[#This Row],[Average time to convert in Days]]</f>
        <v>0.3012345679012346</v>
      </c>
    </row>
    <row r="206" spans="1:9">
      <c r="A206">
        <v>930798</v>
      </c>
      <c r="B206">
        <v>4836094</v>
      </c>
      <c r="C206">
        <v>3849.54444333333</v>
      </c>
      <c r="D206" t="str">
        <f t="shared" si="13"/>
        <v>Medium</v>
      </c>
      <c r="E206">
        <f t="shared" si="12"/>
        <v>100</v>
      </c>
      <c r="F206">
        <f t="shared" si="14"/>
        <v>2.67</v>
      </c>
      <c r="G206">
        <f t="shared" si="15"/>
        <v>2.67</v>
      </c>
      <c r="H206">
        <f>ROUND(Latency_Based_Targeting18[[#This Row],[Average time to convert in Days]]-Latency_Based_Targeting18[[#This Row],[Improved Time to convert]],2)</f>
        <v>0</v>
      </c>
      <c r="I206" s="47">
        <f>Latency_Based_Targeting18[[#This Row],[Time Saved]]/Latency_Based_Targeting18[[#This Row],[Average time to convert in Days]]</f>
        <v>0</v>
      </c>
    </row>
    <row r="207" spans="1:9">
      <c r="A207">
        <v>4788</v>
      </c>
      <c r="B207">
        <v>5044199</v>
      </c>
      <c r="C207">
        <v>5404.7333330000001</v>
      </c>
      <c r="D207" t="str">
        <f t="shared" si="13"/>
        <v>High</v>
      </c>
      <c r="E207">
        <f t="shared" si="12"/>
        <v>200</v>
      </c>
      <c r="F207">
        <f t="shared" si="14"/>
        <v>3.75</v>
      </c>
      <c r="G207">
        <f t="shared" si="15"/>
        <v>2.625</v>
      </c>
      <c r="H207">
        <f>ROUND(Latency_Based_Targeting18[[#This Row],[Average time to convert in Days]]-Latency_Based_Targeting18[[#This Row],[Improved Time to convert]],2)</f>
        <v>1.1299999999999999</v>
      </c>
      <c r="I207" s="47">
        <f>Latency_Based_Targeting18[[#This Row],[Time Saved]]/Latency_Based_Targeting18[[#This Row],[Average time to convert in Days]]</f>
        <v>0.30133333333333329</v>
      </c>
    </row>
    <row r="208" spans="1:9">
      <c r="A208">
        <v>627346</v>
      </c>
      <c r="B208">
        <v>218533</v>
      </c>
      <c r="C208">
        <v>6581.9333329999999</v>
      </c>
      <c r="D208" t="str">
        <f t="shared" si="13"/>
        <v>High</v>
      </c>
      <c r="E208">
        <f t="shared" si="12"/>
        <v>200</v>
      </c>
      <c r="F208">
        <f t="shared" si="14"/>
        <v>4.57</v>
      </c>
      <c r="G208">
        <f t="shared" si="15"/>
        <v>3.1989999999999998</v>
      </c>
      <c r="H208">
        <f>ROUND(Latency_Based_Targeting18[[#This Row],[Average time to convert in Days]]-Latency_Based_Targeting18[[#This Row],[Improved Time to convert]],2)</f>
        <v>1.37</v>
      </c>
      <c r="I208" s="47">
        <f>Latency_Based_Targeting18[[#This Row],[Time Saved]]/Latency_Based_Targeting18[[#This Row],[Average time to convert in Days]]</f>
        <v>0.29978118161925604</v>
      </c>
    </row>
    <row r="209" spans="1:9">
      <c r="A209">
        <v>393888</v>
      </c>
      <c r="B209">
        <v>224835</v>
      </c>
      <c r="C209">
        <v>4635.9833330000001</v>
      </c>
      <c r="D209" t="str">
        <f t="shared" si="13"/>
        <v>Medium</v>
      </c>
      <c r="E209">
        <f t="shared" si="12"/>
        <v>100</v>
      </c>
      <c r="F209">
        <f t="shared" si="14"/>
        <v>3.22</v>
      </c>
      <c r="G209">
        <f t="shared" si="15"/>
        <v>3.22</v>
      </c>
      <c r="H209">
        <f>ROUND(Latency_Based_Targeting18[[#This Row],[Average time to convert in Days]]-Latency_Based_Targeting18[[#This Row],[Improved Time to convert]],2)</f>
        <v>0</v>
      </c>
      <c r="I209" s="47">
        <f>Latency_Based_Targeting18[[#This Row],[Time Saved]]/Latency_Based_Targeting18[[#This Row],[Average time to convert in Days]]</f>
        <v>0</v>
      </c>
    </row>
    <row r="210" spans="1:9">
      <c r="A210">
        <v>130677</v>
      </c>
      <c r="B210">
        <v>232491</v>
      </c>
      <c r="C210">
        <v>7993.9833330000001</v>
      </c>
      <c r="D210" t="str">
        <f t="shared" si="13"/>
        <v>Very High</v>
      </c>
      <c r="E210">
        <f t="shared" si="12"/>
        <v>300</v>
      </c>
      <c r="F210">
        <f t="shared" si="14"/>
        <v>5.55</v>
      </c>
      <c r="G210">
        <f t="shared" si="15"/>
        <v>3.6074999999999999</v>
      </c>
      <c r="H210">
        <f>ROUND(Latency_Based_Targeting18[[#This Row],[Average time to convert in Days]]-Latency_Based_Targeting18[[#This Row],[Improved Time to convert]],2)</f>
        <v>1.94</v>
      </c>
      <c r="I210" s="47">
        <f>Latency_Based_Targeting18[[#This Row],[Time Saved]]/Latency_Based_Targeting18[[#This Row],[Average time to convert in Days]]</f>
        <v>0.34954954954954953</v>
      </c>
    </row>
    <row r="211" spans="1:9">
      <c r="A211">
        <v>368617</v>
      </c>
      <c r="B211">
        <v>329023</v>
      </c>
      <c r="C211">
        <v>4205.3999999999996</v>
      </c>
      <c r="D211" t="str">
        <f t="shared" si="13"/>
        <v>Medium</v>
      </c>
      <c r="E211">
        <f t="shared" si="12"/>
        <v>100</v>
      </c>
      <c r="F211">
        <f t="shared" si="14"/>
        <v>2.92</v>
      </c>
      <c r="G211">
        <f t="shared" si="15"/>
        <v>2.92</v>
      </c>
      <c r="H211">
        <f>ROUND(Latency_Based_Targeting18[[#This Row],[Average time to convert in Days]]-Latency_Based_Targeting18[[#This Row],[Improved Time to convert]],2)</f>
        <v>0</v>
      </c>
      <c r="I211" s="47">
        <f>Latency_Based_Targeting18[[#This Row],[Time Saved]]/Latency_Based_Targeting18[[#This Row],[Average time to convert in Days]]</f>
        <v>0</v>
      </c>
    </row>
    <row r="212" spans="1:9">
      <c r="A212">
        <v>544365</v>
      </c>
      <c r="B212">
        <v>401681</v>
      </c>
      <c r="C212">
        <v>5543.4333329999999</v>
      </c>
      <c r="D212" t="str">
        <f t="shared" si="13"/>
        <v>High</v>
      </c>
      <c r="E212">
        <f t="shared" si="12"/>
        <v>200</v>
      </c>
      <c r="F212">
        <f t="shared" si="14"/>
        <v>3.85</v>
      </c>
      <c r="G212">
        <f t="shared" si="15"/>
        <v>2.6949999999999998</v>
      </c>
      <c r="H212">
        <f>ROUND(Latency_Based_Targeting18[[#This Row],[Average time to convert in Days]]-Latency_Based_Targeting18[[#This Row],[Improved Time to convert]],2)</f>
        <v>1.1599999999999999</v>
      </c>
      <c r="I212" s="47">
        <f>Latency_Based_Targeting18[[#This Row],[Time Saved]]/Latency_Based_Targeting18[[#This Row],[Average time to convert in Days]]</f>
        <v>0.30129870129870129</v>
      </c>
    </row>
    <row r="213" spans="1:9">
      <c r="A213">
        <v>361632</v>
      </c>
      <c r="B213">
        <v>423109</v>
      </c>
      <c r="C213">
        <v>3610.5916665</v>
      </c>
      <c r="D213" t="str">
        <f t="shared" si="13"/>
        <v>Medium</v>
      </c>
      <c r="E213">
        <f t="shared" si="12"/>
        <v>100</v>
      </c>
      <c r="F213">
        <f t="shared" si="14"/>
        <v>2.5099999999999998</v>
      </c>
      <c r="G213">
        <f t="shared" si="15"/>
        <v>2.5099999999999998</v>
      </c>
      <c r="H213">
        <f>ROUND(Latency_Based_Targeting18[[#This Row],[Average time to convert in Days]]-Latency_Based_Targeting18[[#This Row],[Improved Time to convert]],2)</f>
        <v>0</v>
      </c>
      <c r="I213" s="47">
        <f>Latency_Based_Targeting18[[#This Row],[Time Saved]]/Latency_Based_Targeting18[[#This Row],[Average time to convert in Days]]</f>
        <v>0</v>
      </c>
    </row>
    <row r="214" spans="1:9">
      <c r="A214">
        <v>863673</v>
      </c>
      <c r="B214">
        <v>700302</v>
      </c>
      <c r="C214">
        <v>5650.3833329999998</v>
      </c>
      <c r="D214" t="str">
        <f t="shared" si="13"/>
        <v>High</v>
      </c>
      <c r="E214">
        <f t="shared" si="12"/>
        <v>200</v>
      </c>
      <c r="F214">
        <f t="shared" si="14"/>
        <v>3.92</v>
      </c>
      <c r="G214">
        <f t="shared" si="15"/>
        <v>2.7439999999999998</v>
      </c>
      <c r="H214">
        <f>ROUND(Latency_Based_Targeting18[[#This Row],[Average time to convert in Days]]-Latency_Based_Targeting18[[#This Row],[Improved Time to convert]],2)</f>
        <v>1.18</v>
      </c>
      <c r="I214" s="47">
        <f>Latency_Based_Targeting18[[#This Row],[Time Saved]]/Latency_Based_Targeting18[[#This Row],[Average time to convert in Days]]</f>
        <v>0.30102040816326531</v>
      </c>
    </row>
    <row r="215" spans="1:9">
      <c r="A215">
        <v>628575</v>
      </c>
      <c r="B215">
        <v>980696</v>
      </c>
      <c r="C215">
        <v>4178.1333329999998</v>
      </c>
      <c r="D215" t="str">
        <f t="shared" si="13"/>
        <v>Medium</v>
      </c>
      <c r="E215">
        <f t="shared" si="12"/>
        <v>100</v>
      </c>
      <c r="F215">
        <f t="shared" si="14"/>
        <v>2.9</v>
      </c>
      <c r="G215">
        <f t="shared" si="15"/>
        <v>2.9</v>
      </c>
      <c r="H215">
        <f>ROUND(Latency_Based_Targeting18[[#This Row],[Average time to convert in Days]]-Latency_Based_Targeting18[[#This Row],[Improved Time to convert]],2)</f>
        <v>0</v>
      </c>
      <c r="I215" s="47">
        <f>Latency_Based_Targeting18[[#This Row],[Time Saved]]/Latency_Based_Targeting18[[#This Row],[Average time to convert in Days]]</f>
        <v>0</v>
      </c>
    </row>
    <row r="216" spans="1:9">
      <c r="A216">
        <v>526212</v>
      </c>
      <c r="B216">
        <v>1057022</v>
      </c>
      <c r="C216">
        <v>3606.1</v>
      </c>
      <c r="D216" t="str">
        <f t="shared" si="13"/>
        <v>Low</v>
      </c>
      <c r="E216">
        <f t="shared" si="12"/>
        <v>50</v>
      </c>
      <c r="F216">
        <f t="shared" si="14"/>
        <v>2.5</v>
      </c>
      <c r="G216">
        <f t="shared" si="15"/>
        <v>2.5</v>
      </c>
      <c r="H216">
        <f>ROUND(Latency_Based_Targeting18[[#This Row],[Average time to convert in Days]]-Latency_Based_Targeting18[[#This Row],[Improved Time to convert]],2)</f>
        <v>0</v>
      </c>
      <c r="I216" s="47">
        <f>Latency_Based_Targeting18[[#This Row],[Time Saved]]/Latency_Based_Targeting18[[#This Row],[Average time to convert in Days]]</f>
        <v>0</v>
      </c>
    </row>
    <row r="217" spans="1:9">
      <c r="A217">
        <v>235374</v>
      </c>
      <c r="B217">
        <v>1233295</v>
      </c>
      <c r="C217">
        <v>4319.3833329999998</v>
      </c>
      <c r="D217" t="str">
        <f t="shared" si="13"/>
        <v>Medium</v>
      </c>
      <c r="E217">
        <f t="shared" si="12"/>
        <v>100</v>
      </c>
      <c r="F217">
        <f t="shared" si="14"/>
        <v>3</v>
      </c>
      <c r="G217">
        <f t="shared" si="15"/>
        <v>3</v>
      </c>
      <c r="H217">
        <f>ROUND(Latency_Based_Targeting18[[#This Row],[Average time to convert in Days]]-Latency_Based_Targeting18[[#This Row],[Improved Time to convert]],2)</f>
        <v>0</v>
      </c>
      <c r="I217" s="47">
        <f>Latency_Based_Targeting18[[#This Row],[Time Saved]]/Latency_Based_Targeting18[[#This Row],[Average time to convert in Days]]</f>
        <v>0</v>
      </c>
    </row>
    <row r="218" spans="1:9">
      <c r="A218">
        <v>745710</v>
      </c>
      <c r="B218">
        <v>1763248</v>
      </c>
      <c r="C218">
        <v>8889.2999999999993</v>
      </c>
      <c r="D218" t="str">
        <f t="shared" si="13"/>
        <v>Very High</v>
      </c>
      <c r="E218">
        <f t="shared" si="12"/>
        <v>300</v>
      </c>
      <c r="F218">
        <f t="shared" si="14"/>
        <v>6.17</v>
      </c>
      <c r="G218">
        <f t="shared" si="15"/>
        <v>4.0105000000000004</v>
      </c>
      <c r="H218">
        <f>ROUND(Latency_Based_Targeting18[[#This Row],[Average time to convert in Days]]-Latency_Based_Targeting18[[#This Row],[Improved Time to convert]],2)</f>
        <v>2.16</v>
      </c>
      <c r="I218" s="47">
        <f>Latency_Based_Targeting18[[#This Row],[Time Saved]]/Latency_Based_Targeting18[[#This Row],[Average time to convert in Days]]</f>
        <v>0.35008103727714751</v>
      </c>
    </row>
    <row r="219" spans="1:9">
      <c r="A219">
        <v>859096</v>
      </c>
      <c r="B219">
        <v>1856676</v>
      </c>
      <c r="C219">
        <v>8322.9</v>
      </c>
      <c r="D219" t="str">
        <f t="shared" si="13"/>
        <v>Very High</v>
      </c>
      <c r="E219">
        <f t="shared" si="12"/>
        <v>300</v>
      </c>
      <c r="F219">
        <f t="shared" si="14"/>
        <v>5.78</v>
      </c>
      <c r="G219">
        <f t="shared" si="15"/>
        <v>3.7570000000000001</v>
      </c>
      <c r="H219">
        <f>ROUND(Latency_Based_Targeting18[[#This Row],[Average time to convert in Days]]-Latency_Based_Targeting18[[#This Row],[Improved Time to convert]],2)</f>
        <v>2.02</v>
      </c>
      <c r="I219" s="47">
        <f>Latency_Based_Targeting18[[#This Row],[Time Saved]]/Latency_Based_Targeting18[[#This Row],[Average time to convert in Days]]</f>
        <v>0.34948096885813146</v>
      </c>
    </row>
    <row r="220" spans="1:9">
      <c r="A220">
        <v>434025</v>
      </c>
      <c r="B220">
        <v>1951907</v>
      </c>
      <c r="C220">
        <v>9416.4666670000006</v>
      </c>
      <c r="D220" t="str">
        <f t="shared" si="13"/>
        <v>Very High</v>
      </c>
      <c r="E220">
        <f t="shared" si="12"/>
        <v>300</v>
      </c>
      <c r="F220">
        <f t="shared" si="14"/>
        <v>6.54</v>
      </c>
      <c r="G220">
        <f t="shared" si="15"/>
        <v>4.2510000000000003</v>
      </c>
      <c r="H220">
        <f>ROUND(Latency_Based_Targeting18[[#This Row],[Average time to convert in Days]]-Latency_Based_Targeting18[[#This Row],[Improved Time to convert]],2)</f>
        <v>2.29</v>
      </c>
      <c r="I220" s="47">
        <f>Latency_Based_Targeting18[[#This Row],[Time Saved]]/Latency_Based_Targeting18[[#This Row],[Average time to convert in Days]]</f>
        <v>0.35015290519877679</v>
      </c>
    </row>
    <row r="221" spans="1:9">
      <c r="A221">
        <v>773117</v>
      </c>
      <c r="B221">
        <v>2030285</v>
      </c>
      <c r="C221">
        <v>4270.6166670000002</v>
      </c>
      <c r="D221" t="str">
        <f t="shared" si="13"/>
        <v>Medium</v>
      </c>
      <c r="E221">
        <f t="shared" si="12"/>
        <v>100</v>
      </c>
      <c r="F221">
        <f t="shared" si="14"/>
        <v>2.97</v>
      </c>
      <c r="G221">
        <f t="shared" si="15"/>
        <v>2.97</v>
      </c>
      <c r="H221">
        <f>ROUND(Latency_Based_Targeting18[[#This Row],[Average time to convert in Days]]-Latency_Based_Targeting18[[#This Row],[Improved Time to convert]],2)</f>
        <v>0</v>
      </c>
      <c r="I221" s="47">
        <f>Latency_Based_Targeting18[[#This Row],[Time Saved]]/Latency_Based_Targeting18[[#This Row],[Average time to convert in Days]]</f>
        <v>0</v>
      </c>
    </row>
    <row r="222" spans="1:9">
      <c r="A222">
        <v>456952</v>
      </c>
      <c r="B222">
        <v>2065862</v>
      </c>
      <c r="C222">
        <v>4249.55</v>
      </c>
      <c r="D222" t="str">
        <f t="shared" si="13"/>
        <v>Medium</v>
      </c>
      <c r="E222">
        <f t="shared" si="12"/>
        <v>100</v>
      </c>
      <c r="F222">
        <f t="shared" si="14"/>
        <v>2.95</v>
      </c>
      <c r="G222">
        <f t="shared" si="15"/>
        <v>2.95</v>
      </c>
      <c r="H222">
        <f>ROUND(Latency_Based_Targeting18[[#This Row],[Average time to convert in Days]]-Latency_Based_Targeting18[[#This Row],[Improved Time to convert]],2)</f>
        <v>0</v>
      </c>
      <c r="I222" s="47">
        <f>Latency_Based_Targeting18[[#This Row],[Time Saved]]/Latency_Based_Targeting18[[#This Row],[Average time to convert in Days]]</f>
        <v>0</v>
      </c>
    </row>
    <row r="223" spans="1:9">
      <c r="A223">
        <v>516550</v>
      </c>
      <c r="B223">
        <v>2167765</v>
      </c>
      <c r="C223">
        <v>4403.4666669999997</v>
      </c>
      <c r="D223" t="str">
        <f t="shared" si="13"/>
        <v>Medium</v>
      </c>
      <c r="E223">
        <f t="shared" si="12"/>
        <v>100</v>
      </c>
      <c r="F223">
        <f t="shared" si="14"/>
        <v>3.06</v>
      </c>
      <c r="G223">
        <f t="shared" si="15"/>
        <v>3.06</v>
      </c>
      <c r="H223">
        <f>ROUND(Latency_Based_Targeting18[[#This Row],[Average time to convert in Days]]-Latency_Based_Targeting18[[#This Row],[Improved Time to convert]],2)</f>
        <v>0</v>
      </c>
      <c r="I223" s="47">
        <f>Latency_Based_Targeting18[[#This Row],[Time Saved]]/Latency_Based_Targeting18[[#This Row],[Average time to convert in Days]]</f>
        <v>0</v>
      </c>
    </row>
    <row r="224" spans="1:9">
      <c r="A224">
        <v>507568</v>
      </c>
      <c r="B224">
        <v>2284378</v>
      </c>
      <c r="C224">
        <v>4352.95</v>
      </c>
      <c r="D224" t="str">
        <f t="shared" si="13"/>
        <v>Medium</v>
      </c>
      <c r="E224">
        <f t="shared" si="12"/>
        <v>100</v>
      </c>
      <c r="F224">
        <f t="shared" si="14"/>
        <v>3.02</v>
      </c>
      <c r="G224">
        <f t="shared" si="15"/>
        <v>3.02</v>
      </c>
      <c r="H224">
        <f>ROUND(Latency_Based_Targeting18[[#This Row],[Average time to convert in Days]]-Latency_Based_Targeting18[[#This Row],[Improved Time to convert]],2)</f>
        <v>0</v>
      </c>
      <c r="I224" s="47">
        <f>Latency_Based_Targeting18[[#This Row],[Time Saved]]/Latency_Based_Targeting18[[#This Row],[Average time to convert in Days]]</f>
        <v>0</v>
      </c>
    </row>
    <row r="225" spans="1:9">
      <c r="A225">
        <v>638677</v>
      </c>
      <c r="B225">
        <v>2313884</v>
      </c>
      <c r="C225">
        <v>6291.2333330000001</v>
      </c>
      <c r="D225" t="str">
        <f t="shared" si="13"/>
        <v>High</v>
      </c>
      <c r="E225">
        <f t="shared" si="12"/>
        <v>200</v>
      </c>
      <c r="F225">
        <f t="shared" si="14"/>
        <v>4.37</v>
      </c>
      <c r="G225">
        <f t="shared" si="15"/>
        <v>3.0589999999999997</v>
      </c>
      <c r="H225">
        <f>ROUND(Latency_Based_Targeting18[[#This Row],[Average time to convert in Days]]-Latency_Based_Targeting18[[#This Row],[Improved Time to convert]],2)</f>
        <v>1.31</v>
      </c>
      <c r="I225" s="47">
        <f>Latency_Based_Targeting18[[#This Row],[Time Saved]]/Latency_Based_Targeting18[[#This Row],[Average time to convert in Days]]</f>
        <v>0.2997711670480549</v>
      </c>
    </row>
    <row r="226" spans="1:9">
      <c r="A226">
        <v>528311</v>
      </c>
      <c r="B226">
        <v>2596902</v>
      </c>
      <c r="C226">
        <v>5476.95</v>
      </c>
      <c r="D226" t="str">
        <f t="shared" si="13"/>
        <v>High</v>
      </c>
      <c r="E226">
        <f t="shared" si="12"/>
        <v>200</v>
      </c>
      <c r="F226">
        <f t="shared" si="14"/>
        <v>3.8</v>
      </c>
      <c r="G226">
        <f t="shared" si="15"/>
        <v>2.6599999999999997</v>
      </c>
      <c r="H226">
        <f>ROUND(Latency_Based_Targeting18[[#This Row],[Average time to convert in Days]]-Latency_Based_Targeting18[[#This Row],[Improved Time to convert]],2)</f>
        <v>1.1399999999999999</v>
      </c>
      <c r="I226" s="47">
        <f>Latency_Based_Targeting18[[#This Row],[Time Saved]]/Latency_Based_Targeting18[[#This Row],[Average time to convert in Days]]</f>
        <v>0.3</v>
      </c>
    </row>
    <row r="227" spans="1:9">
      <c r="A227">
        <v>996178</v>
      </c>
      <c r="B227">
        <v>2697073</v>
      </c>
      <c r="C227">
        <v>3930.7666669999999</v>
      </c>
      <c r="D227" t="str">
        <f t="shared" si="13"/>
        <v>Medium</v>
      </c>
      <c r="E227">
        <f t="shared" si="12"/>
        <v>100</v>
      </c>
      <c r="F227">
        <f t="shared" si="14"/>
        <v>2.73</v>
      </c>
      <c r="G227">
        <f t="shared" si="15"/>
        <v>2.73</v>
      </c>
      <c r="H227">
        <f>ROUND(Latency_Based_Targeting18[[#This Row],[Average time to convert in Days]]-Latency_Based_Targeting18[[#This Row],[Improved Time to convert]],2)</f>
        <v>0</v>
      </c>
      <c r="I227" s="47">
        <f>Latency_Based_Targeting18[[#This Row],[Time Saved]]/Latency_Based_Targeting18[[#This Row],[Average time to convert in Days]]</f>
        <v>0</v>
      </c>
    </row>
    <row r="228" spans="1:9">
      <c r="A228">
        <v>319971</v>
      </c>
      <c r="B228">
        <v>2768072</v>
      </c>
      <c r="C228">
        <v>3870.9666670000001</v>
      </c>
      <c r="D228" t="str">
        <f t="shared" si="13"/>
        <v>Medium</v>
      </c>
      <c r="E228">
        <f t="shared" si="12"/>
        <v>100</v>
      </c>
      <c r="F228">
        <f t="shared" si="14"/>
        <v>2.69</v>
      </c>
      <c r="G228">
        <f t="shared" si="15"/>
        <v>2.69</v>
      </c>
      <c r="H228">
        <f>ROUND(Latency_Based_Targeting18[[#This Row],[Average time to convert in Days]]-Latency_Based_Targeting18[[#This Row],[Improved Time to convert]],2)</f>
        <v>0</v>
      </c>
      <c r="I228" s="47">
        <f>Latency_Based_Targeting18[[#This Row],[Time Saved]]/Latency_Based_Targeting18[[#This Row],[Average time to convert in Days]]</f>
        <v>0</v>
      </c>
    </row>
    <row r="229" spans="1:9">
      <c r="A229">
        <v>740249</v>
      </c>
      <c r="B229">
        <v>2842268</v>
      </c>
      <c r="C229">
        <v>3735.7666669999999</v>
      </c>
      <c r="D229" t="str">
        <f t="shared" si="13"/>
        <v>Medium</v>
      </c>
      <c r="E229">
        <f t="shared" si="12"/>
        <v>100</v>
      </c>
      <c r="F229">
        <f t="shared" si="14"/>
        <v>2.59</v>
      </c>
      <c r="G229">
        <f t="shared" si="15"/>
        <v>2.59</v>
      </c>
      <c r="H229">
        <f>ROUND(Latency_Based_Targeting18[[#This Row],[Average time to convert in Days]]-Latency_Based_Targeting18[[#This Row],[Improved Time to convert]],2)</f>
        <v>0</v>
      </c>
      <c r="I229" s="47">
        <f>Latency_Based_Targeting18[[#This Row],[Time Saved]]/Latency_Based_Targeting18[[#This Row],[Average time to convert in Days]]</f>
        <v>0</v>
      </c>
    </row>
    <row r="230" spans="1:9">
      <c r="A230">
        <v>925190</v>
      </c>
      <c r="B230">
        <v>2859421</v>
      </c>
      <c r="C230">
        <v>8989</v>
      </c>
      <c r="D230" t="str">
        <f t="shared" si="13"/>
        <v>Very High</v>
      </c>
      <c r="E230">
        <f t="shared" si="12"/>
        <v>300</v>
      </c>
      <c r="F230">
        <f t="shared" si="14"/>
        <v>6.24</v>
      </c>
      <c r="G230">
        <f t="shared" si="15"/>
        <v>4.056</v>
      </c>
      <c r="H230">
        <f>ROUND(Latency_Based_Targeting18[[#This Row],[Average time to convert in Days]]-Latency_Based_Targeting18[[#This Row],[Improved Time to convert]],2)</f>
        <v>2.1800000000000002</v>
      </c>
      <c r="I230" s="47">
        <f>Latency_Based_Targeting18[[#This Row],[Time Saved]]/Latency_Based_Targeting18[[#This Row],[Average time to convert in Days]]</f>
        <v>0.34935897435897439</v>
      </c>
    </row>
    <row r="231" spans="1:9">
      <c r="A231">
        <v>213133</v>
      </c>
      <c r="B231">
        <v>3033663</v>
      </c>
      <c r="C231">
        <v>4469.9333329999999</v>
      </c>
      <c r="D231" t="str">
        <f t="shared" si="13"/>
        <v>Medium</v>
      </c>
      <c r="E231">
        <f t="shared" si="12"/>
        <v>100</v>
      </c>
      <c r="F231">
        <f t="shared" si="14"/>
        <v>3.1</v>
      </c>
      <c r="G231">
        <f t="shared" si="15"/>
        <v>3.1</v>
      </c>
      <c r="H231">
        <f>ROUND(Latency_Based_Targeting18[[#This Row],[Average time to convert in Days]]-Latency_Based_Targeting18[[#This Row],[Improved Time to convert]],2)</f>
        <v>0</v>
      </c>
      <c r="I231" s="47">
        <f>Latency_Based_Targeting18[[#This Row],[Time Saved]]/Latency_Based_Targeting18[[#This Row],[Average time to convert in Days]]</f>
        <v>0</v>
      </c>
    </row>
    <row r="232" spans="1:9">
      <c r="A232">
        <v>351817</v>
      </c>
      <c r="B232">
        <v>3078938</v>
      </c>
      <c r="C232">
        <v>4306.7</v>
      </c>
      <c r="D232" t="str">
        <f t="shared" si="13"/>
        <v>Medium</v>
      </c>
      <c r="E232">
        <f t="shared" si="12"/>
        <v>100</v>
      </c>
      <c r="F232">
        <f t="shared" si="14"/>
        <v>2.99</v>
      </c>
      <c r="G232">
        <f t="shared" si="15"/>
        <v>2.99</v>
      </c>
      <c r="H232">
        <f>ROUND(Latency_Based_Targeting18[[#This Row],[Average time to convert in Days]]-Latency_Based_Targeting18[[#This Row],[Improved Time to convert]],2)</f>
        <v>0</v>
      </c>
      <c r="I232" s="47">
        <f>Latency_Based_Targeting18[[#This Row],[Time Saved]]/Latency_Based_Targeting18[[#This Row],[Average time to convert in Days]]</f>
        <v>0</v>
      </c>
    </row>
    <row r="233" spans="1:9">
      <c r="A233">
        <v>82961</v>
      </c>
      <c r="B233">
        <v>3157301</v>
      </c>
      <c r="C233">
        <v>8533.7666669999999</v>
      </c>
      <c r="D233" t="str">
        <f t="shared" si="13"/>
        <v>Very High</v>
      </c>
      <c r="E233">
        <f t="shared" si="12"/>
        <v>300</v>
      </c>
      <c r="F233">
        <f t="shared" si="14"/>
        <v>5.93</v>
      </c>
      <c r="G233">
        <f t="shared" si="15"/>
        <v>3.8544999999999998</v>
      </c>
      <c r="H233">
        <f>ROUND(Latency_Based_Targeting18[[#This Row],[Average time to convert in Days]]-Latency_Based_Targeting18[[#This Row],[Improved Time to convert]],2)</f>
        <v>2.08</v>
      </c>
      <c r="I233" s="47">
        <f>Latency_Based_Targeting18[[#This Row],[Time Saved]]/Latency_Based_Targeting18[[#This Row],[Average time to convert in Days]]</f>
        <v>0.35075885328836426</v>
      </c>
    </row>
    <row r="234" spans="1:9">
      <c r="A234">
        <v>786202</v>
      </c>
      <c r="B234">
        <v>3332880</v>
      </c>
      <c r="C234">
        <v>4439.4333329999999</v>
      </c>
      <c r="D234" t="str">
        <f t="shared" si="13"/>
        <v>Medium</v>
      </c>
      <c r="E234">
        <f t="shared" si="12"/>
        <v>100</v>
      </c>
      <c r="F234">
        <f t="shared" si="14"/>
        <v>3.08</v>
      </c>
      <c r="G234">
        <f t="shared" si="15"/>
        <v>3.08</v>
      </c>
      <c r="H234">
        <f>ROUND(Latency_Based_Targeting18[[#This Row],[Average time to convert in Days]]-Latency_Based_Targeting18[[#This Row],[Improved Time to convert]],2)</f>
        <v>0</v>
      </c>
      <c r="I234" s="47">
        <f>Latency_Based_Targeting18[[#This Row],[Time Saved]]/Latency_Based_Targeting18[[#This Row],[Average time to convert in Days]]</f>
        <v>0</v>
      </c>
    </row>
    <row r="235" spans="1:9">
      <c r="A235">
        <v>524026</v>
      </c>
      <c r="B235">
        <v>3347807</v>
      </c>
      <c r="C235">
        <v>6372.0666670000001</v>
      </c>
      <c r="D235" t="str">
        <f t="shared" si="13"/>
        <v>High</v>
      </c>
      <c r="E235">
        <f t="shared" si="12"/>
        <v>200</v>
      </c>
      <c r="F235">
        <f t="shared" si="14"/>
        <v>4.43</v>
      </c>
      <c r="G235">
        <f t="shared" si="15"/>
        <v>3.1009999999999995</v>
      </c>
      <c r="H235">
        <f>ROUND(Latency_Based_Targeting18[[#This Row],[Average time to convert in Days]]-Latency_Based_Targeting18[[#This Row],[Improved Time to convert]],2)</f>
        <v>1.33</v>
      </c>
      <c r="I235" s="47">
        <f>Latency_Based_Targeting18[[#This Row],[Time Saved]]/Latency_Based_Targeting18[[#This Row],[Average time to convert in Days]]</f>
        <v>0.30022573363431154</v>
      </c>
    </row>
    <row r="236" spans="1:9">
      <c r="A236">
        <v>25716</v>
      </c>
      <c r="B236">
        <v>3488746</v>
      </c>
      <c r="C236">
        <v>7128.3666670000002</v>
      </c>
      <c r="D236" t="str">
        <f t="shared" si="13"/>
        <v>High</v>
      </c>
      <c r="E236">
        <f t="shared" si="12"/>
        <v>200</v>
      </c>
      <c r="F236">
        <f t="shared" si="14"/>
        <v>4.95</v>
      </c>
      <c r="G236">
        <f t="shared" si="15"/>
        <v>3.4649999999999999</v>
      </c>
      <c r="H236">
        <f>ROUND(Latency_Based_Targeting18[[#This Row],[Average time to convert in Days]]-Latency_Based_Targeting18[[#This Row],[Improved Time to convert]],2)</f>
        <v>1.49</v>
      </c>
      <c r="I236" s="47">
        <f>Latency_Based_Targeting18[[#This Row],[Time Saved]]/Latency_Based_Targeting18[[#This Row],[Average time to convert in Days]]</f>
        <v>0.30101010101010101</v>
      </c>
    </row>
    <row r="237" spans="1:9">
      <c r="A237">
        <v>657510</v>
      </c>
      <c r="B237">
        <v>3821191</v>
      </c>
      <c r="C237">
        <v>6127.4666669999997</v>
      </c>
      <c r="D237" t="str">
        <f t="shared" si="13"/>
        <v>High</v>
      </c>
      <c r="E237">
        <f t="shared" si="12"/>
        <v>200</v>
      </c>
      <c r="F237">
        <f t="shared" si="14"/>
        <v>4.26</v>
      </c>
      <c r="G237">
        <f t="shared" si="15"/>
        <v>2.9819999999999998</v>
      </c>
      <c r="H237">
        <f>ROUND(Latency_Based_Targeting18[[#This Row],[Average time to convert in Days]]-Latency_Based_Targeting18[[#This Row],[Improved Time to convert]],2)</f>
        <v>1.28</v>
      </c>
      <c r="I237" s="47">
        <f>Latency_Based_Targeting18[[#This Row],[Time Saved]]/Latency_Based_Targeting18[[#This Row],[Average time to convert in Days]]</f>
        <v>0.30046948356807512</v>
      </c>
    </row>
    <row r="238" spans="1:9">
      <c r="A238">
        <v>898213</v>
      </c>
      <c r="B238">
        <v>3832805</v>
      </c>
      <c r="C238">
        <v>8721.4333330000009</v>
      </c>
      <c r="D238" t="str">
        <f t="shared" si="13"/>
        <v>Very High</v>
      </c>
      <c r="E238">
        <f t="shared" si="12"/>
        <v>300</v>
      </c>
      <c r="F238">
        <f t="shared" si="14"/>
        <v>6.06</v>
      </c>
      <c r="G238">
        <f t="shared" si="15"/>
        <v>3.9390000000000001</v>
      </c>
      <c r="H238">
        <f>ROUND(Latency_Based_Targeting18[[#This Row],[Average time to convert in Days]]-Latency_Based_Targeting18[[#This Row],[Improved Time to convert]],2)</f>
        <v>2.12</v>
      </c>
      <c r="I238" s="47">
        <f>Latency_Based_Targeting18[[#This Row],[Time Saved]]/Latency_Based_Targeting18[[#This Row],[Average time to convert in Days]]</f>
        <v>0.34983498349834985</v>
      </c>
    </row>
    <row r="239" spans="1:9">
      <c r="A239">
        <v>135149</v>
      </c>
      <c r="B239">
        <v>3983173</v>
      </c>
      <c r="C239">
        <v>6010.8166670000001</v>
      </c>
      <c r="D239" t="str">
        <f t="shared" si="13"/>
        <v>High</v>
      </c>
      <c r="E239">
        <f t="shared" si="12"/>
        <v>200</v>
      </c>
      <c r="F239">
        <f t="shared" si="14"/>
        <v>4.17</v>
      </c>
      <c r="G239">
        <f t="shared" si="15"/>
        <v>2.9189999999999996</v>
      </c>
      <c r="H239">
        <f>ROUND(Latency_Based_Targeting18[[#This Row],[Average time to convert in Days]]-Latency_Based_Targeting18[[#This Row],[Improved Time to convert]],2)</f>
        <v>1.25</v>
      </c>
      <c r="I239" s="47">
        <f>Latency_Based_Targeting18[[#This Row],[Time Saved]]/Latency_Based_Targeting18[[#This Row],[Average time to convert in Days]]</f>
        <v>0.29976019184652281</v>
      </c>
    </row>
    <row r="240" spans="1:9">
      <c r="A240">
        <v>667540</v>
      </c>
      <c r="B240">
        <v>4104826</v>
      </c>
      <c r="C240">
        <v>10085.583329999999</v>
      </c>
      <c r="D240" t="str">
        <f t="shared" si="13"/>
        <v>Very High</v>
      </c>
      <c r="E240">
        <f t="shared" si="12"/>
        <v>300</v>
      </c>
      <c r="F240">
        <f t="shared" si="14"/>
        <v>7</v>
      </c>
      <c r="G240">
        <f t="shared" si="15"/>
        <v>4.55</v>
      </c>
      <c r="H240">
        <f>ROUND(Latency_Based_Targeting18[[#This Row],[Average time to convert in Days]]-Latency_Based_Targeting18[[#This Row],[Improved Time to convert]],2)</f>
        <v>2.4500000000000002</v>
      </c>
      <c r="I240" s="47">
        <f>Latency_Based_Targeting18[[#This Row],[Time Saved]]/Latency_Based_Targeting18[[#This Row],[Average time to convert in Days]]</f>
        <v>0.35000000000000003</v>
      </c>
    </row>
    <row r="241" spans="1:9">
      <c r="A241">
        <v>478552</v>
      </c>
      <c r="B241">
        <v>4258680</v>
      </c>
      <c r="C241">
        <v>7645.45</v>
      </c>
      <c r="D241" t="str">
        <f t="shared" si="13"/>
        <v>High</v>
      </c>
      <c r="E241">
        <f t="shared" si="12"/>
        <v>200</v>
      </c>
      <c r="F241">
        <f t="shared" si="14"/>
        <v>5.31</v>
      </c>
      <c r="G241">
        <f t="shared" si="15"/>
        <v>3.7169999999999996</v>
      </c>
      <c r="H241">
        <f>ROUND(Latency_Based_Targeting18[[#This Row],[Average time to convert in Days]]-Latency_Based_Targeting18[[#This Row],[Improved Time to convert]],2)</f>
        <v>1.59</v>
      </c>
      <c r="I241" s="47">
        <f>Latency_Based_Targeting18[[#This Row],[Time Saved]]/Latency_Based_Targeting18[[#This Row],[Average time to convert in Days]]</f>
        <v>0.29943502824858759</v>
      </c>
    </row>
    <row r="242" spans="1:9">
      <c r="A242">
        <v>776949</v>
      </c>
      <c r="B242">
        <v>4478783</v>
      </c>
      <c r="C242">
        <v>5314.75</v>
      </c>
      <c r="D242" t="str">
        <f t="shared" si="13"/>
        <v>High</v>
      </c>
      <c r="E242">
        <f t="shared" si="12"/>
        <v>200</v>
      </c>
      <c r="F242">
        <f t="shared" si="14"/>
        <v>3.69</v>
      </c>
      <c r="G242">
        <f t="shared" si="15"/>
        <v>2.5829999999999997</v>
      </c>
      <c r="H242">
        <f>ROUND(Latency_Based_Targeting18[[#This Row],[Average time to convert in Days]]-Latency_Based_Targeting18[[#This Row],[Improved Time to convert]],2)</f>
        <v>1.1100000000000001</v>
      </c>
      <c r="I242" s="47">
        <f>Latency_Based_Targeting18[[#This Row],[Time Saved]]/Latency_Based_Targeting18[[#This Row],[Average time to convert in Days]]</f>
        <v>0.30081300813008133</v>
      </c>
    </row>
    <row r="243" spans="1:9">
      <c r="A243">
        <v>794219</v>
      </c>
      <c r="B243">
        <v>4514302</v>
      </c>
      <c r="C243">
        <v>5000.6499999999996</v>
      </c>
      <c r="D243" t="str">
        <f t="shared" si="13"/>
        <v>Medium</v>
      </c>
      <c r="E243">
        <f t="shared" si="12"/>
        <v>100</v>
      </c>
      <c r="F243">
        <f t="shared" si="14"/>
        <v>3.47</v>
      </c>
      <c r="G243">
        <f t="shared" si="15"/>
        <v>3.47</v>
      </c>
      <c r="H243">
        <f>ROUND(Latency_Based_Targeting18[[#This Row],[Average time to convert in Days]]-Latency_Based_Targeting18[[#This Row],[Improved Time to convert]],2)</f>
        <v>0</v>
      </c>
      <c r="I243" s="47">
        <f>Latency_Based_Targeting18[[#This Row],[Time Saved]]/Latency_Based_Targeting18[[#This Row],[Average time to convert in Days]]</f>
        <v>0</v>
      </c>
    </row>
    <row r="244" spans="1:9">
      <c r="A244">
        <v>952080</v>
      </c>
      <c r="B244">
        <v>4601011</v>
      </c>
      <c r="C244">
        <v>9056.6666669999995</v>
      </c>
      <c r="D244" t="str">
        <f t="shared" si="13"/>
        <v>Very High</v>
      </c>
      <c r="E244">
        <f t="shared" si="12"/>
        <v>300</v>
      </c>
      <c r="F244">
        <f t="shared" si="14"/>
        <v>6.29</v>
      </c>
      <c r="G244">
        <f t="shared" si="15"/>
        <v>4.0884999999999998</v>
      </c>
      <c r="H244">
        <f>ROUND(Latency_Based_Targeting18[[#This Row],[Average time to convert in Days]]-Latency_Based_Targeting18[[#This Row],[Improved Time to convert]],2)</f>
        <v>2.2000000000000002</v>
      </c>
      <c r="I244" s="47">
        <f>Latency_Based_Targeting18[[#This Row],[Time Saved]]/Latency_Based_Targeting18[[#This Row],[Average time to convert in Days]]</f>
        <v>0.34976152623211448</v>
      </c>
    </row>
    <row r="245" spans="1:9">
      <c r="A245">
        <v>352496</v>
      </c>
      <c r="B245">
        <v>4645994</v>
      </c>
      <c r="C245">
        <v>5824.6</v>
      </c>
      <c r="D245" t="str">
        <f t="shared" si="13"/>
        <v>High</v>
      </c>
      <c r="E245">
        <f t="shared" si="12"/>
        <v>200</v>
      </c>
      <c r="F245">
        <f t="shared" si="14"/>
        <v>4.04</v>
      </c>
      <c r="G245">
        <f t="shared" si="15"/>
        <v>2.8279999999999998</v>
      </c>
      <c r="H245">
        <f>ROUND(Latency_Based_Targeting18[[#This Row],[Average time to convert in Days]]-Latency_Based_Targeting18[[#This Row],[Improved Time to convert]],2)</f>
        <v>1.21</v>
      </c>
      <c r="I245" s="47">
        <f>Latency_Based_Targeting18[[#This Row],[Time Saved]]/Latency_Based_Targeting18[[#This Row],[Average time to convert in Days]]</f>
        <v>0.29950495049504949</v>
      </c>
    </row>
    <row r="246" spans="1:9">
      <c r="A246">
        <v>344510</v>
      </c>
      <c r="B246">
        <v>4800088</v>
      </c>
      <c r="C246">
        <v>6345.8666670000002</v>
      </c>
      <c r="D246" t="str">
        <f t="shared" si="13"/>
        <v>High</v>
      </c>
      <c r="E246">
        <f t="shared" si="12"/>
        <v>200</v>
      </c>
      <c r="F246">
        <f t="shared" si="14"/>
        <v>4.41</v>
      </c>
      <c r="G246">
        <f t="shared" si="15"/>
        <v>3.0869999999999997</v>
      </c>
      <c r="H246">
        <f>ROUND(Latency_Based_Targeting18[[#This Row],[Average time to convert in Days]]-Latency_Based_Targeting18[[#This Row],[Improved Time to convert]],2)</f>
        <v>1.32</v>
      </c>
      <c r="I246" s="47">
        <f>Latency_Based_Targeting18[[#This Row],[Time Saved]]/Latency_Based_Targeting18[[#This Row],[Average time to convert in Days]]</f>
        <v>0.29931972789115646</v>
      </c>
    </row>
    <row r="247" spans="1:9">
      <c r="A247">
        <v>329948</v>
      </c>
      <c r="B247">
        <v>4943898</v>
      </c>
      <c r="C247">
        <v>9935.0166669999999</v>
      </c>
      <c r="D247" t="str">
        <f t="shared" si="13"/>
        <v>Very High</v>
      </c>
      <c r="E247">
        <f t="shared" si="12"/>
        <v>300</v>
      </c>
      <c r="F247">
        <f t="shared" si="14"/>
        <v>6.9</v>
      </c>
      <c r="G247">
        <f t="shared" si="15"/>
        <v>4.4850000000000003</v>
      </c>
      <c r="H247">
        <f>ROUND(Latency_Based_Targeting18[[#This Row],[Average time to convert in Days]]-Latency_Based_Targeting18[[#This Row],[Improved Time to convert]],2)</f>
        <v>2.42</v>
      </c>
      <c r="I247" s="47">
        <f>Latency_Based_Targeting18[[#This Row],[Time Saved]]/Latency_Based_Targeting18[[#This Row],[Average time to convert in Days]]</f>
        <v>0.35072463768115941</v>
      </c>
    </row>
    <row r="248" spans="1:9">
      <c r="A248">
        <v>313987</v>
      </c>
      <c r="B248">
        <v>4960620</v>
      </c>
      <c r="C248">
        <v>8187.7</v>
      </c>
      <c r="D248" t="str">
        <f t="shared" si="13"/>
        <v>Very High</v>
      </c>
      <c r="E248">
        <f t="shared" si="12"/>
        <v>300</v>
      </c>
      <c r="F248">
        <f t="shared" si="14"/>
        <v>5.69</v>
      </c>
      <c r="G248">
        <f t="shared" si="15"/>
        <v>3.6985000000000006</v>
      </c>
      <c r="H248">
        <f>ROUND(Latency_Based_Targeting18[[#This Row],[Average time to convert in Days]]-Latency_Based_Targeting18[[#This Row],[Improved Time to convert]],2)</f>
        <v>1.99</v>
      </c>
      <c r="I248" s="47">
        <f>Latency_Based_Targeting18[[#This Row],[Time Saved]]/Latency_Based_Targeting18[[#This Row],[Average time to convert in Days]]</f>
        <v>0.34973637961335674</v>
      </c>
    </row>
    <row r="249" spans="1:9">
      <c r="A249">
        <v>857213</v>
      </c>
      <c r="B249">
        <v>4967119</v>
      </c>
      <c r="C249">
        <v>8204.4500000000007</v>
      </c>
      <c r="D249" t="str">
        <f t="shared" si="13"/>
        <v>Very High</v>
      </c>
      <c r="E249">
        <f t="shared" si="12"/>
        <v>300</v>
      </c>
      <c r="F249">
        <f t="shared" si="14"/>
        <v>5.7</v>
      </c>
      <c r="G249">
        <f t="shared" si="15"/>
        <v>3.7050000000000001</v>
      </c>
      <c r="H249">
        <f>ROUND(Latency_Based_Targeting18[[#This Row],[Average time to convert in Days]]-Latency_Based_Targeting18[[#This Row],[Improved Time to convert]],2)</f>
        <v>2</v>
      </c>
      <c r="I249" s="47">
        <f>Latency_Based_Targeting18[[#This Row],[Time Saved]]/Latency_Based_Targeting18[[#This Row],[Average time to convert in Days]]</f>
        <v>0.35087719298245612</v>
      </c>
    </row>
    <row r="250" spans="1:9">
      <c r="A250">
        <v>729576</v>
      </c>
      <c r="B250">
        <v>60802</v>
      </c>
      <c r="C250">
        <v>3922.3166670000001</v>
      </c>
      <c r="D250" t="str">
        <f t="shared" si="13"/>
        <v>Medium</v>
      </c>
      <c r="E250">
        <f t="shared" si="12"/>
        <v>100</v>
      </c>
      <c r="F250">
        <f t="shared" si="14"/>
        <v>2.72</v>
      </c>
      <c r="G250">
        <f t="shared" si="15"/>
        <v>2.72</v>
      </c>
      <c r="H250">
        <f>ROUND(Latency_Based_Targeting18[[#This Row],[Average time to convert in Days]]-Latency_Based_Targeting18[[#This Row],[Improved Time to convert]],2)</f>
        <v>0</v>
      </c>
      <c r="I250" s="47">
        <f>Latency_Based_Targeting18[[#This Row],[Time Saved]]/Latency_Based_Targeting18[[#This Row],[Average time to convert in Days]]</f>
        <v>0</v>
      </c>
    </row>
    <row r="251" spans="1:9">
      <c r="A251">
        <v>923091</v>
      </c>
      <c r="B251">
        <v>107214</v>
      </c>
      <c r="C251">
        <v>5791.4166670000004</v>
      </c>
      <c r="D251" t="str">
        <f t="shared" si="13"/>
        <v>High</v>
      </c>
      <c r="E251">
        <f t="shared" si="12"/>
        <v>200</v>
      </c>
      <c r="F251">
        <f t="shared" si="14"/>
        <v>4.0199999999999996</v>
      </c>
      <c r="G251">
        <f t="shared" si="15"/>
        <v>2.8139999999999996</v>
      </c>
      <c r="H251">
        <f>ROUND(Latency_Based_Targeting18[[#This Row],[Average time to convert in Days]]-Latency_Based_Targeting18[[#This Row],[Improved Time to convert]],2)</f>
        <v>1.21</v>
      </c>
      <c r="I251" s="47">
        <f>Latency_Based_Targeting18[[#This Row],[Time Saved]]/Latency_Based_Targeting18[[#This Row],[Average time to convert in Days]]</f>
        <v>0.30099502487562191</v>
      </c>
    </row>
    <row r="252" spans="1:9">
      <c r="A252">
        <v>275148</v>
      </c>
      <c r="B252">
        <v>191131</v>
      </c>
      <c r="C252">
        <v>4315.5166669999999</v>
      </c>
      <c r="D252" t="str">
        <f t="shared" si="13"/>
        <v>Medium</v>
      </c>
      <c r="E252">
        <f t="shared" si="12"/>
        <v>100</v>
      </c>
      <c r="F252">
        <f t="shared" si="14"/>
        <v>3</v>
      </c>
      <c r="G252">
        <f t="shared" si="15"/>
        <v>3</v>
      </c>
      <c r="H252">
        <f>ROUND(Latency_Based_Targeting18[[#This Row],[Average time to convert in Days]]-Latency_Based_Targeting18[[#This Row],[Improved Time to convert]],2)</f>
        <v>0</v>
      </c>
      <c r="I252" s="47">
        <f>Latency_Based_Targeting18[[#This Row],[Time Saved]]/Latency_Based_Targeting18[[#This Row],[Average time to convert in Days]]</f>
        <v>0</v>
      </c>
    </row>
    <row r="253" spans="1:9">
      <c r="A253">
        <v>498102</v>
      </c>
      <c r="B253">
        <v>468606</v>
      </c>
      <c r="C253">
        <v>5500.8</v>
      </c>
      <c r="D253" t="str">
        <f t="shared" si="13"/>
        <v>High</v>
      </c>
      <c r="E253">
        <f t="shared" si="12"/>
        <v>200</v>
      </c>
      <c r="F253">
        <f t="shared" si="14"/>
        <v>3.82</v>
      </c>
      <c r="G253">
        <f t="shared" si="15"/>
        <v>2.6739999999999999</v>
      </c>
      <c r="H253">
        <f>ROUND(Latency_Based_Targeting18[[#This Row],[Average time to convert in Days]]-Latency_Based_Targeting18[[#This Row],[Improved Time to convert]],2)</f>
        <v>1.1499999999999999</v>
      </c>
      <c r="I253" s="47">
        <f>Latency_Based_Targeting18[[#This Row],[Time Saved]]/Latency_Based_Targeting18[[#This Row],[Average time to convert in Days]]</f>
        <v>0.30104712041884818</v>
      </c>
    </row>
    <row r="254" spans="1:9">
      <c r="A254">
        <v>463835</v>
      </c>
      <c r="B254">
        <v>523042</v>
      </c>
      <c r="C254">
        <v>5731.1166670000002</v>
      </c>
      <c r="D254" t="str">
        <f t="shared" si="13"/>
        <v>High</v>
      </c>
      <c r="E254">
        <f t="shared" si="12"/>
        <v>200</v>
      </c>
      <c r="F254">
        <f t="shared" si="14"/>
        <v>3.98</v>
      </c>
      <c r="G254">
        <f t="shared" si="15"/>
        <v>2.786</v>
      </c>
      <c r="H254">
        <f>ROUND(Latency_Based_Targeting18[[#This Row],[Average time to convert in Days]]-Latency_Based_Targeting18[[#This Row],[Improved Time to convert]],2)</f>
        <v>1.19</v>
      </c>
      <c r="I254" s="47">
        <f>Latency_Based_Targeting18[[#This Row],[Time Saved]]/Latency_Based_Targeting18[[#This Row],[Average time to convert in Days]]</f>
        <v>0.29899497487437182</v>
      </c>
    </row>
    <row r="255" spans="1:9">
      <c r="A255">
        <v>613326</v>
      </c>
      <c r="B255">
        <v>683172</v>
      </c>
      <c r="C255">
        <v>5274.8333329999996</v>
      </c>
      <c r="D255" t="str">
        <f t="shared" si="13"/>
        <v>High</v>
      </c>
      <c r="E255">
        <f t="shared" si="12"/>
        <v>200</v>
      </c>
      <c r="F255">
        <f t="shared" si="14"/>
        <v>3.66</v>
      </c>
      <c r="G255">
        <f t="shared" si="15"/>
        <v>2.5619999999999998</v>
      </c>
      <c r="H255">
        <f>ROUND(Latency_Based_Targeting18[[#This Row],[Average time to convert in Days]]-Latency_Based_Targeting18[[#This Row],[Improved Time to convert]],2)</f>
        <v>1.1000000000000001</v>
      </c>
      <c r="I255" s="47">
        <f>Latency_Based_Targeting18[[#This Row],[Time Saved]]/Latency_Based_Targeting18[[#This Row],[Average time to convert in Days]]</f>
        <v>0.30054644808743169</v>
      </c>
    </row>
    <row r="256" spans="1:9">
      <c r="A256">
        <v>242155</v>
      </c>
      <c r="B256">
        <v>704801</v>
      </c>
      <c r="C256">
        <v>6462.1166670000002</v>
      </c>
      <c r="D256" t="str">
        <f t="shared" si="13"/>
        <v>High</v>
      </c>
      <c r="E256">
        <f t="shared" si="12"/>
        <v>200</v>
      </c>
      <c r="F256">
        <f t="shared" si="14"/>
        <v>4.49</v>
      </c>
      <c r="G256">
        <f t="shared" si="15"/>
        <v>3.1429999999999998</v>
      </c>
      <c r="H256">
        <f>ROUND(Latency_Based_Targeting18[[#This Row],[Average time to convert in Days]]-Latency_Based_Targeting18[[#This Row],[Improved Time to convert]],2)</f>
        <v>1.35</v>
      </c>
      <c r="I256" s="47">
        <f>Latency_Based_Targeting18[[#This Row],[Time Saved]]/Latency_Based_Targeting18[[#This Row],[Average time to convert in Days]]</f>
        <v>0.30066815144766146</v>
      </c>
    </row>
    <row r="257" spans="1:9">
      <c r="A257">
        <v>232030</v>
      </c>
      <c r="B257">
        <v>735378</v>
      </c>
      <c r="C257">
        <v>3915.6833329999999</v>
      </c>
      <c r="D257" t="str">
        <f t="shared" si="13"/>
        <v>Medium</v>
      </c>
      <c r="E257">
        <f t="shared" si="12"/>
        <v>100</v>
      </c>
      <c r="F257">
        <f t="shared" si="14"/>
        <v>2.72</v>
      </c>
      <c r="G257">
        <f t="shared" si="15"/>
        <v>2.72</v>
      </c>
      <c r="H257">
        <f>ROUND(Latency_Based_Targeting18[[#This Row],[Average time to convert in Days]]-Latency_Based_Targeting18[[#This Row],[Improved Time to convert]],2)</f>
        <v>0</v>
      </c>
      <c r="I257" s="47">
        <f>Latency_Based_Targeting18[[#This Row],[Time Saved]]/Latency_Based_Targeting18[[#This Row],[Average time to convert in Days]]</f>
        <v>0</v>
      </c>
    </row>
    <row r="258" spans="1:9">
      <c r="A258">
        <v>800859</v>
      </c>
      <c r="B258">
        <v>827611</v>
      </c>
      <c r="C258">
        <v>4473.55</v>
      </c>
      <c r="D258" t="str">
        <f t="shared" si="13"/>
        <v>Medium</v>
      </c>
      <c r="E258">
        <f t="shared" ref="E258:E321" si="16">IF(D258="Very High", 300, IF(D258="High", 200, IF(D258="Medium", 100, 50)))</f>
        <v>100</v>
      </c>
      <c r="F258">
        <f t="shared" si="14"/>
        <v>3.11</v>
      </c>
      <c r="G258">
        <f t="shared" si="15"/>
        <v>3.11</v>
      </c>
      <c r="H258">
        <f>ROUND(Latency_Based_Targeting18[[#This Row],[Average time to convert in Days]]-Latency_Based_Targeting18[[#This Row],[Improved Time to convert]],2)</f>
        <v>0</v>
      </c>
      <c r="I258" s="47">
        <f>Latency_Based_Targeting18[[#This Row],[Time Saved]]/Latency_Based_Targeting18[[#This Row],[Average time to convert in Days]]</f>
        <v>0</v>
      </c>
    </row>
    <row r="259" spans="1:9">
      <c r="A259">
        <v>353620</v>
      </c>
      <c r="B259">
        <v>890416</v>
      </c>
      <c r="C259">
        <v>3649.5</v>
      </c>
      <c r="D259" t="str">
        <f t="shared" ref="D259:D322" si="17">IF(F259&lt;=2.5, "Low",
 IF(F259&lt;=3.5, "Medium",
 IF(F259&lt;=5.5, "High", "Very High")))</f>
        <v>Medium</v>
      </c>
      <c r="E259">
        <f t="shared" si="16"/>
        <v>100</v>
      </c>
      <c r="F259">
        <f t="shared" ref="F259:F322" si="18">ROUND(C259/1440,2)</f>
        <v>2.5299999999999998</v>
      </c>
      <c r="G259">
        <f t="shared" ref="G259:G322" si="19">IF(D259="High", F259*0.7,
 IF(D259="Very High", F259*0.65,
 F259))</f>
        <v>2.5299999999999998</v>
      </c>
      <c r="H259">
        <f>ROUND(Latency_Based_Targeting18[[#This Row],[Average time to convert in Days]]-Latency_Based_Targeting18[[#This Row],[Improved Time to convert]],2)</f>
        <v>0</v>
      </c>
      <c r="I259" s="47">
        <f>Latency_Based_Targeting18[[#This Row],[Time Saved]]/Latency_Based_Targeting18[[#This Row],[Average time to convert in Days]]</f>
        <v>0</v>
      </c>
    </row>
    <row r="260" spans="1:9">
      <c r="A260">
        <v>60140</v>
      </c>
      <c r="B260">
        <v>1003203</v>
      </c>
      <c r="C260">
        <v>6355.85</v>
      </c>
      <c r="D260" t="str">
        <f t="shared" si="17"/>
        <v>High</v>
      </c>
      <c r="E260">
        <f t="shared" si="16"/>
        <v>200</v>
      </c>
      <c r="F260">
        <f t="shared" si="18"/>
        <v>4.41</v>
      </c>
      <c r="G260">
        <f t="shared" si="19"/>
        <v>3.0869999999999997</v>
      </c>
      <c r="H260">
        <f>ROUND(Latency_Based_Targeting18[[#This Row],[Average time to convert in Days]]-Latency_Based_Targeting18[[#This Row],[Improved Time to convert]],2)</f>
        <v>1.32</v>
      </c>
      <c r="I260" s="47">
        <f>Latency_Based_Targeting18[[#This Row],[Time Saved]]/Latency_Based_Targeting18[[#This Row],[Average time to convert in Days]]</f>
        <v>0.29931972789115646</v>
      </c>
    </row>
    <row r="261" spans="1:9">
      <c r="A261">
        <v>408569</v>
      </c>
      <c r="B261">
        <v>1037624</v>
      </c>
      <c r="C261">
        <v>8580.5</v>
      </c>
      <c r="D261" t="str">
        <f t="shared" si="17"/>
        <v>Very High</v>
      </c>
      <c r="E261">
        <f t="shared" si="16"/>
        <v>300</v>
      </c>
      <c r="F261">
        <f t="shared" si="18"/>
        <v>5.96</v>
      </c>
      <c r="G261">
        <f t="shared" si="19"/>
        <v>3.8740000000000001</v>
      </c>
      <c r="H261">
        <f>ROUND(Latency_Based_Targeting18[[#This Row],[Average time to convert in Days]]-Latency_Based_Targeting18[[#This Row],[Improved Time to convert]],2)</f>
        <v>2.09</v>
      </c>
      <c r="I261" s="47">
        <f>Latency_Based_Targeting18[[#This Row],[Time Saved]]/Latency_Based_Targeting18[[#This Row],[Average time to convert in Days]]</f>
        <v>0.35067114093959728</v>
      </c>
    </row>
    <row r="262" spans="1:9">
      <c r="A262">
        <v>713678</v>
      </c>
      <c r="B262">
        <v>1039472</v>
      </c>
      <c r="C262">
        <v>3894.8833330000002</v>
      </c>
      <c r="D262" t="str">
        <f t="shared" si="17"/>
        <v>Medium</v>
      </c>
      <c r="E262">
        <f t="shared" si="16"/>
        <v>100</v>
      </c>
      <c r="F262">
        <f t="shared" si="18"/>
        <v>2.7</v>
      </c>
      <c r="G262">
        <f t="shared" si="19"/>
        <v>2.7</v>
      </c>
      <c r="H262">
        <f>ROUND(Latency_Based_Targeting18[[#This Row],[Average time to convert in Days]]-Latency_Based_Targeting18[[#This Row],[Improved Time to convert]],2)</f>
        <v>0</v>
      </c>
      <c r="I262" s="47">
        <f>Latency_Based_Targeting18[[#This Row],[Time Saved]]/Latency_Based_Targeting18[[#This Row],[Average time to convert in Days]]</f>
        <v>0</v>
      </c>
    </row>
    <row r="263" spans="1:9">
      <c r="A263">
        <v>912208</v>
      </c>
      <c r="B263">
        <v>1150807</v>
      </c>
      <c r="C263">
        <v>5715.65</v>
      </c>
      <c r="D263" t="str">
        <f t="shared" si="17"/>
        <v>High</v>
      </c>
      <c r="E263">
        <f t="shared" si="16"/>
        <v>200</v>
      </c>
      <c r="F263">
        <f t="shared" si="18"/>
        <v>3.97</v>
      </c>
      <c r="G263">
        <f t="shared" si="19"/>
        <v>2.7789999999999999</v>
      </c>
      <c r="H263">
        <f>ROUND(Latency_Based_Targeting18[[#This Row],[Average time to convert in Days]]-Latency_Based_Targeting18[[#This Row],[Improved Time to convert]],2)</f>
        <v>1.19</v>
      </c>
      <c r="I263" s="47">
        <f>Latency_Based_Targeting18[[#This Row],[Time Saved]]/Latency_Based_Targeting18[[#This Row],[Average time to convert in Days]]</f>
        <v>0.2997481108312342</v>
      </c>
    </row>
    <row r="264" spans="1:9">
      <c r="A264">
        <v>609082</v>
      </c>
      <c r="B264">
        <v>1336957</v>
      </c>
      <c r="C264">
        <v>5793.7166669999997</v>
      </c>
      <c r="D264" t="str">
        <f t="shared" si="17"/>
        <v>High</v>
      </c>
      <c r="E264">
        <f t="shared" si="16"/>
        <v>200</v>
      </c>
      <c r="F264">
        <f t="shared" si="18"/>
        <v>4.0199999999999996</v>
      </c>
      <c r="G264">
        <f t="shared" si="19"/>
        <v>2.8139999999999996</v>
      </c>
      <c r="H264">
        <f>ROUND(Latency_Based_Targeting18[[#This Row],[Average time to convert in Days]]-Latency_Based_Targeting18[[#This Row],[Improved Time to convert]],2)</f>
        <v>1.21</v>
      </c>
      <c r="I264" s="47">
        <f>Latency_Based_Targeting18[[#This Row],[Time Saved]]/Latency_Based_Targeting18[[#This Row],[Average time to convert in Days]]</f>
        <v>0.30099502487562191</v>
      </c>
    </row>
    <row r="265" spans="1:9">
      <c r="A265">
        <v>105491</v>
      </c>
      <c r="B265">
        <v>1602185</v>
      </c>
      <c r="C265">
        <v>5644.0333330000003</v>
      </c>
      <c r="D265" t="str">
        <f t="shared" si="17"/>
        <v>High</v>
      </c>
      <c r="E265">
        <f t="shared" si="16"/>
        <v>200</v>
      </c>
      <c r="F265">
        <f t="shared" si="18"/>
        <v>3.92</v>
      </c>
      <c r="G265">
        <f t="shared" si="19"/>
        <v>2.7439999999999998</v>
      </c>
      <c r="H265">
        <f>ROUND(Latency_Based_Targeting18[[#This Row],[Average time to convert in Days]]-Latency_Based_Targeting18[[#This Row],[Improved Time to convert]],2)</f>
        <v>1.18</v>
      </c>
      <c r="I265" s="47">
        <f>Latency_Based_Targeting18[[#This Row],[Time Saved]]/Latency_Based_Targeting18[[#This Row],[Average time to convert in Days]]</f>
        <v>0.30102040816326531</v>
      </c>
    </row>
    <row r="266" spans="1:9">
      <c r="A266">
        <v>692850</v>
      </c>
      <c r="B266">
        <v>1681913</v>
      </c>
      <c r="C266">
        <v>3962.5666670000001</v>
      </c>
      <c r="D266" t="str">
        <f t="shared" si="17"/>
        <v>Medium</v>
      </c>
      <c r="E266">
        <f t="shared" si="16"/>
        <v>100</v>
      </c>
      <c r="F266">
        <f t="shared" si="18"/>
        <v>2.75</v>
      </c>
      <c r="G266">
        <f t="shared" si="19"/>
        <v>2.75</v>
      </c>
      <c r="H266">
        <f>ROUND(Latency_Based_Targeting18[[#This Row],[Average time to convert in Days]]-Latency_Based_Targeting18[[#This Row],[Improved Time to convert]],2)</f>
        <v>0</v>
      </c>
      <c r="I266" s="47">
        <f>Latency_Based_Targeting18[[#This Row],[Time Saved]]/Latency_Based_Targeting18[[#This Row],[Average time to convert in Days]]</f>
        <v>0</v>
      </c>
    </row>
    <row r="267" spans="1:9">
      <c r="A267">
        <v>905221</v>
      </c>
      <c r="B267">
        <v>1727100</v>
      </c>
      <c r="C267">
        <v>6409.6</v>
      </c>
      <c r="D267" t="str">
        <f t="shared" si="17"/>
        <v>High</v>
      </c>
      <c r="E267">
        <f t="shared" si="16"/>
        <v>200</v>
      </c>
      <c r="F267">
        <f t="shared" si="18"/>
        <v>4.45</v>
      </c>
      <c r="G267">
        <f t="shared" si="19"/>
        <v>3.1149999999999998</v>
      </c>
      <c r="H267">
        <f>ROUND(Latency_Based_Targeting18[[#This Row],[Average time to convert in Days]]-Latency_Based_Targeting18[[#This Row],[Improved Time to convert]],2)</f>
        <v>1.34</v>
      </c>
      <c r="I267" s="47">
        <f>Latency_Based_Targeting18[[#This Row],[Time Saved]]/Latency_Based_Targeting18[[#This Row],[Average time to convert in Days]]</f>
        <v>0.30112359550561796</v>
      </c>
    </row>
    <row r="268" spans="1:9">
      <c r="A268">
        <v>297294</v>
      </c>
      <c r="B268">
        <v>1853155</v>
      </c>
      <c r="C268">
        <v>5884.8</v>
      </c>
      <c r="D268" t="str">
        <f t="shared" si="17"/>
        <v>High</v>
      </c>
      <c r="E268">
        <f t="shared" si="16"/>
        <v>200</v>
      </c>
      <c r="F268">
        <f t="shared" si="18"/>
        <v>4.09</v>
      </c>
      <c r="G268">
        <f t="shared" si="19"/>
        <v>2.8629999999999995</v>
      </c>
      <c r="H268">
        <f>ROUND(Latency_Based_Targeting18[[#This Row],[Average time to convert in Days]]-Latency_Based_Targeting18[[#This Row],[Improved Time to convert]],2)</f>
        <v>1.23</v>
      </c>
      <c r="I268" s="47">
        <f>Latency_Based_Targeting18[[#This Row],[Time Saved]]/Latency_Based_Targeting18[[#This Row],[Average time to convert in Days]]</f>
        <v>0.30073349633251834</v>
      </c>
    </row>
    <row r="269" spans="1:9">
      <c r="A269">
        <v>289476</v>
      </c>
      <c r="B269">
        <v>1856518</v>
      </c>
      <c r="C269">
        <v>4597.6000000000004</v>
      </c>
      <c r="D269" t="str">
        <f t="shared" si="17"/>
        <v>Medium</v>
      </c>
      <c r="E269">
        <f t="shared" si="16"/>
        <v>100</v>
      </c>
      <c r="F269">
        <f t="shared" si="18"/>
        <v>3.19</v>
      </c>
      <c r="G269">
        <f t="shared" si="19"/>
        <v>3.19</v>
      </c>
      <c r="H269">
        <f>ROUND(Latency_Based_Targeting18[[#This Row],[Average time to convert in Days]]-Latency_Based_Targeting18[[#This Row],[Improved Time to convert]],2)</f>
        <v>0</v>
      </c>
      <c r="I269" s="47">
        <f>Latency_Based_Targeting18[[#This Row],[Time Saved]]/Latency_Based_Targeting18[[#This Row],[Average time to convert in Days]]</f>
        <v>0</v>
      </c>
    </row>
    <row r="270" spans="1:9">
      <c r="A270">
        <v>660805</v>
      </c>
      <c r="B270">
        <v>1866481</v>
      </c>
      <c r="C270">
        <v>3995.5333329999999</v>
      </c>
      <c r="D270" t="str">
        <f t="shared" si="17"/>
        <v>Medium</v>
      </c>
      <c r="E270">
        <f t="shared" si="16"/>
        <v>100</v>
      </c>
      <c r="F270">
        <f t="shared" si="18"/>
        <v>2.77</v>
      </c>
      <c r="G270">
        <f t="shared" si="19"/>
        <v>2.77</v>
      </c>
      <c r="H270">
        <f>ROUND(Latency_Based_Targeting18[[#This Row],[Average time to convert in Days]]-Latency_Based_Targeting18[[#This Row],[Improved Time to convert]],2)</f>
        <v>0</v>
      </c>
      <c r="I270" s="47">
        <f>Latency_Based_Targeting18[[#This Row],[Time Saved]]/Latency_Based_Targeting18[[#This Row],[Average time to convert in Days]]</f>
        <v>0</v>
      </c>
    </row>
    <row r="271" spans="1:9">
      <c r="A271">
        <v>607012</v>
      </c>
      <c r="B271">
        <v>1981693</v>
      </c>
      <c r="C271">
        <v>8507.7166670000006</v>
      </c>
      <c r="D271" t="str">
        <f t="shared" si="17"/>
        <v>Very High</v>
      </c>
      <c r="E271">
        <f t="shared" si="16"/>
        <v>300</v>
      </c>
      <c r="F271">
        <f t="shared" si="18"/>
        <v>5.91</v>
      </c>
      <c r="G271">
        <f t="shared" si="19"/>
        <v>3.8415000000000004</v>
      </c>
      <c r="H271">
        <f>ROUND(Latency_Based_Targeting18[[#This Row],[Average time to convert in Days]]-Latency_Based_Targeting18[[#This Row],[Improved Time to convert]],2)</f>
        <v>2.0699999999999998</v>
      </c>
      <c r="I271" s="47">
        <f>Latency_Based_Targeting18[[#This Row],[Time Saved]]/Latency_Based_Targeting18[[#This Row],[Average time to convert in Days]]</f>
        <v>0.35025380710659892</v>
      </c>
    </row>
    <row r="272" spans="1:9">
      <c r="A272">
        <v>929507</v>
      </c>
      <c r="B272">
        <v>2020628</v>
      </c>
      <c r="C272">
        <v>4276.6000000000004</v>
      </c>
      <c r="D272" t="str">
        <f t="shared" si="17"/>
        <v>Medium</v>
      </c>
      <c r="E272">
        <f t="shared" si="16"/>
        <v>100</v>
      </c>
      <c r="F272">
        <f t="shared" si="18"/>
        <v>2.97</v>
      </c>
      <c r="G272">
        <f t="shared" si="19"/>
        <v>2.97</v>
      </c>
      <c r="H272">
        <f>ROUND(Latency_Based_Targeting18[[#This Row],[Average time to convert in Days]]-Latency_Based_Targeting18[[#This Row],[Improved Time to convert]],2)</f>
        <v>0</v>
      </c>
      <c r="I272" s="47">
        <f>Latency_Based_Targeting18[[#This Row],[Time Saved]]/Latency_Based_Targeting18[[#This Row],[Average time to convert in Days]]</f>
        <v>0</v>
      </c>
    </row>
    <row r="273" spans="1:9">
      <c r="A273">
        <v>342113</v>
      </c>
      <c r="B273">
        <v>2058463</v>
      </c>
      <c r="C273">
        <v>4598.2333330000001</v>
      </c>
      <c r="D273" t="str">
        <f t="shared" si="17"/>
        <v>Medium</v>
      </c>
      <c r="E273">
        <f t="shared" si="16"/>
        <v>100</v>
      </c>
      <c r="F273">
        <f t="shared" si="18"/>
        <v>3.19</v>
      </c>
      <c r="G273">
        <f t="shared" si="19"/>
        <v>3.19</v>
      </c>
      <c r="H273">
        <f>ROUND(Latency_Based_Targeting18[[#This Row],[Average time to convert in Days]]-Latency_Based_Targeting18[[#This Row],[Improved Time to convert]],2)</f>
        <v>0</v>
      </c>
      <c r="I273" s="47">
        <f>Latency_Based_Targeting18[[#This Row],[Time Saved]]/Latency_Based_Targeting18[[#This Row],[Average time to convert in Days]]</f>
        <v>0</v>
      </c>
    </row>
    <row r="274" spans="1:9">
      <c r="A274">
        <v>468572</v>
      </c>
      <c r="B274">
        <v>2180984</v>
      </c>
      <c r="C274">
        <v>5106.5000016664999</v>
      </c>
      <c r="D274" t="str">
        <f t="shared" si="17"/>
        <v>High</v>
      </c>
      <c r="E274">
        <f t="shared" si="16"/>
        <v>200</v>
      </c>
      <c r="F274">
        <f t="shared" si="18"/>
        <v>3.55</v>
      </c>
      <c r="G274">
        <f t="shared" si="19"/>
        <v>2.4849999999999999</v>
      </c>
      <c r="H274">
        <f>ROUND(Latency_Based_Targeting18[[#This Row],[Average time to convert in Days]]-Latency_Based_Targeting18[[#This Row],[Improved Time to convert]],2)</f>
        <v>1.07</v>
      </c>
      <c r="I274" s="47">
        <f>Latency_Based_Targeting18[[#This Row],[Time Saved]]/Latency_Based_Targeting18[[#This Row],[Average time to convert in Days]]</f>
        <v>0.30140845070422539</v>
      </c>
    </row>
    <row r="275" spans="1:9">
      <c r="A275">
        <v>665488</v>
      </c>
      <c r="B275">
        <v>2369267</v>
      </c>
      <c r="C275">
        <v>4962.1499999999996</v>
      </c>
      <c r="D275" t="str">
        <f t="shared" si="17"/>
        <v>Medium</v>
      </c>
      <c r="E275">
        <f t="shared" si="16"/>
        <v>100</v>
      </c>
      <c r="F275">
        <f t="shared" si="18"/>
        <v>3.45</v>
      </c>
      <c r="G275">
        <f t="shared" si="19"/>
        <v>3.45</v>
      </c>
      <c r="H275">
        <f>ROUND(Latency_Based_Targeting18[[#This Row],[Average time to convert in Days]]-Latency_Based_Targeting18[[#This Row],[Improved Time to convert]],2)</f>
        <v>0</v>
      </c>
      <c r="I275" s="47">
        <f>Latency_Based_Targeting18[[#This Row],[Time Saved]]/Latency_Based_Targeting18[[#This Row],[Average time to convert in Days]]</f>
        <v>0</v>
      </c>
    </row>
    <row r="276" spans="1:9">
      <c r="A276">
        <v>851841</v>
      </c>
      <c r="B276">
        <v>2404889</v>
      </c>
      <c r="C276">
        <v>4582.8999999999996</v>
      </c>
      <c r="D276" t="str">
        <f t="shared" si="17"/>
        <v>Medium</v>
      </c>
      <c r="E276">
        <f t="shared" si="16"/>
        <v>100</v>
      </c>
      <c r="F276">
        <f t="shared" si="18"/>
        <v>3.18</v>
      </c>
      <c r="G276">
        <f t="shared" si="19"/>
        <v>3.18</v>
      </c>
      <c r="H276">
        <f>ROUND(Latency_Based_Targeting18[[#This Row],[Average time to convert in Days]]-Latency_Based_Targeting18[[#This Row],[Improved Time to convert]],2)</f>
        <v>0</v>
      </c>
      <c r="I276" s="47">
        <f>Latency_Based_Targeting18[[#This Row],[Time Saved]]/Latency_Based_Targeting18[[#This Row],[Average time to convert in Days]]</f>
        <v>0</v>
      </c>
    </row>
    <row r="277" spans="1:9">
      <c r="A277">
        <v>865905</v>
      </c>
      <c r="B277">
        <v>2629942</v>
      </c>
      <c r="C277">
        <v>5116.7666669999999</v>
      </c>
      <c r="D277" t="str">
        <f t="shared" si="17"/>
        <v>High</v>
      </c>
      <c r="E277">
        <f t="shared" si="16"/>
        <v>200</v>
      </c>
      <c r="F277">
        <f t="shared" si="18"/>
        <v>3.55</v>
      </c>
      <c r="G277">
        <f t="shared" si="19"/>
        <v>2.4849999999999999</v>
      </c>
      <c r="H277">
        <f>ROUND(Latency_Based_Targeting18[[#This Row],[Average time to convert in Days]]-Latency_Based_Targeting18[[#This Row],[Improved Time to convert]],2)</f>
        <v>1.07</v>
      </c>
      <c r="I277" s="47">
        <f>Latency_Based_Targeting18[[#This Row],[Time Saved]]/Latency_Based_Targeting18[[#This Row],[Average time to convert in Days]]</f>
        <v>0.30140845070422539</v>
      </c>
    </row>
    <row r="278" spans="1:9">
      <c r="A278">
        <v>317720</v>
      </c>
      <c r="B278">
        <v>2693518</v>
      </c>
      <c r="C278">
        <v>3880.666667</v>
      </c>
      <c r="D278" t="str">
        <f t="shared" si="17"/>
        <v>Medium</v>
      </c>
      <c r="E278">
        <f t="shared" si="16"/>
        <v>100</v>
      </c>
      <c r="F278">
        <f t="shared" si="18"/>
        <v>2.69</v>
      </c>
      <c r="G278">
        <f t="shared" si="19"/>
        <v>2.69</v>
      </c>
      <c r="H278">
        <f>ROUND(Latency_Based_Targeting18[[#This Row],[Average time to convert in Days]]-Latency_Based_Targeting18[[#This Row],[Improved Time to convert]],2)</f>
        <v>0</v>
      </c>
      <c r="I278" s="47">
        <f>Latency_Based_Targeting18[[#This Row],[Time Saved]]/Latency_Based_Targeting18[[#This Row],[Average time to convert in Days]]</f>
        <v>0</v>
      </c>
    </row>
    <row r="279" spans="1:9">
      <c r="A279">
        <v>898634</v>
      </c>
      <c r="B279">
        <v>2782189</v>
      </c>
      <c r="C279">
        <v>7983</v>
      </c>
      <c r="D279" t="str">
        <f t="shared" si="17"/>
        <v>Very High</v>
      </c>
      <c r="E279">
        <f t="shared" si="16"/>
        <v>300</v>
      </c>
      <c r="F279">
        <f t="shared" si="18"/>
        <v>5.54</v>
      </c>
      <c r="G279">
        <f t="shared" si="19"/>
        <v>3.601</v>
      </c>
      <c r="H279">
        <f>ROUND(Latency_Based_Targeting18[[#This Row],[Average time to convert in Days]]-Latency_Based_Targeting18[[#This Row],[Improved Time to convert]],2)</f>
        <v>1.94</v>
      </c>
      <c r="I279" s="47">
        <f>Latency_Based_Targeting18[[#This Row],[Time Saved]]/Latency_Based_Targeting18[[#This Row],[Average time to convert in Days]]</f>
        <v>0.35018050541516244</v>
      </c>
    </row>
    <row r="280" spans="1:9">
      <c r="A280">
        <v>667476</v>
      </c>
      <c r="B280">
        <v>2790543</v>
      </c>
      <c r="C280">
        <v>4317.2166669999997</v>
      </c>
      <c r="D280" t="str">
        <f t="shared" si="17"/>
        <v>Medium</v>
      </c>
      <c r="E280">
        <f t="shared" si="16"/>
        <v>100</v>
      </c>
      <c r="F280">
        <f t="shared" si="18"/>
        <v>3</v>
      </c>
      <c r="G280">
        <f t="shared" si="19"/>
        <v>3</v>
      </c>
      <c r="H280">
        <f>ROUND(Latency_Based_Targeting18[[#This Row],[Average time to convert in Days]]-Latency_Based_Targeting18[[#This Row],[Improved Time to convert]],2)</f>
        <v>0</v>
      </c>
      <c r="I280" s="47">
        <f>Latency_Based_Targeting18[[#This Row],[Time Saved]]/Latency_Based_Targeting18[[#This Row],[Average time to convert in Days]]</f>
        <v>0</v>
      </c>
    </row>
    <row r="281" spans="1:9">
      <c r="A281">
        <v>797668</v>
      </c>
      <c r="B281">
        <v>2843360</v>
      </c>
      <c r="C281">
        <v>4611.8916666650002</v>
      </c>
      <c r="D281" t="str">
        <f t="shared" si="17"/>
        <v>Medium</v>
      </c>
      <c r="E281">
        <f t="shared" si="16"/>
        <v>100</v>
      </c>
      <c r="F281">
        <f t="shared" si="18"/>
        <v>3.2</v>
      </c>
      <c r="G281">
        <f t="shared" si="19"/>
        <v>3.2</v>
      </c>
      <c r="H281">
        <f>ROUND(Latency_Based_Targeting18[[#This Row],[Average time to convert in Days]]-Latency_Based_Targeting18[[#This Row],[Improved Time to convert]],2)</f>
        <v>0</v>
      </c>
      <c r="I281" s="47">
        <f>Latency_Based_Targeting18[[#This Row],[Time Saved]]/Latency_Based_Targeting18[[#This Row],[Average time to convert in Days]]</f>
        <v>0</v>
      </c>
    </row>
    <row r="282" spans="1:9">
      <c r="A282">
        <v>190699</v>
      </c>
      <c r="B282">
        <v>3190441</v>
      </c>
      <c r="C282">
        <v>4945.1166670000002</v>
      </c>
      <c r="D282" t="str">
        <f t="shared" si="17"/>
        <v>Medium</v>
      </c>
      <c r="E282">
        <f t="shared" si="16"/>
        <v>100</v>
      </c>
      <c r="F282">
        <f t="shared" si="18"/>
        <v>3.43</v>
      </c>
      <c r="G282">
        <f t="shared" si="19"/>
        <v>3.43</v>
      </c>
      <c r="H282">
        <f>ROUND(Latency_Based_Targeting18[[#This Row],[Average time to convert in Days]]-Latency_Based_Targeting18[[#This Row],[Improved Time to convert]],2)</f>
        <v>0</v>
      </c>
      <c r="I282" s="47">
        <f>Latency_Based_Targeting18[[#This Row],[Time Saved]]/Latency_Based_Targeting18[[#This Row],[Average time to convert in Days]]</f>
        <v>0</v>
      </c>
    </row>
    <row r="283" spans="1:9">
      <c r="A283">
        <v>588005</v>
      </c>
      <c r="B283">
        <v>3452112</v>
      </c>
      <c r="C283">
        <v>6345.1666670000004</v>
      </c>
      <c r="D283" t="str">
        <f t="shared" si="17"/>
        <v>High</v>
      </c>
      <c r="E283">
        <f t="shared" si="16"/>
        <v>200</v>
      </c>
      <c r="F283">
        <f t="shared" si="18"/>
        <v>4.41</v>
      </c>
      <c r="G283">
        <f t="shared" si="19"/>
        <v>3.0869999999999997</v>
      </c>
      <c r="H283">
        <f>ROUND(Latency_Based_Targeting18[[#This Row],[Average time to convert in Days]]-Latency_Based_Targeting18[[#This Row],[Improved Time to convert]],2)</f>
        <v>1.32</v>
      </c>
      <c r="I283" s="47">
        <f>Latency_Based_Targeting18[[#This Row],[Time Saved]]/Latency_Based_Targeting18[[#This Row],[Average time to convert in Days]]</f>
        <v>0.29931972789115646</v>
      </c>
    </row>
    <row r="284" spans="1:9">
      <c r="A284">
        <v>265285</v>
      </c>
      <c r="B284">
        <v>3609468</v>
      </c>
      <c r="C284">
        <v>4437.3666670000002</v>
      </c>
      <c r="D284" t="str">
        <f t="shared" si="17"/>
        <v>Medium</v>
      </c>
      <c r="E284">
        <f t="shared" si="16"/>
        <v>100</v>
      </c>
      <c r="F284">
        <f t="shared" si="18"/>
        <v>3.08</v>
      </c>
      <c r="G284">
        <f t="shared" si="19"/>
        <v>3.08</v>
      </c>
      <c r="H284">
        <f>ROUND(Latency_Based_Targeting18[[#This Row],[Average time to convert in Days]]-Latency_Based_Targeting18[[#This Row],[Improved Time to convert]],2)</f>
        <v>0</v>
      </c>
      <c r="I284" s="47">
        <f>Latency_Based_Targeting18[[#This Row],[Time Saved]]/Latency_Based_Targeting18[[#This Row],[Average time to convert in Days]]</f>
        <v>0</v>
      </c>
    </row>
    <row r="285" spans="1:9">
      <c r="A285">
        <v>882104</v>
      </c>
      <c r="B285">
        <v>3643129</v>
      </c>
      <c r="C285">
        <v>3623.083333</v>
      </c>
      <c r="D285" t="str">
        <f t="shared" si="17"/>
        <v>Medium</v>
      </c>
      <c r="E285">
        <f t="shared" si="16"/>
        <v>100</v>
      </c>
      <c r="F285">
        <f t="shared" si="18"/>
        <v>2.52</v>
      </c>
      <c r="G285">
        <f t="shared" si="19"/>
        <v>2.52</v>
      </c>
      <c r="H285">
        <f>ROUND(Latency_Based_Targeting18[[#This Row],[Average time to convert in Days]]-Latency_Based_Targeting18[[#This Row],[Improved Time to convert]],2)</f>
        <v>0</v>
      </c>
      <c r="I285" s="47">
        <f>Latency_Based_Targeting18[[#This Row],[Time Saved]]/Latency_Based_Targeting18[[#This Row],[Average time to convert in Days]]</f>
        <v>0</v>
      </c>
    </row>
    <row r="286" spans="1:9">
      <c r="A286">
        <v>607458</v>
      </c>
      <c r="B286">
        <v>3667351</v>
      </c>
      <c r="C286">
        <v>9538.4833330000001</v>
      </c>
      <c r="D286" t="str">
        <f t="shared" si="17"/>
        <v>Very High</v>
      </c>
      <c r="E286">
        <f t="shared" si="16"/>
        <v>300</v>
      </c>
      <c r="F286">
        <f t="shared" si="18"/>
        <v>6.62</v>
      </c>
      <c r="G286">
        <f t="shared" si="19"/>
        <v>4.3029999999999999</v>
      </c>
      <c r="H286">
        <f>ROUND(Latency_Based_Targeting18[[#This Row],[Average time to convert in Days]]-Latency_Based_Targeting18[[#This Row],[Improved Time to convert]],2)</f>
        <v>2.3199999999999998</v>
      </c>
      <c r="I286" s="47">
        <f>Latency_Based_Targeting18[[#This Row],[Time Saved]]/Latency_Based_Targeting18[[#This Row],[Average time to convert in Days]]</f>
        <v>0.35045317220543803</v>
      </c>
    </row>
    <row r="287" spans="1:9">
      <c r="A287">
        <v>498887</v>
      </c>
      <c r="B287">
        <v>3683755</v>
      </c>
      <c r="C287">
        <v>7951.9833330000001</v>
      </c>
      <c r="D287" t="str">
        <f t="shared" si="17"/>
        <v>Very High</v>
      </c>
      <c r="E287">
        <f t="shared" si="16"/>
        <v>300</v>
      </c>
      <c r="F287">
        <f t="shared" si="18"/>
        <v>5.52</v>
      </c>
      <c r="G287">
        <f t="shared" si="19"/>
        <v>3.5879999999999996</v>
      </c>
      <c r="H287">
        <f>ROUND(Latency_Based_Targeting18[[#This Row],[Average time to convert in Days]]-Latency_Based_Targeting18[[#This Row],[Improved Time to convert]],2)</f>
        <v>1.93</v>
      </c>
      <c r="I287" s="47">
        <f>Latency_Based_Targeting18[[#This Row],[Time Saved]]/Latency_Based_Targeting18[[#This Row],[Average time to convert in Days]]</f>
        <v>0.34963768115942029</v>
      </c>
    </row>
    <row r="288" spans="1:9">
      <c r="A288">
        <v>450004</v>
      </c>
      <c r="B288">
        <v>3792683</v>
      </c>
      <c r="C288">
        <v>4839.5833329999996</v>
      </c>
      <c r="D288" t="str">
        <f t="shared" si="17"/>
        <v>Medium</v>
      </c>
      <c r="E288">
        <f t="shared" si="16"/>
        <v>100</v>
      </c>
      <c r="F288">
        <f t="shared" si="18"/>
        <v>3.36</v>
      </c>
      <c r="G288">
        <f t="shared" si="19"/>
        <v>3.36</v>
      </c>
      <c r="H288">
        <f>ROUND(Latency_Based_Targeting18[[#This Row],[Average time to convert in Days]]-Latency_Based_Targeting18[[#This Row],[Improved Time to convert]],2)</f>
        <v>0</v>
      </c>
      <c r="I288" s="47">
        <f>Latency_Based_Targeting18[[#This Row],[Time Saved]]/Latency_Based_Targeting18[[#This Row],[Average time to convert in Days]]</f>
        <v>0</v>
      </c>
    </row>
    <row r="289" spans="1:9">
      <c r="A289">
        <v>141427</v>
      </c>
      <c r="B289">
        <v>3988604</v>
      </c>
      <c r="C289">
        <v>9531.2666669999999</v>
      </c>
      <c r="D289" t="str">
        <f t="shared" si="17"/>
        <v>Very High</v>
      </c>
      <c r="E289">
        <f t="shared" si="16"/>
        <v>300</v>
      </c>
      <c r="F289">
        <f t="shared" si="18"/>
        <v>6.62</v>
      </c>
      <c r="G289">
        <f t="shared" si="19"/>
        <v>4.3029999999999999</v>
      </c>
      <c r="H289">
        <f>ROUND(Latency_Based_Targeting18[[#This Row],[Average time to convert in Days]]-Latency_Based_Targeting18[[#This Row],[Improved Time to convert]],2)</f>
        <v>2.3199999999999998</v>
      </c>
      <c r="I289" s="47">
        <f>Latency_Based_Targeting18[[#This Row],[Time Saved]]/Latency_Based_Targeting18[[#This Row],[Average time to convert in Days]]</f>
        <v>0.35045317220543803</v>
      </c>
    </row>
    <row r="290" spans="1:9">
      <c r="A290">
        <v>213189</v>
      </c>
      <c r="B290">
        <v>4018132</v>
      </c>
      <c r="C290">
        <v>7303.2166669999997</v>
      </c>
      <c r="D290" t="str">
        <f t="shared" si="17"/>
        <v>High</v>
      </c>
      <c r="E290">
        <f t="shared" si="16"/>
        <v>200</v>
      </c>
      <c r="F290">
        <f t="shared" si="18"/>
        <v>5.07</v>
      </c>
      <c r="G290">
        <f t="shared" si="19"/>
        <v>3.5489999999999999</v>
      </c>
      <c r="H290">
        <f>ROUND(Latency_Based_Targeting18[[#This Row],[Average time to convert in Days]]-Latency_Based_Targeting18[[#This Row],[Improved Time to convert]],2)</f>
        <v>1.52</v>
      </c>
      <c r="I290" s="47">
        <f>Latency_Based_Targeting18[[#This Row],[Time Saved]]/Latency_Based_Targeting18[[#This Row],[Average time to convert in Days]]</f>
        <v>0.29980276134122286</v>
      </c>
    </row>
    <row r="291" spans="1:9">
      <c r="A291">
        <v>126584</v>
      </c>
      <c r="B291">
        <v>4019667</v>
      </c>
      <c r="C291">
        <v>5783.95</v>
      </c>
      <c r="D291" t="str">
        <f t="shared" si="17"/>
        <v>High</v>
      </c>
      <c r="E291">
        <f t="shared" si="16"/>
        <v>200</v>
      </c>
      <c r="F291">
        <f t="shared" si="18"/>
        <v>4.0199999999999996</v>
      </c>
      <c r="G291">
        <f t="shared" si="19"/>
        <v>2.8139999999999996</v>
      </c>
      <c r="H291">
        <f>ROUND(Latency_Based_Targeting18[[#This Row],[Average time to convert in Days]]-Latency_Based_Targeting18[[#This Row],[Improved Time to convert]],2)</f>
        <v>1.21</v>
      </c>
      <c r="I291" s="47">
        <f>Latency_Based_Targeting18[[#This Row],[Time Saved]]/Latency_Based_Targeting18[[#This Row],[Average time to convert in Days]]</f>
        <v>0.30099502487562191</v>
      </c>
    </row>
    <row r="292" spans="1:9">
      <c r="A292">
        <v>136890</v>
      </c>
      <c r="B292">
        <v>4024409</v>
      </c>
      <c r="C292">
        <v>3755.3</v>
      </c>
      <c r="D292" t="str">
        <f t="shared" si="17"/>
        <v>Medium</v>
      </c>
      <c r="E292">
        <f t="shared" si="16"/>
        <v>100</v>
      </c>
      <c r="F292">
        <f t="shared" si="18"/>
        <v>2.61</v>
      </c>
      <c r="G292">
        <f t="shared" si="19"/>
        <v>2.61</v>
      </c>
      <c r="H292">
        <f>ROUND(Latency_Based_Targeting18[[#This Row],[Average time to convert in Days]]-Latency_Based_Targeting18[[#This Row],[Improved Time to convert]],2)</f>
        <v>0</v>
      </c>
      <c r="I292" s="47">
        <f>Latency_Based_Targeting18[[#This Row],[Time Saved]]/Latency_Based_Targeting18[[#This Row],[Average time to convert in Days]]</f>
        <v>0</v>
      </c>
    </row>
    <row r="293" spans="1:9">
      <c r="A293">
        <v>456814</v>
      </c>
      <c r="B293">
        <v>4088401</v>
      </c>
      <c r="C293">
        <v>4649.6000000000004</v>
      </c>
      <c r="D293" t="str">
        <f t="shared" si="17"/>
        <v>Medium</v>
      </c>
      <c r="E293">
        <f t="shared" si="16"/>
        <v>100</v>
      </c>
      <c r="F293">
        <f t="shared" si="18"/>
        <v>3.23</v>
      </c>
      <c r="G293">
        <f t="shared" si="19"/>
        <v>3.23</v>
      </c>
      <c r="H293">
        <f>ROUND(Latency_Based_Targeting18[[#This Row],[Average time to convert in Days]]-Latency_Based_Targeting18[[#This Row],[Improved Time to convert]],2)</f>
        <v>0</v>
      </c>
      <c r="I293" s="47">
        <f>Latency_Based_Targeting18[[#This Row],[Time Saved]]/Latency_Based_Targeting18[[#This Row],[Average time to convert in Days]]</f>
        <v>0</v>
      </c>
    </row>
    <row r="294" spans="1:9">
      <c r="A294">
        <v>239809</v>
      </c>
      <c r="B294">
        <v>4251025</v>
      </c>
      <c r="C294">
        <v>5628.4</v>
      </c>
      <c r="D294" t="str">
        <f t="shared" si="17"/>
        <v>High</v>
      </c>
      <c r="E294">
        <f t="shared" si="16"/>
        <v>200</v>
      </c>
      <c r="F294">
        <f t="shared" si="18"/>
        <v>3.91</v>
      </c>
      <c r="G294">
        <f t="shared" si="19"/>
        <v>2.7370000000000001</v>
      </c>
      <c r="H294">
        <f>ROUND(Latency_Based_Targeting18[[#This Row],[Average time to convert in Days]]-Latency_Based_Targeting18[[#This Row],[Improved Time to convert]],2)</f>
        <v>1.17</v>
      </c>
      <c r="I294" s="47">
        <f>Latency_Based_Targeting18[[#This Row],[Time Saved]]/Latency_Based_Targeting18[[#This Row],[Average time to convert in Days]]</f>
        <v>0.29923273657289001</v>
      </c>
    </row>
    <row r="295" spans="1:9">
      <c r="A295">
        <v>32901</v>
      </c>
      <c r="B295">
        <v>4274539</v>
      </c>
      <c r="C295">
        <v>9883.1333329999998</v>
      </c>
      <c r="D295" t="str">
        <f t="shared" si="17"/>
        <v>Very High</v>
      </c>
      <c r="E295">
        <f t="shared" si="16"/>
        <v>300</v>
      </c>
      <c r="F295">
        <f t="shared" si="18"/>
        <v>6.86</v>
      </c>
      <c r="G295">
        <f t="shared" si="19"/>
        <v>4.4590000000000005</v>
      </c>
      <c r="H295">
        <f>ROUND(Latency_Based_Targeting18[[#This Row],[Average time to convert in Days]]-Latency_Based_Targeting18[[#This Row],[Improved Time to convert]],2)</f>
        <v>2.4</v>
      </c>
      <c r="I295" s="47">
        <f>Latency_Based_Targeting18[[#This Row],[Time Saved]]/Latency_Based_Targeting18[[#This Row],[Average time to convert in Days]]</f>
        <v>0.3498542274052478</v>
      </c>
    </row>
    <row r="296" spans="1:9">
      <c r="A296">
        <v>608915</v>
      </c>
      <c r="B296">
        <v>4277622</v>
      </c>
      <c r="C296">
        <v>5476.6833329999999</v>
      </c>
      <c r="D296" t="str">
        <f t="shared" si="17"/>
        <v>High</v>
      </c>
      <c r="E296">
        <f t="shared" si="16"/>
        <v>200</v>
      </c>
      <c r="F296">
        <f t="shared" si="18"/>
        <v>3.8</v>
      </c>
      <c r="G296">
        <f t="shared" si="19"/>
        <v>2.6599999999999997</v>
      </c>
      <c r="H296">
        <f>ROUND(Latency_Based_Targeting18[[#This Row],[Average time to convert in Days]]-Latency_Based_Targeting18[[#This Row],[Improved Time to convert]],2)</f>
        <v>1.1399999999999999</v>
      </c>
      <c r="I296" s="47">
        <f>Latency_Based_Targeting18[[#This Row],[Time Saved]]/Latency_Based_Targeting18[[#This Row],[Average time to convert in Days]]</f>
        <v>0.3</v>
      </c>
    </row>
    <row r="297" spans="1:9">
      <c r="A297">
        <v>545478</v>
      </c>
      <c r="B297">
        <v>4312513</v>
      </c>
      <c r="C297">
        <v>6981.0333330000003</v>
      </c>
      <c r="D297" t="str">
        <f t="shared" si="17"/>
        <v>High</v>
      </c>
      <c r="E297">
        <f t="shared" si="16"/>
        <v>200</v>
      </c>
      <c r="F297">
        <f t="shared" si="18"/>
        <v>4.8499999999999996</v>
      </c>
      <c r="G297">
        <f t="shared" si="19"/>
        <v>3.3949999999999996</v>
      </c>
      <c r="H297">
        <f>ROUND(Latency_Based_Targeting18[[#This Row],[Average time to convert in Days]]-Latency_Based_Targeting18[[#This Row],[Improved Time to convert]],2)</f>
        <v>1.46</v>
      </c>
      <c r="I297" s="47">
        <f>Latency_Based_Targeting18[[#This Row],[Time Saved]]/Latency_Based_Targeting18[[#This Row],[Average time to convert in Days]]</f>
        <v>0.30103092783505159</v>
      </c>
    </row>
    <row r="298" spans="1:9">
      <c r="A298">
        <v>275820</v>
      </c>
      <c r="B298">
        <v>4401676</v>
      </c>
      <c r="C298">
        <v>9797.2000000000007</v>
      </c>
      <c r="D298" t="str">
        <f t="shared" si="17"/>
        <v>Very High</v>
      </c>
      <c r="E298">
        <f t="shared" si="16"/>
        <v>300</v>
      </c>
      <c r="F298">
        <f t="shared" si="18"/>
        <v>6.8</v>
      </c>
      <c r="G298">
        <f t="shared" si="19"/>
        <v>4.42</v>
      </c>
      <c r="H298">
        <f>ROUND(Latency_Based_Targeting18[[#This Row],[Average time to convert in Days]]-Latency_Based_Targeting18[[#This Row],[Improved Time to convert]],2)</f>
        <v>2.38</v>
      </c>
      <c r="I298" s="47">
        <f>Latency_Based_Targeting18[[#This Row],[Time Saved]]/Latency_Based_Targeting18[[#This Row],[Average time to convert in Days]]</f>
        <v>0.35</v>
      </c>
    </row>
    <row r="299" spans="1:9">
      <c r="A299">
        <v>865488</v>
      </c>
      <c r="B299">
        <v>4444358</v>
      </c>
      <c r="C299">
        <v>5456.9666669999997</v>
      </c>
      <c r="D299" t="str">
        <f t="shared" si="17"/>
        <v>High</v>
      </c>
      <c r="E299">
        <f t="shared" si="16"/>
        <v>200</v>
      </c>
      <c r="F299">
        <f t="shared" si="18"/>
        <v>3.79</v>
      </c>
      <c r="G299">
        <f t="shared" si="19"/>
        <v>2.653</v>
      </c>
      <c r="H299">
        <f>ROUND(Latency_Based_Targeting18[[#This Row],[Average time to convert in Days]]-Latency_Based_Targeting18[[#This Row],[Improved Time to convert]],2)</f>
        <v>1.1399999999999999</v>
      </c>
      <c r="I299" s="47">
        <f>Latency_Based_Targeting18[[#This Row],[Time Saved]]/Latency_Based_Targeting18[[#This Row],[Average time to convert in Days]]</f>
        <v>0.30079155672823216</v>
      </c>
    </row>
    <row r="300" spans="1:9">
      <c r="A300">
        <v>515908</v>
      </c>
      <c r="B300">
        <v>4691922</v>
      </c>
      <c r="C300">
        <v>3701.583333</v>
      </c>
      <c r="D300" t="str">
        <f t="shared" si="17"/>
        <v>Medium</v>
      </c>
      <c r="E300">
        <f t="shared" si="16"/>
        <v>100</v>
      </c>
      <c r="F300">
        <f t="shared" si="18"/>
        <v>2.57</v>
      </c>
      <c r="G300">
        <f t="shared" si="19"/>
        <v>2.57</v>
      </c>
      <c r="H300">
        <f>ROUND(Latency_Based_Targeting18[[#This Row],[Average time to convert in Days]]-Latency_Based_Targeting18[[#This Row],[Improved Time to convert]],2)</f>
        <v>0</v>
      </c>
      <c r="I300" s="47">
        <f>Latency_Based_Targeting18[[#This Row],[Time Saved]]/Latency_Based_Targeting18[[#This Row],[Average time to convert in Days]]</f>
        <v>0</v>
      </c>
    </row>
    <row r="301" spans="1:9">
      <c r="A301">
        <v>215993</v>
      </c>
      <c r="B301">
        <v>4989934</v>
      </c>
      <c r="C301">
        <v>4933.5333330000003</v>
      </c>
      <c r="D301" t="str">
        <f t="shared" si="17"/>
        <v>Medium</v>
      </c>
      <c r="E301">
        <f t="shared" si="16"/>
        <v>100</v>
      </c>
      <c r="F301">
        <f t="shared" si="18"/>
        <v>3.43</v>
      </c>
      <c r="G301">
        <f t="shared" si="19"/>
        <v>3.43</v>
      </c>
      <c r="H301">
        <f>ROUND(Latency_Based_Targeting18[[#This Row],[Average time to convert in Days]]-Latency_Based_Targeting18[[#This Row],[Improved Time to convert]],2)</f>
        <v>0</v>
      </c>
      <c r="I301" s="47">
        <f>Latency_Based_Targeting18[[#This Row],[Time Saved]]/Latency_Based_Targeting18[[#This Row],[Average time to convert in Days]]</f>
        <v>0</v>
      </c>
    </row>
    <row r="302" spans="1:9">
      <c r="A302">
        <v>569460</v>
      </c>
      <c r="B302">
        <v>5083723</v>
      </c>
      <c r="C302">
        <v>4952.4166670000004</v>
      </c>
      <c r="D302" t="str">
        <f t="shared" si="17"/>
        <v>Medium</v>
      </c>
      <c r="E302">
        <f t="shared" si="16"/>
        <v>100</v>
      </c>
      <c r="F302">
        <f t="shared" si="18"/>
        <v>3.44</v>
      </c>
      <c r="G302">
        <f t="shared" si="19"/>
        <v>3.44</v>
      </c>
      <c r="H302">
        <f>ROUND(Latency_Based_Targeting18[[#This Row],[Average time to convert in Days]]-Latency_Based_Targeting18[[#This Row],[Improved Time to convert]],2)</f>
        <v>0</v>
      </c>
      <c r="I302" s="47">
        <f>Latency_Based_Targeting18[[#This Row],[Time Saved]]/Latency_Based_Targeting18[[#This Row],[Average time to convert in Days]]</f>
        <v>0</v>
      </c>
    </row>
    <row r="303" spans="1:9">
      <c r="A303">
        <v>635443</v>
      </c>
      <c r="B303">
        <v>78142</v>
      </c>
      <c r="C303">
        <v>4724.3999999999996</v>
      </c>
      <c r="D303" t="str">
        <f t="shared" si="17"/>
        <v>Medium</v>
      </c>
      <c r="E303">
        <f t="shared" si="16"/>
        <v>100</v>
      </c>
      <c r="F303">
        <f t="shared" si="18"/>
        <v>3.28</v>
      </c>
      <c r="G303">
        <f t="shared" si="19"/>
        <v>3.28</v>
      </c>
      <c r="H303">
        <f>ROUND(Latency_Based_Targeting18[[#This Row],[Average time to convert in Days]]-Latency_Based_Targeting18[[#This Row],[Improved Time to convert]],2)</f>
        <v>0</v>
      </c>
      <c r="I303" s="47">
        <f>Latency_Based_Targeting18[[#This Row],[Time Saved]]/Latency_Based_Targeting18[[#This Row],[Average time to convert in Days]]</f>
        <v>0</v>
      </c>
    </row>
    <row r="304" spans="1:9">
      <c r="A304">
        <v>990796</v>
      </c>
      <c r="B304">
        <v>153297</v>
      </c>
      <c r="C304">
        <v>11974.9</v>
      </c>
      <c r="D304" t="str">
        <f t="shared" si="17"/>
        <v>Very High</v>
      </c>
      <c r="E304">
        <f t="shared" si="16"/>
        <v>300</v>
      </c>
      <c r="F304">
        <f t="shared" si="18"/>
        <v>8.32</v>
      </c>
      <c r="G304">
        <f t="shared" si="19"/>
        <v>5.4080000000000004</v>
      </c>
      <c r="H304">
        <f>ROUND(Latency_Based_Targeting18[[#This Row],[Average time to convert in Days]]-Latency_Based_Targeting18[[#This Row],[Improved Time to convert]],2)</f>
        <v>2.91</v>
      </c>
      <c r="I304" s="47">
        <f>Latency_Based_Targeting18[[#This Row],[Time Saved]]/Latency_Based_Targeting18[[#This Row],[Average time to convert in Days]]</f>
        <v>0.34975961538461536</v>
      </c>
    </row>
    <row r="305" spans="1:9">
      <c r="A305">
        <v>232827</v>
      </c>
      <c r="B305">
        <v>216164</v>
      </c>
      <c r="C305">
        <v>8608.6166670000002</v>
      </c>
      <c r="D305" t="str">
        <f t="shared" si="17"/>
        <v>Very High</v>
      </c>
      <c r="E305">
        <f t="shared" si="16"/>
        <v>300</v>
      </c>
      <c r="F305">
        <f t="shared" si="18"/>
        <v>5.98</v>
      </c>
      <c r="G305">
        <f t="shared" si="19"/>
        <v>3.8870000000000005</v>
      </c>
      <c r="H305">
        <f>ROUND(Latency_Based_Targeting18[[#This Row],[Average time to convert in Days]]-Latency_Based_Targeting18[[#This Row],[Improved Time to convert]],2)</f>
        <v>2.09</v>
      </c>
      <c r="I305" s="47">
        <f>Latency_Based_Targeting18[[#This Row],[Time Saved]]/Latency_Based_Targeting18[[#This Row],[Average time to convert in Days]]</f>
        <v>0.34949832775919726</v>
      </c>
    </row>
    <row r="306" spans="1:9">
      <c r="A306">
        <v>150099</v>
      </c>
      <c r="B306">
        <v>673866</v>
      </c>
      <c r="C306">
        <v>4393.5833329999996</v>
      </c>
      <c r="D306" t="str">
        <f t="shared" si="17"/>
        <v>Medium</v>
      </c>
      <c r="E306">
        <f t="shared" si="16"/>
        <v>100</v>
      </c>
      <c r="F306">
        <f t="shared" si="18"/>
        <v>3.05</v>
      </c>
      <c r="G306">
        <f t="shared" si="19"/>
        <v>3.05</v>
      </c>
      <c r="H306">
        <f>ROUND(Latency_Based_Targeting18[[#This Row],[Average time to convert in Days]]-Latency_Based_Targeting18[[#This Row],[Improved Time to convert]],2)</f>
        <v>0</v>
      </c>
      <c r="I306" s="47">
        <f>Latency_Based_Targeting18[[#This Row],[Time Saved]]/Latency_Based_Targeting18[[#This Row],[Average time to convert in Days]]</f>
        <v>0</v>
      </c>
    </row>
    <row r="307" spans="1:9">
      <c r="A307">
        <v>316401</v>
      </c>
      <c r="B307">
        <v>716271</v>
      </c>
      <c r="C307">
        <v>4536.1666670000004</v>
      </c>
      <c r="D307" t="str">
        <f t="shared" si="17"/>
        <v>Medium</v>
      </c>
      <c r="E307">
        <f t="shared" si="16"/>
        <v>100</v>
      </c>
      <c r="F307">
        <f t="shared" si="18"/>
        <v>3.15</v>
      </c>
      <c r="G307">
        <f t="shared" si="19"/>
        <v>3.15</v>
      </c>
      <c r="H307">
        <f>ROUND(Latency_Based_Targeting18[[#This Row],[Average time to convert in Days]]-Latency_Based_Targeting18[[#This Row],[Improved Time to convert]],2)</f>
        <v>0</v>
      </c>
      <c r="I307" s="47">
        <f>Latency_Based_Targeting18[[#This Row],[Time Saved]]/Latency_Based_Targeting18[[#This Row],[Average time to convert in Days]]</f>
        <v>0</v>
      </c>
    </row>
    <row r="308" spans="1:9">
      <c r="A308">
        <v>94617</v>
      </c>
      <c r="B308">
        <v>760017</v>
      </c>
      <c r="C308">
        <v>6653.3666670000002</v>
      </c>
      <c r="D308" t="str">
        <f t="shared" si="17"/>
        <v>High</v>
      </c>
      <c r="E308">
        <f t="shared" si="16"/>
        <v>200</v>
      </c>
      <c r="F308">
        <f t="shared" si="18"/>
        <v>4.62</v>
      </c>
      <c r="G308">
        <f t="shared" si="19"/>
        <v>3.234</v>
      </c>
      <c r="H308">
        <f>ROUND(Latency_Based_Targeting18[[#This Row],[Average time to convert in Days]]-Latency_Based_Targeting18[[#This Row],[Improved Time to convert]],2)</f>
        <v>1.39</v>
      </c>
      <c r="I308" s="47">
        <f>Latency_Based_Targeting18[[#This Row],[Time Saved]]/Latency_Based_Targeting18[[#This Row],[Average time to convert in Days]]</f>
        <v>0.30086580086580084</v>
      </c>
    </row>
    <row r="309" spans="1:9">
      <c r="A309">
        <v>674259</v>
      </c>
      <c r="B309">
        <v>777108</v>
      </c>
      <c r="C309">
        <v>6272.3333329999996</v>
      </c>
      <c r="D309" t="str">
        <f t="shared" si="17"/>
        <v>High</v>
      </c>
      <c r="E309">
        <f t="shared" si="16"/>
        <v>200</v>
      </c>
      <c r="F309">
        <f t="shared" si="18"/>
        <v>4.3600000000000003</v>
      </c>
      <c r="G309">
        <f t="shared" si="19"/>
        <v>3.052</v>
      </c>
      <c r="H309">
        <f>ROUND(Latency_Based_Targeting18[[#This Row],[Average time to convert in Days]]-Latency_Based_Targeting18[[#This Row],[Improved Time to convert]],2)</f>
        <v>1.31</v>
      </c>
      <c r="I309" s="47">
        <f>Latency_Based_Targeting18[[#This Row],[Time Saved]]/Latency_Based_Targeting18[[#This Row],[Average time to convert in Days]]</f>
        <v>0.30045871559633025</v>
      </c>
    </row>
    <row r="310" spans="1:9">
      <c r="A310">
        <v>382782</v>
      </c>
      <c r="B310">
        <v>939641</v>
      </c>
      <c r="C310">
        <v>11382.25</v>
      </c>
      <c r="D310" t="str">
        <f t="shared" si="17"/>
        <v>Very High</v>
      </c>
      <c r="E310">
        <f t="shared" si="16"/>
        <v>300</v>
      </c>
      <c r="F310">
        <f t="shared" si="18"/>
        <v>7.9</v>
      </c>
      <c r="G310">
        <f t="shared" si="19"/>
        <v>5.1350000000000007</v>
      </c>
      <c r="H310">
        <f>ROUND(Latency_Based_Targeting18[[#This Row],[Average time to convert in Days]]-Latency_Based_Targeting18[[#This Row],[Improved Time to convert]],2)</f>
        <v>2.77</v>
      </c>
      <c r="I310" s="47">
        <f>Latency_Based_Targeting18[[#This Row],[Time Saved]]/Latency_Based_Targeting18[[#This Row],[Average time to convert in Days]]</f>
        <v>0.35063291139240504</v>
      </c>
    </row>
    <row r="311" spans="1:9">
      <c r="A311">
        <v>561714</v>
      </c>
      <c r="B311">
        <v>1052736</v>
      </c>
      <c r="C311">
        <v>5002.9333329999999</v>
      </c>
      <c r="D311" t="str">
        <f t="shared" si="17"/>
        <v>Medium</v>
      </c>
      <c r="E311">
        <f t="shared" si="16"/>
        <v>100</v>
      </c>
      <c r="F311">
        <f t="shared" si="18"/>
        <v>3.47</v>
      </c>
      <c r="G311">
        <f t="shared" si="19"/>
        <v>3.47</v>
      </c>
      <c r="H311">
        <f>ROUND(Latency_Based_Targeting18[[#This Row],[Average time to convert in Days]]-Latency_Based_Targeting18[[#This Row],[Improved Time to convert]],2)</f>
        <v>0</v>
      </c>
      <c r="I311" s="47">
        <f>Latency_Based_Targeting18[[#This Row],[Time Saved]]/Latency_Based_Targeting18[[#This Row],[Average time to convert in Days]]</f>
        <v>0</v>
      </c>
    </row>
    <row r="312" spans="1:9">
      <c r="A312">
        <v>809633</v>
      </c>
      <c r="B312">
        <v>1173608</v>
      </c>
      <c r="C312">
        <v>6574.6666670000004</v>
      </c>
      <c r="D312" t="str">
        <f t="shared" si="17"/>
        <v>High</v>
      </c>
      <c r="E312">
        <f t="shared" si="16"/>
        <v>200</v>
      </c>
      <c r="F312">
        <f t="shared" si="18"/>
        <v>4.57</v>
      </c>
      <c r="G312">
        <f t="shared" si="19"/>
        <v>3.1989999999999998</v>
      </c>
      <c r="H312">
        <f>ROUND(Latency_Based_Targeting18[[#This Row],[Average time to convert in Days]]-Latency_Based_Targeting18[[#This Row],[Improved Time to convert]],2)</f>
        <v>1.37</v>
      </c>
      <c r="I312" s="47">
        <f>Latency_Based_Targeting18[[#This Row],[Time Saved]]/Latency_Based_Targeting18[[#This Row],[Average time to convert in Days]]</f>
        <v>0.29978118161925604</v>
      </c>
    </row>
    <row r="313" spans="1:9">
      <c r="A313">
        <v>413514</v>
      </c>
      <c r="B313">
        <v>1174324</v>
      </c>
      <c r="C313">
        <v>5467.1833329999999</v>
      </c>
      <c r="D313" t="str">
        <f t="shared" si="17"/>
        <v>High</v>
      </c>
      <c r="E313">
        <f t="shared" si="16"/>
        <v>200</v>
      </c>
      <c r="F313">
        <f t="shared" si="18"/>
        <v>3.8</v>
      </c>
      <c r="G313">
        <f t="shared" si="19"/>
        <v>2.6599999999999997</v>
      </c>
      <c r="H313">
        <f>ROUND(Latency_Based_Targeting18[[#This Row],[Average time to convert in Days]]-Latency_Based_Targeting18[[#This Row],[Improved Time to convert]],2)</f>
        <v>1.1399999999999999</v>
      </c>
      <c r="I313" s="47">
        <f>Latency_Based_Targeting18[[#This Row],[Time Saved]]/Latency_Based_Targeting18[[#This Row],[Average time to convert in Days]]</f>
        <v>0.3</v>
      </c>
    </row>
    <row r="314" spans="1:9">
      <c r="A314">
        <v>735775</v>
      </c>
      <c r="B314">
        <v>1190577</v>
      </c>
      <c r="C314">
        <v>7726.3333329999996</v>
      </c>
      <c r="D314" t="str">
        <f t="shared" si="17"/>
        <v>High</v>
      </c>
      <c r="E314">
        <f t="shared" si="16"/>
        <v>200</v>
      </c>
      <c r="F314">
        <f t="shared" si="18"/>
        <v>5.37</v>
      </c>
      <c r="G314">
        <f t="shared" si="19"/>
        <v>3.7589999999999999</v>
      </c>
      <c r="H314">
        <f>ROUND(Latency_Based_Targeting18[[#This Row],[Average time to convert in Days]]-Latency_Based_Targeting18[[#This Row],[Improved Time to convert]],2)</f>
        <v>1.61</v>
      </c>
      <c r="I314" s="47">
        <f>Latency_Based_Targeting18[[#This Row],[Time Saved]]/Latency_Based_Targeting18[[#This Row],[Average time to convert in Days]]</f>
        <v>0.29981378026070765</v>
      </c>
    </row>
    <row r="315" spans="1:9">
      <c r="A315">
        <v>573347</v>
      </c>
      <c r="B315">
        <v>1387875</v>
      </c>
      <c r="C315">
        <v>4371.5249999999996</v>
      </c>
      <c r="D315" t="str">
        <f t="shared" si="17"/>
        <v>Medium</v>
      </c>
      <c r="E315">
        <f t="shared" si="16"/>
        <v>100</v>
      </c>
      <c r="F315">
        <f t="shared" si="18"/>
        <v>3.04</v>
      </c>
      <c r="G315">
        <f t="shared" si="19"/>
        <v>3.04</v>
      </c>
      <c r="H315">
        <f>ROUND(Latency_Based_Targeting18[[#This Row],[Average time to convert in Days]]-Latency_Based_Targeting18[[#This Row],[Improved Time to convert]],2)</f>
        <v>0</v>
      </c>
      <c r="I315" s="47">
        <f>Latency_Based_Targeting18[[#This Row],[Time Saved]]/Latency_Based_Targeting18[[#This Row],[Average time to convert in Days]]</f>
        <v>0</v>
      </c>
    </row>
    <row r="316" spans="1:9">
      <c r="A316">
        <v>282979</v>
      </c>
      <c r="B316">
        <v>1490774</v>
      </c>
      <c r="C316">
        <v>3901.45</v>
      </c>
      <c r="D316" t="str">
        <f t="shared" si="17"/>
        <v>Medium</v>
      </c>
      <c r="E316">
        <f t="shared" si="16"/>
        <v>100</v>
      </c>
      <c r="F316">
        <f t="shared" si="18"/>
        <v>2.71</v>
      </c>
      <c r="G316">
        <f t="shared" si="19"/>
        <v>2.71</v>
      </c>
      <c r="H316">
        <f>ROUND(Latency_Based_Targeting18[[#This Row],[Average time to convert in Days]]-Latency_Based_Targeting18[[#This Row],[Improved Time to convert]],2)</f>
        <v>0</v>
      </c>
      <c r="I316" s="47">
        <f>Latency_Based_Targeting18[[#This Row],[Time Saved]]/Latency_Based_Targeting18[[#This Row],[Average time to convert in Days]]</f>
        <v>0</v>
      </c>
    </row>
    <row r="317" spans="1:9">
      <c r="A317">
        <v>660235</v>
      </c>
      <c r="B317">
        <v>1648831</v>
      </c>
      <c r="C317">
        <v>4343.1333329999998</v>
      </c>
      <c r="D317" t="str">
        <f t="shared" si="17"/>
        <v>Medium</v>
      </c>
      <c r="E317">
        <f t="shared" si="16"/>
        <v>100</v>
      </c>
      <c r="F317">
        <f t="shared" si="18"/>
        <v>3.02</v>
      </c>
      <c r="G317">
        <f t="shared" si="19"/>
        <v>3.02</v>
      </c>
      <c r="H317">
        <f>ROUND(Latency_Based_Targeting18[[#This Row],[Average time to convert in Days]]-Latency_Based_Targeting18[[#This Row],[Improved Time to convert]],2)</f>
        <v>0</v>
      </c>
      <c r="I317" s="47">
        <f>Latency_Based_Targeting18[[#This Row],[Time Saved]]/Latency_Based_Targeting18[[#This Row],[Average time to convert in Days]]</f>
        <v>0</v>
      </c>
    </row>
    <row r="318" spans="1:9">
      <c r="A318">
        <v>176858</v>
      </c>
      <c r="B318">
        <v>1839755</v>
      </c>
      <c r="C318">
        <v>5827.65</v>
      </c>
      <c r="D318" t="str">
        <f t="shared" si="17"/>
        <v>High</v>
      </c>
      <c r="E318">
        <f t="shared" si="16"/>
        <v>200</v>
      </c>
      <c r="F318">
        <f t="shared" si="18"/>
        <v>4.05</v>
      </c>
      <c r="G318">
        <f t="shared" si="19"/>
        <v>2.8349999999999995</v>
      </c>
      <c r="H318">
        <f>ROUND(Latency_Based_Targeting18[[#This Row],[Average time to convert in Days]]-Latency_Based_Targeting18[[#This Row],[Improved Time to convert]],2)</f>
        <v>1.22</v>
      </c>
      <c r="I318" s="47">
        <f>Latency_Based_Targeting18[[#This Row],[Time Saved]]/Latency_Based_Targeting18[[#This Row],[Average time to convert in Days]]</f>
        <v>0.3012345679012346</v>
      </c>
    </row>
    <row r="319" spans="1:9">
      <c r="A319">
        <v>313866</v>
      </c>
      <c r="B319">
        <v>2073959</v>
      </c>
      <c r="C319">
        <v>6072.6</v>
      </c>
      <c r="D319" t="str">
        <f t="shared" si="17"/>
        <v>High</v>
      </c>
      <c r="E319">
        <f t="shared" si="16"/>
        <v>200</v>
      </c>
      <c r="F319">
        <f t="shared" si="18"/>
        <v>4.22</v>
      </c>
      <c r="G319">
        <f t="shared" si="19"/>
        <v>2.9539999999999997</v>
      </c>
      <c r="H319">
        <f>ROUND(Latency_Based_Targeting18[[#This Row],[Average time to convert in Days]]-Latency_Based_Targeting18[[#This Row],[Improved Time to convert]],2)</f>
        <v>1.27</v>
      </c>
      <c r="I319" s="47">
        <f>Latency_Based_Targeting18[[#This Row],[Time Saved]]/Latency_Based_Targeting18[[#This Row],[Average time to convert in Days]]</f>
        <v>0.3009478672985782</v>
      </c>
    </row>
    <row r="320" spans="1:9">
      <c r="A320">
        <v>818855</v>
      </c>
      <c r="B320">
        <v>2100609</v>
      </c>
      <c r="C320">
        <v>6463.0333330000003</v>
      </c>
      <c r="D320" t="str">
        <f t="shared" si="17"/>
        <v>High</v>
      </c>
      <c r="E320">
        <f t="shared" si="16"/>
        <v>200</v>
      </c>
      <c r="F320">
        <f t="shared" si="18"/>
        <v>4.49</v>
      </c>
      <c r="G320">
        <f t="shared" si="19"/>
        <v>3.1429999999999998</v>
      </c>
      <c r="H320">
        <f>ROUND(Latency_Based_Targeting18[[#This Row],[Average time to convert in Days]]-Latency_Based_Targeting18[[#This Row],[Improved Time to convert]],2)</f>
        <v>1.35</v>
      </c>
      <c r="I320" s="47">
        <f>Latency_Based_Targeting18[[#This Row],[Time Saved]]/Latency_Based_Targeting18[[#This Row],[Average time to convert in Days]]</f>
        <v>0.30066815144766146</v>
      </c>
    </row>
    <row r="321" spans="1:9">
      <c r="A321">
        <v>888364</v>
      </c>
      <c r="B321">
        <v>2332453</v>
      </c>
      <c r="C321">
        <v>4731.0833329999996</v>
      </c>
      <c r="D321" t="str">
        <f t="shared" si="17"/>
        <v>Medium</v>
      </c>
      <c r="E321">
        <f t="shared" si="16"/>
        <v>100</v>
      </c>
      <c r="F321">
        <f t="shared" si="18"/>
        <v>3.29</v>
      </c>
      <c r="G321">
        <f t="shared" si="19"/>
        <v>3.29</v>
      </c>
      <c r="H321">
        <f>ROUND(Latency_Based_Targeting18[[#This Row],[Average time to convert in Days]]-Latency_Based_Targeting18[[#This Row],[Improved Time to convert]],2)</f>
        <v>0</v>
      </c>
      <c r="I321" s="47">
        <f>Latency_Based_Targeting18[[#This Row],[Time Saved]]/Latency_Based_Targeting18[[#This Row],[Average time to convert in Days]]</f>
        <v>0</v>
      </c>
    </row>
    <row r="322" spans="1:9">
      <c r="A322">
        <v>276307</v>
      </c>
      <c r="B322">
        <v>2449912</v>
      </c>
      <c r="C322">
        <v>5326.3166670000001</v>
      </c>
      <c r="D322" t="str">
        <f t="shared" si="17"/>
        <v>High</v>
      </c>
      <c r="E322">
        <f t="shared" ref="E322:E348" si="20">IF(D322="Very High", 300, IF(D322="High", 200, IF(D322="Medium", 100, 50)))</f>
        <v>200</v>
      </c>
      <c r="F322">
        <f t="shared" si="18"/>
        <v>3.7</v>
      </c>
      <c r="G322">
        <f t="shared" si="19"/>
        <v>2.59</v>
      </c>
      <c r="H322">
        <f>ROUND(Latency_Based_Targeting18[[#This Row],[Average time to convert in Days]]-Latency_Based_Targeting18[[#This Row],[Improved Time to convert]],2)</f>
        <v>1.1100000000000001</v>
      </c>
      <c r="I322" s="47">
        <f>Latency_Based_Targeting18[[#This Row],[Time Saved]]/Latency_Based_Targeting18[[#This Row],[Average time to convert in Days]]</f>
        <v>0.3</v>
      </c>
    </row>
    <row r="323" spans="1:9">
      <c r="A323">
        <v>409359</v>
      </c>
      <c r="B323">
        <v>2576368</v>
      </c>
      <c r="C323">
        <v>4198.7166669999997</v>
      </c>
      <c r="D323" t="str">
        <f t="shared" ref="D323:D348" si="21">IF(F323&lt;=2.5, "Low",
 IF(F323&lt;=3.5, "Medium",
 IF(F323&lt;=5.5, "High", "Very High")))</f>
        <v>Medium</v>
      </c>
      <c r="E323">
        <f t="shared" si="20"/>
        <v>100</v>
      </c>
      <c r="F323">
        <f t="shared" ref="F323:F348" si="22">ROUND(C323/1440,2)</f>
        <v>2.92</v>
      </c>
      <c r="G323">
        <f t="shared" ref="G323:G348" si="23">IF(D323="High", F323*0.7,
 IF(D323="Very High", F323*0.65,
 F323))</f>
        <v>2.92</v>
      </c>
      <c r="H323">
        <f>ROUND(Latency_Based_Targeting18[[#This Row],[Average time to convert in Days]]-Latency_Based_Targeting18[[#This Row],[Improved Time to convert]],2)</f>
        <v>0</v>
      </c>
      <c r="I323" s="47">
        <f>Latency_Based_Targeting18[[#This Row],[Time Saved]]/Latency_Based_Targeting18[[#This Row],[Average time to convert in Days]]</f>
        <v>0</v>
      </c>
    </row>
    <row r="324" spans="1:9">
      <c r="A324">
        <v>559916</v>
      </c>
      <c r="B324">
        <v>2648375</v>
      </c>
      <c r="C324">
        <v>4384.0333330000003</v>
      </c>
      <c r="D324" t="str">
        <f t="shared" si="21"/>
        <v>Medium</v>
      </c>
      <c r="E324">
        <f t="shared" si="20"/>
        <v>100</v>
      </c>
      <c r="F324">
        <f t="shared" si="22"/>
        <v>3.04</v>
      </c>
      <c r="G324">
        <f t="shared" si="23"/>
        <v>3.04</v>
      </c>
      <c r="H324">
        <f>ROUND(Latency_Based_Targeting18[[#This Row],[Average time to convert in Days]]-Latency_Based_Targeting18[[#This Row],[Improved Time to convert]],2)</f>
        <v>0</v>
      </c>
      <c r="I324" s="47">
        <f>Latency_Based_Targeting18[[#This Row],[Time Saved]]/Latency_Based_Targeting18[[#This Row],[Average time to convert in Days]]</f>
        <v>0</v>
      </c>
    </row>
    <row r="325" spans="1:9">
      <c r="A325">
        <v>798392</v>
      </c>
      <c r="B325">
        <v>2682924</v>
      </c>
      <c r="C325">
        <v>4697.0666670000001</v>
      </c>
      <c r="D325" t="str">
        <f t="shared" si="21"/>
        <v>Medium</v>
      </c>
      <c r="E325">
        <f t="shared" si="20"/>
        <v>100</v>
      </c>
      <c r="F325">
        <f t="shared" si="22"/>
        <v>3.26</v>
      </c>
      <c r="G325">
        <f t="shared" si="23"/>
        <v>3.26</v>
      </c>
      <c r="H325">
        <f>ROUND(Latency_Based_Targeting18[[#This Row],[Average time to convert in Days]]-Latency_Based_Targeting18[[#This Row],[Improved Time to convert]],2)</f>
        <v>0</v>
      </c>
      <c r="I325" s="47">
        <f>Latency_Based_Targeting18[[#This Row],[Time Saved]]/Latency_Based_Targeting18[[#This Row],[Average time to convert in Days]]</f>
        <v>0</v>
      </c>
    </row>
    <row r="326" spans="1:9">
      <c r="A326">
        <v>300770</v>
      </c>
      <c r="B326">
        <v>2767355</v>
      </c>
      <c r="C326">
        <v>5219.3166670000001</v>
      </c>
      <c r="D326" t="str">
        <f t="shared" si="21"/>
        <v>High</v>
      </c>
      <c r="E326">
        <f t="shared" si="20"/>
        <v>200</v>
      </c>
      <c r="F326">
        <f t="shared" si="22"/>
        <v>3.62</v>
      </c>
      <c r="G326">
        <f t="shared" si="23"/>
        <v>2.5339999999999998</v>
      </c>
      <c r="H326">
        <f>ROUND(Latency_Based_Targeting18[[#This Row],[Average time to convert in Days]]-Latency_Based_Targeting18[[#This Row],[Improved Time to convert]],2)</f>
        <v>1.0900000000000001</v>
      </c>
      <c r="I326" s="47">
        <f>Latency_Based_Targeting18[[#This Row],[Time Saved]]/Latency_Based_Targeting18[[#This Row],[Average time to convert in Days]]</f>
        <v>0.30110497237569062</v>
      </c>
    </row>
    <row r="327" spans="1:9">
      <c r="A327">
        <v>239746</v>
      </c>
      <c r="B327">
        <v>2884879</v>
      </c>
      <c r="C327">
        <v>5024.1083333349998</v>
      </c>
      <c r="D327" t="str">
        <f t="shared" si="21"/>
        <v>Medium</v>
      </c>
      <c r="E327">
        <f t="shared" si="20"/>
        <v>100</v>
      </c>
      <c r="F327">
        <f t="shared" si="22"/>
        <v>3.49</v>
      </c>
      <c r="G327">
        <f t="shared" si="23"/>
        <v>3.49</v>
      </c>
      <c r="H327">
        <f>ROUND(Latency_Based_Targeting18[[#This Row],[Average time to convert in Days]]-Latency_Based_Targeting18[[#This Row],[Improved Time to convert]],2)</f>
        <v>0</v>
      </c>
      <c r="I327" s="47">
        <f>Latency_Based_Targeting18[[#This Row],[Time Saved]]/Latency_Based_Targeting18[[#This Row],[Average time to convert in Days]]</f>
        <v>0</v>
      </c>
    </row>
    <row r="328" spans="1:9">
      <c r="A328">
        <v>169325</v>
      </c>
      <c r="B328">
        <v>2922504</v>
      </c>
      <c r="C328">
        <v>5996.9</v>
      </c>
      <c r="D328" t="str">
        <f t="shared" si="21"/>
        <v>High</v>
      </c>
      <c r="E328">
        <f t="shared" si="20"/>
        <v>200</v>
      </c>
      <c r="F328">
        <f t="shared" si="22"/>
        <v>4.16</v>
      </c>
      <c r="G328">
        <f t="shared" si="23"/>
        <v>2.9119999999999999</v>
      </c>
      <c r="H328">
        <f>ROUND(Latency_Based_Targeting18[[#This Row],[Average time to convert in Days]]-Latency_Based_Targeting18[[#This Row],[Improved Time to convert]],2)</f>
        <v>1.25</v>
      </c>
      <c r="I328" s="47">
        <f>Latency_Based_Targeting18[[#This Row],[Time Saved]]/Latency_Based_Targeting18[[#This Row],[Average time to convert in Days]]</f>
        <v>0.30048076923076922</v>
      </c>
    </row>
    <row r="329" spans="1:9">
      <c r="A329">
        <v>857032</v>
      </c>
      <c r="B329">
        <v>3014024</v>
      </c>
      <c r="C329">
        <v>8345.2999999999993</v>
      </c>
      <c r="D329" t="str">
        <f t="shared" si="21"/>
        <v>Very High</v>
      </c>
      <c r="E329">
        <f t="shared" si="20"/>
        <v>300</v>
      </c>
      <c r="F329">
        <f t="shared" si="22"/>
        <v>5.8</v>
      </c>
      <c r="G329">
        <f t="shared" si="23"/>
        <v>3.77</v>
      </c>
      <c r="H329">
        <f>ROUND(Latency_Based_Targeting18[[#This Row],[Average time to convert in Days]]-Latency_Based_Targeting18[[#This Row],[Improved Time to convert]],2)</f>
        <v>2.0299999999999998</v>
      </c>
      <c r="I329" s="47">
        <f>Latency_Based_Targeting18[[#This Row],[Time Saved]]/Latency_Based_Targeting18[[#This Row],[Average time to convert in Days]]</f>
        <v>0.35</v>
      </c>
    </row>
    <row r="330" spans="1:9">
      <c r="A330">
        <v>415385</v>
      </c>
      <c r="B330">
        <v>3049033</v>
      </c>
      <c r="C330">
        <v>9760.8833329999998</v>
      </c>
      <c r="D330" t="str">
        <f t="shared" si="21"/>
        <v>Very High</v>
      </c>
      <c r="E330">
        <f t="shared" si="20"/>
        <v>300</v>
      </c>
      <c r="F330">
        <f t="shared" si="22"/>
        <v>6.78</v>
      </c>
      <c r="G330">
        <f t="shared" si="23"/>
        <v>4.407</v>
      </c>
      <c r="H330">
        <f>ROUND(Latency_Based_Targeting18[[#This Row],[Average time to convert in Days]]-Latency_Based_Targeting18[[#This Row],[Improved Time to convert]],2)</f>
        <v>2.37</v>
      </c>
      <c r="I330" s="47">
        <f>Latency_Based_Targeting18[[#This Row],[Time Saved]]/Latency_Based_Targeting18[[#This Row],[Average time to convert in Days]]</f>
        <v>0.34955752212389379</v>
      </c>
    </row>
    <row r="331" spans="1:9">
      <c r="A331">
        <v>736717</v>
      </c>
      <c r="B331">
        <v>3332827</v>
      </c>
      <c r="C331">
        <v>5921.1</v>
      </c>
      <c r="D331" t="str">
        <f t="shared" si="21"/>
        <v>High</v>
      </c>
      <c r="E331">
        <f t="shared" si="20"/>
        <v>200</v>
      </c>
      <c r="F331">
        <f t="shared" si="22"/>
        <v>4.1100000000000003</v>
      </c>
      <c r="G331">
        <f t="shared" si="23"/>
        <v>2.8770000000000002</v>
      </c>
      <c r="H331">
        <f>ROUND(Latency_Based_Targeting18[[#This Row],[Average time to convert in Days]]-Latency_Based_Targeting18[[#This Row],[Improved Time to convert]],2)</f>
        <v>1.23</v>
      </c>
      <c r="I331" s="47">
        <f>Latency_Based_Targeting18[[#This Row],[Time Saved]]/Latency_Based_Targeting18[[#This Row],[Average time to convert in Days]]</f>
        <v>0.2992700729927007</v>
      </c>
    </row>
    <row r="332" spans="1:9">
      <c r="A332">
        <v>922184</v>
      </c>
      <c r="B332">
        <v>3653685</v>
      </c>
      <c r="C332">
        <v>4410.3833329999998</v>
      </c>
      <c r="D332" t="str">
        <f t="shared" si="21"/>
        <v>Medium</v>
      </c>
      <c r="E332">
        <f t="shared" si="20"/>
        <v>100</v>
      </c>
      <c r="F332">
        <f t="shared" si="22"/>
        <v>3.06</v>
      </c>
      <c r="G332">
        <f t="shared" si="23"/>
        <v>3.06</v>
      </c>
      <c r="H332">
        <f>ROUND(Latency_Based_Targeting18[[#This Row],[Average time to convert in Days]]-Latency_Based_Targeting18[[#This Row],[Improved Time to convert]],2)</f>
        <v>0</v>
      </c>
      <c r="I332" s="47">
        <f>Latency_Based_Targeting18[[#This Row],[Time Saved]]/Latency_Based_Targeting18[[#This Row],[Average time to convert in Days]]</f>
        <v>0</v>
      </c>
    </row>
    <row r="333" spans="1:9">
      <c r="A333">
        <v>670108</v>
      </c>
      <c r="B333">
        <v>3735700</v>
      </c>
      <c r="C333">
        <v>5748.2833330000003</v>
      </c>
      <c r="D333" t="str">
        <f t="shared" si="21"/>
        <v>High</v>
      </c>
      <c r="E333">
        <f t="shared" si="20"/>
        <v>200</v>
      </c>
      <c r="F333">
        <f t="shared" si="22"/>
        <v>3.99</v>
      </c>
      <c r="G333">
        <f t="shared" si="23"/>
        <v>2.7930000000000001</v>
      </c>
      <c r="H333">
        <f>ROUND(Latency_Based_Targeting18[[#This Row],[Average time to convert in Days]]-Latency_Based_Targeting18[[#This Row],[Improved Time to convert]],2)</f>
        <v>1.2</v>
      </c>
      <c r="I333" s="47">
        <f>Latency_Based_Targeting18[[#This Row],[Time Saved]]/Latency_Based_Targeting18[[#This Row],[Average time to convert in Days]]</f>
        <v>0.3007518796992481</v>
      </c>
    </row>
    <row r="334" spans="1:9">
      <c r="A334">
        <v>370272</v>
      </c>
      <c r="B334">
        <v>3755606</v>
      </c>
      <c r="C334">
        <v>5647.0333330000003</v>
      </c>
      <c r="D334" t="str">
        <f t="shared" si="21"/>
        <v>High</v>
      </c>
      <c r="E334">
        <f t="shared" si="20"/>
        <v>200</v>
      </c>
      <c r="F334">
        <f t="shared" si="22"/>
        <v>3.92</v>
      </c>
      <c r="G334">
        <f t="shared" si="23"/>
        <v>2.7439999999999998</v>
      </c>
      <c r="H334">
        <f>ROUND(Latency_Based_Targeting18[[#This Row],[Average time to convert in Days]]-Latency_Based_Targeting18[[#This Row],[Improved Time to convert]],2)</f>
        <v>1.18</v>
      </c>
      <c r="I334" s="47">
        <f>Latency_Based_Targeting18[[#This Row],[Time Saved]]/Latency_Based_Targeting18[[#This Row],[Average time to convert in Days]]</f>
        <v>0.30102040816326531</v>
      </c>
    </row>
    <row r="335" spans="1:9">
      <c r="A335">
        <v>610421</v>
      </c>
      <c r="B335">
        <v>3850423</v>
      </c>
      <c r="C335">
        <v>5602.55</v>
      </c>
      <c r="D335" t="str">
        <f t="shared" si="21"/>
        <v>High</v>
      </c>
      <c r="E335">
        <f t="shared" si="20"/>
        <v>200</v>
      </c>
      <c r="F335">
        <f t="shared" si="22"/>
        <v>3.89</v>
      </c>
      <c r="G335">
        <f t="shared" si="23"/>
        <v>2.7229999999999999</v>
      </c>
      <c r="H335">
        <f>ROUND(Latency_Based_Targeting18[[#This Row],[Average time to convert in Days]]-Latency_Based_Targeting18[[#This Row],[Improved Time to convert]],2)</f>
        <v>1.17</v>
      </c>
      <c r="I335" s="47">
        <f>Latency_Based_Targeting18[[#This Row],[Time Saved]]/Latency_Based_Targeting18[[#This Row],[Average time to convert in Days]]</f>
        <v>0.30077120822622105</v>
      </c>
    </row>
    <row r="336" spans="1:9">
      <c r="A336">
        <v>257303</v>
      </c>
      <c r="B336">
        <v>3863770</v>
      </c>
      <c r="C336">
        <v>9889.0499999999993</v>
      </c>
      <c r="D336" t="str">
        <f t="shared" si="21"/>
        <v>Very High</v>
      </c>
      <c r="E336">
        <f t="shared" si="20"/>
        <v>300</v>
      </c>
      <c r="F336">
        <f t="shared" si="22"/>
        <v>6.87</v>
      </c>
      <c r="G336">
        <f t="shared" si="23"/>
        <v>4.4655000000000005</v>
      </c>
      <c r="H336">
        <f>ROUND(Latency_Based_Targeting18[[#This Row],[Average time to convert in Days]]-Latency_Based_Targeting18[[#This Row],[Improved Time to convert]],2)</f>
        <v>2.4</v>
      </c>
      <c r="I336" s="47">
        <f>Latency_Based_Targeting18[[#This Row],[Time Saved]]/Latency_Based_Targeting18[[#This Row],[Average time to convert in Days]]</f>
        <v>0.34934497816593885</v>
      </c>
    </row>
    <row r="337" spans="1:9">
      <c r="A337">
        <v>482199</v>
      </c>
      <c r="B337">
        <v>3960759</v>
      </c>
      <c r="C337">
        <v>5755.8</v>
      </c>
      <c r="D337" t="str">
        <f t="shared" si="21"/>
        <v>High</v>
      </c>
      <c r="E337">
        <f t="shared" si="20"/>
        <v>200</v>
      </c>
      <c r="F337">
        <f t="shared" si="22"/>
        <v>4</v>
      </c>
      <c r="G337">
        <f t="shared" si="23"/>
        <v>2.8</v>
      </c>
      <c r="H337">
        <f>ROUND(Latency_Based_Targeting18[[#This Row],[Average time to convert in Days]]-Latency_Based_Targeting18[[#This Row],[Improved Time to convert]],2)</f>
        <v>1.2</v>
      </c>
      <c r="I337" s="47">
        <f>Latency_Based_Targeting18[[#This Row],[Time Saved]]/Latency_Based_Targeting18[[#This Row],[Average time to convert in Days]]</f>
        <v>0.3</v>
      </c>
    </row>
    <row r="338" spans="1:9">
      <c r="A338">
        <v>148106</v>
      </c>
      <c r="B338">
        <v>4098302</v>
      </c>
      <c r="C338">
        <v>7152.8166670000001</v>
      </c>
      <c r="D338" t="str">
        <f t="shared" si="21"/>
        <v>High</v>
      </c>
      <c r="E338">
        <f t="shared" si="20"/>
        <v>200</v>
      </c>
      <c r="F338">
        <f t="shared" si="22"/>
        <v>4.97</v>
      </c>
      <c r="G338">
        <f t="shared" si="23"/>
        <v>3.4789999999999996</v>
      </c>
      <c r="H338">
        <f>ROUND(Latency_Based_Targeting18[[#This Row],[Average time to convert in Days]]-Latency_Based_Targeting18[[#This Row],[Improved Time to convert]],2)</f>
        <v>1.49</v>
      </c>
      <c r="I338" s="47">
        <f>Latency_Based_Targeting18[[#This Row],[Time Saved]]/Latency_Based_Targeting18[[#This Row],[Average time to convert in Days]]</f>
        <v>0.29979879275653926</v>
      </c>
    </row>
    <row r="339" spans="1:9">
      <c r="A339">
        <v>525392</v>
      </c>
      <c r="B339">
        <v>4456821</v>
      </c>
      <c r="C339">
        <v>8301.5499999999993</v>
      </c>
      <c r="D339" t="str">
        <f t="shared" si="21"/>
        <v>Very High</v>
      </c>
      <c r="E339">
        <f t="shared" si="20"/>
        <v>300</v>
      </c>
      <c r="F339">
        <f t="shared" si="22"/>
        <v>5.76</v>
      </c>
      <c r="G339">
        <f t="shared" si="23"/>
        <v>3.7439999999999998</v>
      </c>
      <c r="H339">
        <f>ROUND(Latency_Based_Targeting18[[#This Row],[Average time to convert in Days]]-Latency_Based_Targeting18[[#This Row],[Improved Time to convert]],2)</f>
        <v>2.02</v>
      </c>
      <c r="I339" s="47">
        <f>Latency_Based_Targeting18[[#This Row],[Time Saved]]/Latency_Based_Targeting18[[#This Row],[Average time to convert in Days]]</f>
        <v>0.35069444444444448</v>
      </c>
    </row>
    <row r="340" spans="1:9">
      <c r="A340">
        <v>57201</v>
      </c>
      <c r="B340">
        <v>4505689</v>
      </c>
      <c r="C340">
        <v>5764.25</v>
      </c>
      <c r="D340" t="str">
        <f t="shared" si="21"/>
        <v>High</v>
      </c>
      <c r="E340">
        <f t="shared" si="20"/>
        <v>200</v>
      </c>
      <c r="F340">
        <f t="shared" si="22"/>
        <v>4</v>
      </c>
      <c r="G340">
        <f t="shared" si="23"/>
        <v>2.8</v>
      </c>
      <c r="H340">
        <f>ROUND(Latency_Based_Targeting18[[#This Row],[Average time to convert in Days]]-Latency_Based_Targeting18[[#This Row],[Improved Time to convert]],2)</f>
        <v>1.2</v>
      </c>
      <c r="I340" s="47">
        <f>Latency_Based_Targeting18[[#This Row],[Time Saved]]/Latency_Based_Targeting18[[#This Row],[Average time to convert in Days]]</f>
        <v>0.3</v>
      </c>
    </row>
    <row r="341" spans="1:9">
      <c r="A341">
        <v>797864</v>
      </c>
      <c r="B341">
        <v>4607034</v>
      </c>
      <c r="C341">
        <v>4503.0250001650002</v>
      </c>
      <c r="D341" t="str">
        <f t="shared" si="21"/>
        <v>Medium</v>
      </c>
      <c r="E341">
        <f t="shared" si="20"/>
        <v>100</v>
      </c>
      <c r="F341">
        <f t="shared" si="22"/>
        <v>3.13</v>
      </c>
      <c r="G341">
        <f t="shared" si="23"/>
        <v>3.13</v>
      </c>
      <c r="H341">
        <f>ROUND(Latency_Based_Targeting18[[#This Row],[Average time to convert in Days]]-Latency_Based_Targeting18[[#This Row],[Improved Time to convert]],2)</f>
        <v>0</v>
      </c>
      <c r="I341" s="47">
        <f>Latency_Based_Targeting18[[#This Row],[Time Saved]]/Latency_Based_Targeting18[[#This Row],[Average time to convert in Days]]</f>
        <v>0</v>
      </c>
    </row>
    <row r="342" spans="1:9">
      <c r="A342">
        <v>15470</v>
      </c>
      <c r="B342">
        <v>4668687</v>
      </c>
      <c r="C342">
        <v>6537.5</v>
      </c>
      <c r="D342" t="str">
        <f t="shared" si="21"/>
        <v>High</v>
      </c>
      <c r="E342">
        <f t="shared" si="20"/>
        <v>200</v>
      </c>
      <c r="F342">
        <f t="shared" si="22"/>
        <v>4.54</v>
      </c>
      <c r="G342">
        <f t="shared" si="23"/>
        <v>3.1779999999999999</v>
      </c>
      <c r="H342">
        <f>ROUND(Latency_Based_Targeting18[[#This Row],[Average time to convert in Days]]-Latency_Based_Targeting18[[#This Row],[Improved Time to convert]],2)</f>
        <v>1.36</v>
      </c>
      <c r="I342" s="47">
        <f>Latency_Based_Targeting18[[#This Row],[Time Saved]]/Latency_Based_Targeting18[[#This Row],[Average time to convert in Days]]</f>
        <v>0.29955947136563876</v>
      </c>
    </row>
    <row r="343" spans="1:9">
      <c r="A343">
        <v>136750</v>
      </c>
      <c r="B343">
        <v>4721641</v>
      </c>
      <c r="C343">
        <v>4948.3500000000004</v>
      </c>
      <c r="D343" t="str">
        <f t="shared" si="21"/>
        <v>Medium</v>
      </c>
      <c r="E343">
        <f t="shared" si="20"/>
        <v>100</v>
      </c>
      <c r="F343">
        <f t="shared" si="22"/>
        <v>3.44</v>
      </c>
      <c r="G343">
        <f t="shared" si="23"/>
        <v>3.44</v>
      </c>
      <c r="H343">
        <f>ROUND(Latency_Based_Targeting18[[#This Row],[Average time to convert in Days]]-Latency_Based_Targeting18[[#This Row],[Improved Time to convert]],2)</f>
        <v>0</v>
      </c>
      <c r="I343" s="47">
        <f>Latency_Based_Targeting18[[#This Row],[Time Saved]]/Latency_Based_Targeting18[[#This Row],[Average time to convert in Days]]</f>
        <v>0</v>
      </c>
    </row>
    <row r="344" spans="1:9">
      <c r="A344">
        <v>418751</v>
      </c>
      <c r="B344">
        <v>4909975</v>
      </c>
      <c r="C344">
        <v>7040.35</v>
      </c>
      <c r="D344" t="str">
        <f t="shared" si="21"/>
        <v>High</v>
      </c>
      <c r="E344">
        <f t="shared" si="20"/>
        <v>200</v>
      </c>
      <c r="F344">
        <f t="shared" si="22"/>
        <v>4.8899999999999997</v>
      </c>
      <c r="G344">
        <f t="shared" si="23"/>
        <v>3.4229999999999996</v>
      </c>
      <c r="H344">
        <f>ROUND(Latency_Based_Targeting18[[#This Row],[Average time to convert in Days]]-Latency_Based_Targeting18[[#This Row],[Improved Time to convert]],2)</f>
        <v>1.47</v>
      </c>
      <c r="I344" s="47">
        <f>Latency_Based_Targeting18[[#This Row],[Time Saved]]/Latency_Based_Targeting18[[#This Row],[Average time to convert in Days]]</f>
        <v>0.30061349693251538</v>
      </c>
    </row>
    <row r="345" spans="1:9">
      <c r="A345">
        <v>522107</v>
      </c>
      <c r="B345">
        <v>4991917</v>
      </c>
      <c r="C345">
        <v>6111.3</v>
      </c>
      <c r="D345" t="str">
        <f t="shared" si="21"/>
        <v>High</v>
      </c>
      <c r="E345">
        <f t="shared" si="20"/>
        <v>200</v>
      </c>
      <c r="F345">
        <f t="shared" si="22"/>
        <v>4.24</v>
      </c>
      <c r="G345">
        <f t="shared" si="23"/>
        <v>2.968</v>
      </c>
      <c r="H345">
        <f>ROUND(Latency_Based_Targeting18[[#This Row],[Average time to convert in Days]]-Latency_Based_Targeting18[[#This Row],[Improved Time to convert]],2)</f>
        <v>1.27</v>
      </c>
      <c r="I345" s="47">
        <f>Latency_Based_Targeting18[[#This Row],[Time Saved]]/Latency_Based_Targeting18[[#This Row],[Average time to convert in Days]]</f>
        <v>0.29952830188679247</v>
      </c>
    </row>
    <row r="346" spans="1:9">
      <c r="A346">
        <v>477240</v>
      </c>
      <c r="B346">
        <v>5118314</v>
      </c>
      <c r="C346">
        <v>5491.2</v>
      </c>
      <c r="D346" t="str">
        <f t="shared" si="21"/>
        <v>High</v>
      </c>
      <c r="E346">
        <f t="shared" si="20"/>
        <v>200</v>
      </c>
      <c r="F346">
        <f t="shared" si="22"/>
        <v>3.81</v>
      </c>
      <c r="G346">
        <f t="shared" si="23"/>
        <v>2.6669999999999998</v>
      </c>
      <c r="H346">
        <f>ROUND(Latency_Based_Targeting18[[#This Row],[Average time to convert in Days]]-Latency_Based_Targeting18[[#This Row],[Improved Time to convert]],2)</f>
        <v>1.1399999999999999</v>
      </c>
      <c r="I346" s="47">
        <f>Latency_Based_Targeting18[[#This Row],[Time Saved]]/Latency_Based_Targeting18[[#This Row],[Average time to convert in Days]]</f>
        <v>0.29921259842519682</v>
      </c>
    </row>
    <row r="347" spans="1:9">
      <c r="A347">
        <v>665009</v>
      </c>
      <c r="B347">
        <v>5130584</v>
      </c>
      <c r="C347">
        <v>4661.0666670000001</v>
      </c>
      <c r="D347" t="str">
        <f t="shared" si="21"/>
        <v>Medium</v>
      </c>
      <c r="E347">
        <f t="shared" si="20"/>
        <v>100</v>
      </c>
      <c r="F347">
        <f t="shared" si="22"/>
        <v>3.24</v>
      </c>
      <c r="G347">
        <f t="shared" si="23"/>
        <v>3.24</v>
      </c>
      <c r="H347">
        <f>ROUND(Latency_Based_Targeting18[[#This Row],[Average time to convert in Days]]-Latency_Based_Targeting18[[#This Row],[Improved Time to convert]],2)</f>
        <v>0</v>
      </c>
      <c r="I347" s="47">
        <f>Latency_Based_Targeting18[[#This Row],[Time Saved]]/Latency_Based_Targeting18[[#This Row],[Average time to convert in Days]]</f>
        <v>0</v>
      </c>
    </row>
    <row r="348" spans="1:9">
      <c r="A348">
        <v>892241</v>
      </c>
      <c r="B348">
        <v>5134469</v>
      </c>
      <c r="C348">
        <v>4751.5333330000003</v>
      </c>
      <c r="D348" t="str">
        <f t="shared" si="21"/>
        <v>Medium</v>
      </c>
      <c r="E348">
        <f t="shared" si="20"/>
        <v>100</v>
      </c>
      <c r="F348">
        <f t="shared" si="22"/>
        <v>3.3</v>
      </c>
      <c r="G348">
        <f t="shared" si="23"/>
        <v>3.3</v>
      </c>
      <c r="H348">
        <f>ROUND(Latency_Based_Targeting18[[#This Row],[Average time to convert in Days]]-Latency_Based_Targeting18[[#This Row],[Improved Time to convert]],2)</f>
        <v>0</v>
      </c>
      <c r="I348" s="47">
        <f>Latency_Based_Targeting18[[#This Row],[Time Saved]]/Latency_Based_Targeting18[[#This Row],[Average time to convert in Days]]</f>
        <v>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7DF73-52C3-4B73-8AF3-5433AC89FF68}">
  <dimension ref="A1:C6"/>
  <sheetViews>
    <sheetView workbookViewId="0">
      <selection sqref="A1:D6"/>
    </sheetView>
  </sheetViews>
  <sheetFormatPr defaultRowHeight="14.4"/>
  <cols>
    <col min="1" max="1" width="18.33203125" bestFit="1" customWidth="1"/>
    <col min="2" max="2" width="10.109375" bestFit="1" customWidth="1"/>
    <col min="3" max="3" width="17" bestFit="1" customWidth="1"/>
    <col min="4" max="4" width="34.109375" bestFit="1" customWidth="1"/>
    <col min="5" max="33" width="6" bestFit="1" customWidth="1"/>
    <col min="34" max="344" width="7" bestFit="1" customWidth="1"/>
    <col min="345" max="348" width="8" bestFit="1" customWidth="1"/>
    <col min="349" max="349" width="12" bestFit="1" customWidth="1"/>
  </cols>
  <sheetData>
    <row r="1" spans="1:3">
      <c r="A1" s="10" t="s">
        <v>82</v>
      </c>
      <c r="B1" t="s">
        <v>86</v>
      </c>
      <c r="C1" t="s">
        <v>148</v>
      </c>
    </row>
    <row r="2" spans="1:3">
      <c r="A2" s="29" t="s">
        <v>53</v>
      </c>
      <c r="B2">
        <v>53</v>
      </c>
      <c r="C2">
        <v>10600</v>
      </c>
    </row>
    <row r="3" spans="1:3">
      <c r="A3" s="29" t="s">
        <v>81</v>
      </c>
      <c r="B3">
        <v>97</v>
      </c>
      <c r="C3">
        <v>4850</v>
      </c>
    </row>
    <row r="4" spans="1:3">
      <c r="A4" s="29" t="s">
        <v>54</v>
      </c>
      <c r="B4">
        <v>181</v>
      </c>
      <c r="C4">
        <v>18100</v>
      </c>
    </row>
    <row r="5" spans="1:3">
      <c r="A5" s="29" t="s">
        <v>55</v>
      </c>
      <c r="B5">
        <v>16</v>
      </c>
      <c r="C5">
        <v>4800</v>
      </c>
    </row>
    <row r="6" spans="1:3">
      <c r="A6" s="29" t="s">
        <v>50</v>
      </c>
      <c r="B6">
        <v>347</v>
      </c>
      <c r="C6">
        <v>38350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3EE69-9A68-4936-A2AD-5D0CEC2F4F6C}">
  <dimension ref="A1:C1001"/>
  <sheetViews>
    <sheetView topLeftCell="A28" workbookViewId="0">
      <selection sqref="A1:B601"/>
    </sheetView>
  </sheetViews>
  <sheetFormatPr defaultRowHeight="14.4"/>
  <cols>
    <col min="1" max="1" width="16.5546875" customWidth="1"/>
    <col min="2" max="2" width="23.33203125" customWidth="1"/>
    <col min="3" max="3" width="15.33203125" bestFit="1" customWidth="1"/>
  </cols>
  <sheetData>
    <row r="1" spans="1:3">
      <c r="A1" t="s">
        <v>1</v>
      </c>
      <c r="B1" t="s">
        <v>5</v>
      </c>
    </row>
    <row r="2" spans="1:3">
      <c r="A2">
        <v>4756105</v>
      </c>
      <c r="B2">
        <v>842</v>
      </c>
      <c r="C2" s="1"/>
    </row>
    <row r="3" spans="1:3">
      <c r="A3">
        <v>4145813</v>
      </c>
      <c r="B3">
        <v>573</v>
      </c>
      <c r="C3" s="1"/>
    </row>
    <row r="4" spans="1:3">
      <c r="A4">
        <v>982926</v>
      </c>
      <c r="B4">
        <v>473</v>
      </c>
      <c r="C4" s="1"/>
    </row>
    <row r="5" spans="1:3">
      <c r="A5">
        <v>2355072</v>
      </c>
      <c r="B5">
        <v>463</v>
      </c>
      <c r="C5" s="1"/>
    </row>
    <row r="6" spans="1:3">
      <c r="A6">
        <v>2520377</v>
      </c>
      <c r="B6">
        <v>373</v>
      </c>
      <c r="C6" s="1"/>
    </row>
    <row r="7" spans="1:3">
      <c r="A7">
        <v>4801426</v>
      </c>
      <c r="B7">
        <v>372</v>
      </c>
      <c r="C7" s="1"/>
    </row>
    <row r="8" spans="1:3">
      <c r="A8">
        <v>3607361</v>
      </c>
      <c r="B8">
        <v>350</v>
      </c>
      <c r="C8" s="1"/>
    </row>
    <row r="9" spans="1:3">
      <c r="A9">
        <v>2465336</v>
      </c>
      <c r="B9">
        <v>295</v>
      </c>
      <c r="C9" s="1"/>
    </row>
    <row r="10" spans="1:3">
      <c r="A10">
        <v>3002561</v>
      </c>
      <c r="B10">
        <v>266</v>
      </c>
      <c r="C10" s="1"/>
    </row>
    <row r="11" spans="1:3">
      <c r="A11">
        <v>1320293</v>
      </c>
      <c r="B11">
        <v>264</v>
      </c>
      <c r="C11" s="1"/>
    </row>
    <row r="12" spans="1:3">
      <c r="A12">
        <v>4181361</v>
      </c>
      <c r="B12">
        <v>204</v>
      </c>
      <c r="C12" s="1"/>
    </row>
    <row r="13" spans="1:3">
      <c r="A13">
        <v>149192</v>
      </c>
      <c r="B13">
        <v>200</v>
      </c>
      <c r="C13" s="1"/>
    </row>
    <row r="14" spans="1:3">
      <c r="A14">
        <v>4217906</v>
      </c>
      <c r="B14">
        <v>197</v>
      </c>
      <c r="C14" s="1"/>
    </row>
    <row r="15" spans="1:3">
      <c r="A15">
        <v>1080785</v>
      </c>
      <c r="B15">
        <v>190</v>
      </c>
      <c r="C15" s="1"/>
    </row>
    <row r="16" spans="1:3">
      <c r="A16">
        <v>2735466</v>
      </c>
      <c r="B16">
        <v>175</v>
      </c>
      <c r="C16" s="1"/>
    </row>
    <row r="17" spans="1:3">
      <c r="A17">
        <v>1879194</v>
      </c>
      <c r="B17">
        <v>155</v>
      </c>
      <c r="C17" s="1"/>
    </row>
    <row r="18" spans="1:3">
      <c r="A18">
        <v>2885642</v>
      </c>
      <c r="B18">
        <v>136</v>
      </c>
      <c r="C18" s="1"/>
    </row>
    <row r="19" spans="1:3">
      <c r="A19">
        <v>3738615</v>
      </c>
      <c r="B19">
        <v>129</v>
      </c>
      <c r="C19" s="1"/>
    </row>
    <row r="20" spans="1:3">
      <c r="A20">
        <v>1464116</v>
      </c>
      <c r="B20">
        <v>122</v>
      </c>
      <c r="C20" s="1"/>
    </row>
    <row r="21" spans="1:3">
      <c r="A21">
        <v>2520771</v>
      </c>
      <c r="B21">
        <v>121</v>
      </c>
      <c r="C21" s="1"/>
    </row>
    <row r="22" spans="1:3">
      <c r="A22">
        <v>570735</v>
      </c>
      <c r="B22">
        <v>115</v>
      </c>
      <c r="C22" s="1"/>
    </row>
    <row r="23" spans="1:3">
      <c r="A23">
        <v>4357323</v>
      </c>
      <c r="B23">
        <v>112</v>
      </c>
      <c r="C23" s="1"/>
    </row>
    <row r="24" spans="1:3">
      <c r="A24">
        <v>1575622</v>
      </c>
      <c r="B24">
        <v>111</v>
      </c>
      <c r="C24" s="1"/>
    </row>
    <row r="25" spans="1:3">
      <c r="A25">
        <v>154040</v>
      </c>
      <c r="B25">
        <v>108</v>
      </c>
      <c r="C25" s="1"/>
    </row>
    <row r="26" spans="1:3">
      <c r="A26">
        <v>2920476</v>
      </c>
      <c r="B26">
        <v>106</v>
      </c>
      <c r="C26" s="1"/>
    </row>
    <row r="27" spans="1:3">
      <c r="A27">
        <v>2640118</v>
      </c>
      <c r="B27">
        <v>102</v>
      </c>
      <c r="C27" s="1"/>
    </row>
    <row r="28" spans="1:3">
      <c r="A28">
        <v>1299190</v>
      </c>
      <c r="B28">
        <v>89</v>
      </c>
      <c r="C28" s="1"/>
    </row>
    <row r="29" spans="1:3">
      <c r="A29">
        <v>1029459</v>
      </c>
      <c r="B29">
        <v>87</v>
      </c>
      <c r="C29" s="1"/>
    </row>
    <row r="30" spans="1:3">
      <c r="A30">
        <v>4690421</v>
      </c>
      <c r="B30">
        <v>86</v>
      </c>
      <c r="C30" s="1"/>
    </row>
    <row r="31" spans="1:3">
      <c r="A31">
        <v>4643350</v>
      </c>
      <c r="B31">
        <v>83</v>
      </c>
      <c r="C31" s="1"/>
    </row>
    <row r="32" spans="1:3">
      <c r="A32">
        <v>2131531</v>
      </c>
      <c r="B32">
        <v>81</v>
      </c>
      <c r="C32" s="1"/>
    </row>
    <row r="33" spans="1:3">
      <c r="A33">
        <v>4170419</v>
      </c>
      <c r="B33">
        <v>74</v>
      </c>
      <c r="C33" s="1"/>
    </row>
    <row r="34" spans="1:3">
      <c r="A34">
        <v>411153</v>
      </c>
      <c r="B34">
        <v>72</v>
      </c>
      <c r="C34" s="1"/>
    </row>
    <row r="35" spans="1:3">
      <c r="A35">
        <v>753984</v>
      </c>
      <c r="B35">
        <v>68</v>
      </c>
      <c r="C35" s="1"/>
    </row>
    <row r="36" spans="1:3">
      <c r="A36">
        <v>2939262</v>
      </c>
      <c r="B36">
        <v>67</v>
      </c>
      <c r="C36" s="1"/>
    </row>
    <row r="37" spans="1:3">
      <c r="A37">
        <v>1859277</v>
      </c>
      <c r="B37">
        <v>61</v>
      </c>
      <c r="C37" s="1"/>
    </row>
    <row r="38" spans="1:3">
      <c r="A38">
        <v>3299155</v>
      </c>
      <c r="B38">
        <v>56</v>
      </c>
      <c r="C38" s="1"/>
    </row>
    <row r="39" spans="1:3">
      <c r="A39">
        <v>3004853</v>
      </c>
      <c r="B39">
        <v>55</v>
      </c>
      <c r="C39" s="1"/>
    </row>
    <row r="40" spans="1:3">
      <c r="A40">
        <v>903809</v>
      </c>
      <c r="B40">
        <v>53</v>
      </c>
      <c r="C40" s="1"/>
    </row>
    <row r="41" spans="1:3">
      <c r="A41">
        <v>883960</v>
      </c>
      <c r="B41">
        <v>48</v>
      </c>
      <c r="C41" s="1"/>
    </row>
    <row r="42" spans="1:3">
      <c r="A42">
        <v>2945933</v>
      </c>
      <c r="B42">
        <v>48</v>
      </c>
      <c r="C42" s="1"/>
    </row>
    <row r="43" spans="1:3">
      <c r="A43">
        <v>5053508</v>
      </c>
      <c r="B43">
        <v>44</v>
      </c>
      <c r="C43" s="1"/>
    </row>
    <row r="44" spans="1:3">
      <c r="A44">
        <v>1051370</v>
      </c>
      <c r="B44">
        <v>44</v>
      </c>
      <c r="C44" s="1"/>
    </row>
    <row r="45" spans="1:3">
      <c r="A45">
        <v>344833</v>
      </c>
      <c r="B45">
        <v>42</v>
      </c>
      <c r="C45" s="1"/>
    </row>
    <row r="46" spans="1:3">
      <c r="A46">
        <v>1379146</v>
      </c>
      <c r="B46">
        <v>40</v>
      </c>
      <c r="C46" s="1"/>
    </row>
    <row r="47" spans="1:3">
      <c r="A47">
        <v>2926020</v>
      </c>
      <c r="B47">
        <v>40</v>
      </c>
      <c r="C47" s="1"/>
    </row>
    <row r="48" spans="1:3">
      <c r="A48">
        <v>3102419</v>
      </c>
      <c r="B48">
        <v>39</v>
      </c>
      <c r="C48" s="1"/>
    </row>
    <row r="49" spans="1:3">
      <c r="A49">
        <v>5071267</v>
      </c>
      <c r="B49">
        <v>38</v>
      </c>
      <c r="C49" s="1"/>
    </row>
    <row r="50" spans="1:3">
      <c r="A50">
        <v>4558987</v>
      </c>
      <c r="B50">
        <v>38</v>
      </c>
      <c r="C50" s="1"/>
    </row>
    <row r="51" spans="1:3">
      <c r="A51">
        <v>235534</v>
      </c>
      <c r="B51">
        <v>38</v>
      </c>
      <c r="C51" s="1"/>
    </row>
    <row r="52" spans="1:3">
      <c r="A52">
        <v>1349561</v>
      </c>
      <c r="B52">
        <v>37</v>
      </c>
      <c r="C52" s="1"/>
    </row>
    <row r="53" spans="1:3">
      <c r="A53">
        <v>4789432</v>
      </c>
      <c r="B53">
        <v>37</v>
      </c>
      <c r="C53" s="1"/>
    </row>
    <row r="54" spans="1:3">
      <c r="A54">
        <v>2558244</v>
      </c>
      <c r="B54">
        <v>36</v>
      </c>
      <c r="C54" s="1"/>
    </row>
    <row r="55" spans="1:3">
      <c r="A55">
        <v>965809</v>
      </c>
      <c r="B55">
        <v>36</v>
      </c>
      <c r="C55" s="1"/>
    </row>
    <row r="56" spans="1:3">
      <c r="A56">
        <v>4244487</v>
      </c>
      <c r="B56">
        <v>35</v>
      </c>
      <c r="C56" s="1"/>
    </row>
    <row r="57" spans="1:3">
      <c r="A57">
        <v>1568197</v>
      </c>
      <c r="B57">
        <v>35</v>
      </c>
      <c r="C57" s="1"/>
    </row>
    <row r="58" spans="1:3">
      <c r="A58">
        <v>4022701</v>
      </c>
      <c r="B58">
        <v>35</v>
      </c>
      <c r="C58" s="1"/>
    </row>
    <row r="59" spans="1:3">
      <c r="A59">
        <v>245312</v>
      </c>
      <c r="B59">
        <v>35</v>
      </c>
      <c r="C59" s="1"/>
    </row>
    <row r="60" spans="1:3">
      <c r="A60">
        <v>1567637</v>
      </c>
      <c r="B60">
        <v>32</v>
      </c>
      <c r="C60" s="1"/>
    </row>
    <row r="61" spans="1:3">
      <c r="A61">
        <v>285583</v>
      </c>
      <c r="B61">
        <v>31</v>
      </c>
      <c r="C61" s="1"/>
    </row>
    <row r="62" spans="1:3">
      <c r="A62">
        <v>2440115</v>
      </c>
      <c r="B62">
        <v>31</v>
      </c>
      <c r="C62" s="1"/>
    </row>
    <row r="63" spans="1:3">
      <c r="A63">
        <v>4173315</v>
      </c>
      <c r="B63">
        <v>31</v>
      </c>
      <c r="C63" s="1"/>
    </row>
    <row r="64" spans="1:3">
      <c r="A64">
        <v>4672807</v>
      </c>
      <c r="B64">
        <v>30</v>
      </c>
      <c r="C64" s="1"/>
    </row>
    <row r="65" spans="1:3">
      <c r="A65">
        <v>200278</v>
      </c>
      <c r="B65">
        <v>29</v>
      </c>
      <c r="C65" s="1"/>
    </row>
    <row r="66" spans="1:3">
      <c r="A66">
        <v>384755</v>
      </c>
      <c r="B66">
        <v>29</v>
      </c>
      <c r="C66" s="1"/>
    </row>
    <row r="67" spans="1:3">
      <c r="A67">
        <v>2578647</v>
      </c>
      <c r="B67">
        <v>29</v>
      </c>
      <c r="C67" s="1"/>
    </row>
    <row r="68" spans="1:3">
      <c r="A68">
        <v>1787510</v>
      </c>
      <c r="B68">
        <v>29</v>
      </c>
      <c r="C68" s="1"/>
    </row>
    <row r="69" spans="1:3">
      <c r="A69">
        <v>2629787</v>
      </c>
      <c r="B69">
        <v>28</v>
      </c>
      <c r="C69" s="1"/>
    </row>
    <row r="70" spans="1:3">
      <c r="A70">
        <v>4082778</v>
      </c>
      <c r="B70">
        <v>28</v>
      </c>
      <c r="C70" s="1"/>
    </row>
    <row r="71" spans="1:3">
      <c r="A71">
        <v>1154246</v>
      </c>
      <c r="B71">
        <v>28</v>
      </c>
      <c r="C71" s="1"/>
    </row>
    <row r="72" spans="1:3">
      <c r="A72">
        <v>4069500</v>
      </c>
      <c r="B72">
        <v>28</v>
      </c>
      <c r="C72" s="1"/>
    </row>
    <row r="73" spans="1:3">
      <c r="A73">
        <v>4284875</v>
      </c>
      <c r="B73">
        <v>28</v>
      </c>
      <c r="C73" s="1"/>
    </row>
    <row r="74" spans="1:3">
      <c r="A74">
        <v>3645362</v>
      </c>
      <c r="B74">
        <v>27</v>
      </c>
      <c r="C74" s="1"/>
    </row>
    <row r="75" spans="1:3">
      <c r="A75">
        <v>1265358</v>
      </c>
      <c r="B75">
        <v>27</v>
      </c>
      <c r="C75" s="1"/>
    </row>
    <row r="76" spans="1:3">
      <c r="A76">
        <v>737184</v>
      </c>
      <c r="B76">
        <v>27</v>
      </c>
      <c r="C76" s="1"/>
    </row>
    <row r="77" spans="1:3">
      <c r="A77">
        <v>2693696</v>
      </c>
      <c r="B77">
        <v>27</v>
      </c>
      <c r="C77" s="1"/>
    </row>
    <row r="78" spans="1:3">
      <c r="A78">
        <v>4731191</v>
      </c>
      <c r="B78">
        <v>27</v>
      </c>
      <c r="C78" s="1"/>
    </row>
    <row r="79" spans="1:3">
      <c r="A79">
        <v>886203</v>
      </c>
      <c r="B79">
        <v>27</v>
      </c>
      <c r="C79" s="1"/>
    </row>
    <row r="80" spans="1:3">
      <c r="A80">
        <v>1216617</v>
      </c>
      <c r="B80">
        <v>26</v>
      </c>
      <c r="C80" s="1"/>
    </row>
    <row r="81" spans="1:3">
      <c r="A81">
        <v>4993094</v>
      </c>
      <c r="B81">
        <v>26</v>
      </c>
      <c r="C81" s="1"/>
    </row>
    <row r="82" spans="1:3">
      <c r="A82">
        <v>4697972</v>
      </c>
      <c r="B82">
        <v>26</v>
      </c>
      <c r="C82" s="1"/>
    </row>
    <row r="83" spans="1:3">
      <c r="A83">
        <v>866301</v>
      </c>
      <c r="B83">
        <v>25</v>
      </c>
      <c r="C83" s="1"/>
    </row>
    <row r="84" spans="1:3">
      <c r="A84">
        <v>4339722</v>
      </c>
      <c r="B84">
        <v>25</v>
      </c>
      <c r="C84" s="1"/>
    </row>
    <row r="85" spans="1:3">
      <c r="A85">
        <v>238434</v>
      </c>
      <c r="B85">
        <v>24</v>
      </c>
      <c r="C85" s="1"/>
    </row>
    <row r="86" spans="1:3">
      <c r="A86">
        <v>2181935</v>
      </c>
      <c r="B86">
        <v>24</v>
      </c>
      <c r="C86" s="1"/>
    </row>
    <row r="87" spans="1:3">
      <c r="A87">
        <v>846990</v>
      </c>
      <c r="B87">
        <v>24</v>
      </c>
      <c r="C87" s="1"/>
    </row>
    <row r="88" spans="1:3">
      <c r="A88">
        <v>801221</v>
      </c>
      <c r="B88">
        <v>23</v>
      </c>
      <c r="C88" s="1"/>
    </row>
    <row r="89" spans="1:3">
      <c r="A89">
        <v>102272</v>
      </c>
      <c r="B89">
        <v>23</v>
      </c>
      <c r="C89" s="1"/>
    </row>
    <row r="90" spans="1:3">
      <c r="A90">
        <v>2228184</v>
      </c>
      <c r="B90">
        <v>23</v>
      </c>
      <c r="C90" s="1"/>
    </row>
    <row r="91" spans="1:3">
      <c r="A91">
        <v>3975787</v>
      </c>
      <c r="B91">
        <v>23</v>
      </c>
      <c r="C91" s="1"/>
    </row>
    <row r="92" spans="1:3">
      <c r="A92">
        <v>383749</v>
      </c>
      <c r="B92">
        <v>23</v>
      </c>
      <c r="C92" s="1"/>
    </row>
    <row r="93" spans="1:3">
      <c r="A93">
        <v>4882154</v>
      </c>
      <c r="B93">
        <v>23</v>
      </c>
      <c r="C93" s="1"/>
    </row>
    <row r="94" spans="1:3">
      <c r="A94">
        <v>3844144</v>
      </c>
      <c r="B94">
        <v>23</v>
      </c>
      <c r="C94" s="1"/>
    </row>
    <row r="95" spans="1:3">
      <c r="A95">
        <v>1397912</v>
      </c>
      <c r="B95">
        <v>23</v>
      </c>
      <c r="C95" s="1"/>
    </row>
    <row r="96" spans="1:3">
      <c r="A96">
        <v>1275696</v>
      </c>
      <c r="B96">
        <v>22</v>
      </c>
      <c r="C96" s="1"/>
    </row>
    <row r="97" spans="1:3">
      <c r="A97">
        <v>3720767</v>
      </c>
      <c r="B97">
        <v>22</v>
      </c>
      <c r="C97" s="1"/>
    </row>
    <row r="98" spans="1:3">
      <c r="A98">
        <v>381850</v>
      </c>
      <c r="B98">
        <v>22</v>
      </c>
      <c r="C98" s="1"/>
    </row>
    <row r="99" spans="1:3">
      <c r="A99">
        <v>2158079</v>
      </c>
      <c r="B99">
        <v>22</v>
      </c>
      <c r="C99" s="1"/>
    </row>
    <row r="100" spans="1:3">
      <c r="A100">
        <v>1061857</v>
      </c>
      <c r="B100">
        <v>22</v>
      </c>
      <c r="C100" s="1"/>
    </row>
    <row r="101" spans="1:3">
      <c r="A101">
        <v>1312642</v>
      </c>
      <c r="B101">
        <v>22</v>
      </c>
      <c r="C101" s="1"/>
    </row>
    <row r="102" spans="1:3">
      <c r="A102">
        <v>1646753</v>
      </c>
      <c r="B102">
        <v>22</v>
      </c>
      <c r="C102" s="1"/>
    </row>
    <row r="103" spans="1:3">
      <c r="A103">
        <v>3776866</v>
      </c>
      <c r="B103">
        <v>22</v>
      </c>
      <c r="C103" s="1"/>
    </row>
    <row r="104" spans="1:3">
      <c r="A104">
        <v>119741</v>
      </c>
      <c r="B104">
        <v>22</v>
      </c>
      <c r="C104" s="1"/>
    </row>
    <row r="105" spans="1:3">
      <c r="A105">
        <v>1320530</v>
      </c>
      <c r="B105">
        <v>22</v>
      </c>
      <c r="C105" s="1"/>
    </row>
    <row r="106" spans="1:3">
      <c r="A106">
        <v>3065645</v>
      </c>
      <c r="B106">
        <v>21</v>
      </c>
      <c r="C106" s="1"/>
    </row>
    <row r="107" spans="1:3">
      <c r="A107">
        <v>3208959</v>
      </c>
      <c r="B107">
        <v>21</v>
      </c>
      <c r="C107" s="1"/>
    </row>
    <row r="108" spans="1:3">
      <c r="A108">
        <v>2342116</v>
      </c>
      <c r="B108">
        <v>21</v>
      </c>
      <c r="C108" s="1"/>
    </row>
    <row r="109" spans="1:3">
      <c r="A109">
        <v>4462359</v>
      </c>
      <c r="B109">
        <v>20</v>
      </c>
      <c r="C109" s="1"/>
    </row>
    <row r="110" spans="1:3">
      <c r="A110">
        <v>2877672</v>
      </c>
      <c r="B110">
        <v>20</v>
      </c>
      <c r="C110" s="1"/>
    </row>
    <row r="111" spans="1:3">
      <c r="A111">
        <v>1851156</v>
      </c>
      <c r="B111">
        <v>20</v>
      </c>
      <c r="C111" s="1"/>
    </row>
    <row r="112" spans="1:3">
      <c r="A112">
        <v>2462567</v>
      </c>
      <c r="B112">
        <v>19</v>
      </c>
      <c r="C112" s="1"/>
    </row>
    <row r="113" spans="1:3">
      <c r="A113">
        <v>3624696</v>
      </c>
      <c r="B113">
        <v>19</v>
      </c>
      <c r="C113" s="1"/>
    </row>
    <row r="114" spans="1:3">
      <c r="A114">
        <v>634390</v>
      </c>
      <c r="B114">
        <v>18</v>
      </c>
      <c r="C114" s="1"/>
    </row>
    <row r="115" spans="1:3">
      <c r="A115">
        <v>4918438</v>
      </c>
      <c r="B115">
        <v>18</v>
      </c>
      <c r="C115" s="1"/>
    </row>
    <row r="116" spans="1:3">
      <c r="A116">
        <v>941949</v>
      </c>
      <c r="B116">
        <v>18</v>
      </c>
      <c r="C116" s="1"/>
    </row>
    <row r="117" spans="1:3">
      <c r="A117">
        <v>3598912</v>
      </c>
      <c r="B117">
        <v>18</v>
      </c>
      <c r="C117" s="1"/>
    </row>
    <row r="118" spans="1:3">
      <c r="A118">
        <v>2982027</v>
      </c>
      <c r="B118">
        <v>17</v>
      </c>
      <c r="C118" s="1"/>
    </row>
    <row r="119" spans="1:3">
      <c r="A119">
        <v>4159072</v>
      </c>
      <c r="B119">
        <v>17</v>
      </c>
      <c r="C119" s="1"/>
    </row>
    <row r="120" spans="1:3">
      <c r="A120">
        <v>2096639</v>
      </c>
      <c r="B120">
        <v>17</v>
      </c>
      <c r="C120" s="1"/>
    </row>
    <row r="121" spans="1:3">
      <c r="A121">
        <v>1789614</v>
      </c>
      <c r="B121">
        <v>17</v>
      </c>
      <c r="C121" s="1"/>
    </row>
    <row r="122" spans="1:3">
      <c r="A122">
        <v>4358294</v>
      </c>
      <c r="B122">
        <v>17</v>
      </c>
      <c r="C122" s="1"/>
    </row>
    <row r="123" spans="1:3">
      <c r="A123">
        <v>4962280</v>
      </c>
      <c r="B123">
        <v>17</v>
      </c>
      <c r="C123" s="1"/>
    </row>
    <row r="124" spans="1:3">
      <c r="A124">
        <v>405755</v>
      </c>
      <c r="B124">
        <v>17</v>
      </c>
      <c r="C124" s="1"/>
    </row>
    <row r="125" spans="1:3">
      <c r="A125">
        <v>3702593</v>
      </c>
      <c r="B125">
        <v>16</v>
      </c>
      <c r="C125" s="1"/>
    </row>
    <row r="126" spans="1:3">
      <c r="A126">
        <v>2572604</v>
      </c>
      <c r="B126">
        <v>16</v>
      </c>
      <c r="C126" s="1"/>
    </row>
    <row r="127" spans="1:3">
      <c r="A127">
        <v>4476428</v>
      </c>
      <c r="B127">
        <v>16</v>
      </c>
      <c r="C127" s="1"/>
    </row>
    <row r="128" spans="1:3">
      <c r="A128">
        <v>4640311</v>
      </c>
      <c r="B128">
        <v>16</v>
      </c>
      <c r="C128" s="1"/>
    </row>
    <row r="129" spans="1:3">
      <c r="A129">
        <v>2476560</v>
      </c>
      <c r="B129">
        <v>15</v>
      </c>
      <c r="C129" s="1"/>
    </row>
    <row r="130" spans="1:3">
      <c r="A130">
        <v>4163659</v>
      </c>
      <c r="B130">
        <v>15</v>
      </c>
      <c r="C130" s="1"/>
    </row>
    <row r="131" spans="1:3">
      <c r="A131">
        <v>672001</v>
      </c>
      <c r="B131">
        <v>15</v>
      </c>
      <c r="C131" s="1"/>
    </row>
    <row r="132" spans="1:3">
      <c r="A132">
        <v>4606718</v>
      </c>
      <c r="B132">
        <v>15</v>
      </c>
      <c r="C132" s="1"/>
    </row>
    <row r="133" spans="1:3">
      <c r="A133">
        <v>401357</v>
      </c>
      <c r="B133">
        <v>15</v>
      </c>
      <c r="C133" s="1"/>
    </row>
    <row r="134" spans="1:3">
      <c r="A134">
        <v>1834026</v>
      </c>
      <c r="B134">
        <v>15</v>
      </c>
      <c r="C134" s="1"/>
    </row>
    <row r="135" spans="1:3">
      <c r="A135">
        <v>4148053</v>
      </c>
      <c r="B135">
        <v>15</v>
      </c>
      <c r="C135" s="1"/>
    </row>
    <row r="136" spans="1:3">
      <c r="A136">
        <v>72526</v>
      </c>
      <c r="B136">
        <v>15</v>
      </c>
      <c r="C136" s="1"/>
    </row>
    <row r="137" spans="1:3">
      <c r="A137">
        <v>3138705</v>
      </c>
      <c r="B137">
        <v>14</v>
      </c>
      <c r="C137" s="1"/>
    </row>
    <row r="138" spans="1:3">
      <c r="A138">
        <v>2892802</v>
      </c>
      <c r="B138">
        <v>14</v>
      </c>
      <c r="C138" s="1"/>
    </row>
    <row r="139" spans="1:3">
      <c r="A139">
        <v>4919077</v>
      </c>
      <c r="B139">
        <v>14</v>
      </c>
      <c r="C139" s="1"/>
    </row>
    <row r="140" spans="1:3">
      <c r="A140">
        <v>2303546</v>
      </c>
      <c r="B140">
        <v>14</v>
      </c>
      <c r="C140" s="1"/>
    </row>
    <row r="141" spans="1:3">
      <c r="A141">
        <v>3616520</v>
      </c>
      <c r="B141">
        <v>14</v>
      </c>
      <c r="C141" s="1"/>
    </row>
    <row r="142" spans="1:3">
      <c r="A142">
        <v>3800818</v>
      </c>
      <c r="B142">
        <v>14</v>
      </c>
      <c r="C142" s="1"/>
    </row>
    <row r="143" spans="1:3">
      <c r="A143">
        <v>3855599</v>
      </c>
      <c r="B143">
        <v>14</v>
      </c>
      <c r="C143" s="1"/>
    </row>
    <row r="144" spans="1:3">
      <c r="A144">
        <v>874415</v>
      </c>
      <c r="B144">
        <v>14</v>
      </c>
      <c r="C144" s="1"/>
    </row>
    <row r="145" spans="1:3">
      <c r="A145">
        <v>2858794</v>
      </c>
      <c r="B145">
        <v>14</v>
      </c>
      <c r="C145" s="1"/>
    </row>
    <row r="146" spans="1:3">
      <c r="A146">
        <v>800581</v>
      </c>
      <c r="B146">
        <v>14</v>
      </c>
      <c r="C146" s="1"/>
    </row>
    <row r="147" spans="1:3">
      <c r="A147">
        <v>50601</v>
      </c>
      <c r="B147">
        <v>13</v>
      </c>
      <c r="C147" s="1"/>
    </row>
    <row r="148" spans="1:3">
      <c r="A148">
        <v>4048584</v>
      </c>
      <c r="B148">
        <v>13</v>
      </c>
      <c r="C148" s="1"/>
    </row>
    <row r="149" spans="1:3">
      <c r="A149">
        <v>1792277</v>
      </c>
      <c r="B149">
        <v>13</v>
      </c>
      <c r="C149" s="1"/>
    </row>
    <row r="150" spans="1:3">
      <c r="A150">
        <v>2293367</v>
      </c>
      <c r="B150">
        <v>13</v>
      </c>
      <c r="C150" s="1"/>
    </row>
    <row r="151" spans="1:3">
      <c r="A151">
        <v>4310023</v>
      </c>
      <c r="B151">
        <v>13</v>
      </c>
      <c r="C151" s="1"/>
    </row>
    <row r="152" spans="1:3">
      <c r="A152">
        <v>772629</v>
      </c>
      <c r="B152">
        <v>13</v>
      </c>
      <c r="C152" s="1"/>
    </row>
    <row r="153" spans="1:3">
      <c r="A153">
        <v>3898483</v>
      </c>
      <c r="B153">
        <v>13</v>
      </c>
      <c r="C153" s="1"/>
    </row>
    <row r="154" spans="1:3">
      <c r="A154">
        <v>983613</v>
      </c>
      <c r="B154">
        <v>13</v>
      </c>
      <c r="C154" s="1"/>
    </row>
    <row r="155" spans="1:3">
      <c r="A155">
        <v>1488813</v>
      </c>
      <c r="B155">
        <v>13</v>
      </c>
      <c r="C155" s="1"/>
    </row>
    <row r="156" spans="1:3">
      <c r="A156">
        <v>1046047</v>
      </c>
      <c r="B156">
        <v>13</v>
      </c>
      <c r="C156" s="1"/>
    </row>
    <row r="157" spans="1:3">
      <c r="A157">
        <v>2013232</v>
      </c>
      <c r="B157">
        <v>13</v>
      </c>
      <c r="C157" s="1"/>
    </row>
    <row r="158" spans="1:3">
      <c r="A158">
        <v>1467750</v>
      </c>
      <c r="B158">
        <v>13</v>
      </c>
      <c r="C158" s="1"/>
    </row>
    <row r="159" spans="1:3">
      <c r="A159">
        <v>3566034</v>
      </c>
      <c r="B159">
        <v>13</v>
      </c>
      <c r="C159" s="1"/>
    </row>
    <row r="160" spans="1:3">
      <c r="A160">
        <v>4708262</v>
      </c>
      <c r="B160">
        <v>13</v>
      </c>
      <c r="C160" s="1"/>
    </row>
    <row r="161" spans="1:3">
      <c r="A161">
        <v>4242717</v>
      </c>
      <c r="B161">
        <v>12</v>
      </c>
      <c r="C161" s="1"/>
    </row>
    <row r="162" spans="1:3">
      <c r="A162">
        <v>1020087</v>
      </c>
      <c r="B162">
        <v>12</v>
      </c>
      <c r="C162" s="1"/>
    </row>
    <row r="163" spans="1:3">
      <c r="A163">
        <v>4458428</v>
      </c>
      <c r="B163">
        <v>12</v>
      </c>
      <c r="C163" s="1"/>
    </row>
    <row r="164" spans="1:3">
      <c r="A164">
        <v>4391936</v>
      </c>
      <c r="B164">
        <v>12</v>
      </c>
      <c r="C164" s="1"/>
    </row>
    <row r="165" spans="1:3">
      <c r="A165">
        <v>171529</v>
      </c>
      <c r="B165">
        <v>12</v>
      </c>
      <c r="C165" s="1"/>
    </row>
    <row r="166" spans="1:3">
      <c r="A166">
        <v>2529187</v>
      </c>
      <c r="B166">
        <v>12</v>
      </c>
      <c r="C166" s="1"/>
    </row>
    <row r="167" spans="1:3">
      <c r="A167">
        <v>4533189</v>
      </c>
      <c r="B167">
        <v>12</v>
      </c>
      <c r="C167" s="1"/>
    </row>
    <row r="168" spans="1:3">
      <c r="A168">
        <v>3112817</v>
      </c>
      <c r="B168">
        <v>12</v>
      </c>
      <c r="C168" s="1"/>
    </row>
    <row r="169" spans="1:3">
      <c r="A169">
        <v>2072473</v>
      </c>
      <c r="B169">
        <v>12</v>
      </c>
      <c r="C169" s="1"/>
    </row>
    <row r="170" spans="1:3">
      <c r="A170">
        <v>1817004</v>
      </c>
      <c r="B170">
        <v>12</v>
      </c>
      <c r="C170" s="1"/>
    </row>
    <row r="171" spans="1:3">
      <c r="A171">
        <v>4834913</v>
      </c>
      <c r="B171">
        <v>12</v>
      </c>
      <c r="C171" s="1"/>
    </row>
    <row r="172" spans="1:3">
      <c r="A172">
        <v>1008362</v>
      </c>
      <c r="B172">
        <v>12</v>
      </c>
      <c r="C172" s="1"/>
    </row>
    <row r="173" spans="1:3">
      <c r="A173">
        <v>1045172</v>
      </c>
      <c r="B173">
        <v>11</v>
      </c>
      <c r="C173" s="1"/>
    </row>
    <row r="174" spans="1:3">
      <c r="A174">
        <v>4869428</v>
      </c>
      <c r="B174">
        <v>11</v>
      </c>
      <c r="C174" s="1"/>
    </row>
    <row r="175" spans="1:3">
      <c r="A175">
        <v>4818107</v>
      </c>
      <c r="B175">
        <v>11</v>
      </c>
      <c r="C175" s="1"/>
    </row>
    <row r="176" spans="1:3">
      <c r="A176">
        <v>1516409</v>
      </c>
      <c r="B176">
        <v>11</v>
      </c>
      <c r="C176" s="1"/>
    </row>
    <row r="177" spans="1:3">
      <c r="A177">
        <v>4901188</v>
      </c>
      <c r="B177">
        <v>11</v>
      </c>
      <c r="C177" s="1"/>
    </row>
    <row r="178" spans="1:3">
      <c r="A178">
        <v>3194735</v>
      </c>
      <c r="B178">
        <v>11</v>
      </c>
      <c r="C178" s="1"/>
    </row>
    <row r="179" spans="1:3">
      <c r="A179">
        <v>267209</v>
      </c>
      <c r="B179">
        <v>11</v>
      </c>
      <c r="C179" s="1"/>
    </row>
    <row r="180" spans="1:3">
      <c r="A180">
        <v>2827444</v>
      </c>
      <c r="B180">
        <v>11</v>
      </c>
      <c r="C180" s="1"/>
    </row>
    <row r="181" spans="1:3">
      <c r="A181">
        <v>4130426</v>
      </c>
      <c r="B181">
        <v>11</v>
      </c>
      <c r="C181" s="1"/>
    </row>
    <row r="182" spans="1:3">
      <c r="A182">
        <v>3160926</v>
      </c>
      <c r="B182">
        <v>11</v>
      </c>
      <c r="C182" s="1"/>
    </row>
    <row r="183" spans="1:3">
      <c r="A183">
        <v>3015852</v>
      </c>
      <c r="B183">
        <v>11</v>
      </c>
      <c r="C183" s="1"/>
    </row>
    <row r="184" spans="1:3">
      <c r="A184">
        <v>4576874</v>
      </c>
      <c r="B184">
        <v>11</v>
      </c>
      <c r="C184" s="1"/>
    </row>
    <row r="185" spans="1:3">
      <c r="A185">
        <v>3672452</v>
      </c>
      <c r="B185">
        <v>11</v>
      </c>
      <c r="C185" s="1"/>
    </row>
    <row r="186" spans="1:3">
      <c r="A186">
        <v>4589142</v>
      </c>
      <c r="B186">
        <v>11</v>
      </c>
      <c r="C186" s="1"/>
    </row>
    <row r="187" spans="1:3">
      <c r="A187">
        <v>133377</v>
      </c>
      <c r="B187">
        <v>11</v>
      </c>
      <c r="C187" s="1"/>
    </row>
    <row r="188" spans="1:3">
      <c r="A188">
        <v>338646</v>
      </c>
      <c r="B188">
        <v>10</v>
      </c>
      <c r="C188" s="1"/>
    </row>
    <row r="189" spans="1:3">
      <c r="A189">
        <v>4238676</v>
      </c>
      <c r="B189">
        <v>10</v>
      </c>
      <c r="C189" s="1"/>
    </row>
    <row r="190" spans="1:3">
      <c r="A190">
        <v>1573426</v>
      </c>
      <c r="B190">
        <v>10</v>
      </c>
      <c r="C190" s="1"/>
    </row>
    <row r="191" spans="1:3">
      <c r="A191">
        <v>2590256</v>
      </c>
      <c r="B191">
        <v>10</v>
      </c>
      <c r="C191" s="1"/>
    </row>
    <row r="192" spans="1:3">
      <c r="A192">
        <v>2872443</v>
      </c>
      <c r="B192">
        <v>10</v>
      </c>
      <c r="C192" s="1"/>
    </row>
    <row r="193" spans="1:3">
      <c r="A193">
        <v>622168</v>
      </c>
      <c r="B193">
        <v>10</v>
      </c>
      <c r="C193" s="1"/>
    </row>
    <row r="194" spans="1:3">
      <c r="A194">
        <v>1068933</v>
      </c>
      <c r="B194">
        <v>10</v>
      </c>
      <c r="C194" s="1"/>
    </row>
    <row r="195" spans="1:3">
      <c r="A195">
        <v>2087597</v>
      </c>
      <c r="B195">
        <v>10</v>
      </c>
      <c r="C195" s="1"/>
    </row>
    <row r="196" spans="1:3">
      <c r="A196">
        <v>3524510</v>
      </c>
      <c r="B196">
        <v>10</v>
      </c>
      <c r="C196" s="1"/>
    </row>
    <row r="197" spans="1:3">
      <c r="A197">
        <v>3673049</v>
      </c>
      <c r="B197">
        <v>10</v>
      </c>
      <c r="C197" s="1"/>
    </row>
    <row r="198" spans="1:3">
      <c r="A198">
        <v>904454</v>
      </c>
      <c r="B198">
        <v>10</v>
      </c>
      <c r="C198" s="1"/>
    </row>
    <row r="199" spans="1:3">
      <c r="A199">
        <v>2433095</v>
      </c>
      <c r="B199">
        <v>10</v>
      </c>
      <c r="C199" s="1"/>
    </row>
    <row r="200" spans="1:3">
      <c r="A200">
        <v>3189162</v>
      </c>
      <c r="B200">
        <v>10</v>
      </c>
      <c r="C200" s="1"/>
    </row>
    <row r="201" spans="1:3">
      <c r="A201">
        <v>1530704</v>
      </c>
      <c r="B201">
        <v>10</v>
      </c>
      <c r="C201" s="1"/>
    </row>
    <row r="202" spans="1:3">
      <c r="A202">
        <v>4135836</v>
      </c>
      <c r="B202">
        <v>10</v>
      </c>
      <c r="C202" s="1"/>
    </row>
    <row r="203" spans="1:3">
      <c r="A203">
        <v>1729993</v>
      </c>
      <c r="B203">
        <v>9</v>
      </c>
      <c r="C203" s="1"/>
    </row>
    <row r="204" spans="1:3">
      <c r="A204">
        <v>4015820</v>
      </c>
      <c r="B204">
        <v>9</v>
      </c>
      <c r="C204" s="1"/>
    </row>
    <row r="205" spans="1:3">
      <c r="A205">
        <v>1449177</v>
      </c>
      <c r="B205">
        <v>9</v>
      </c>
      <c r="C205" s="1"/>
    </row>
    <row r="206" spans="1:3">
      <c r="A206">
        <v>2748804</v>
      </c>
      <c r="B206">
        <v>9</v>
      </c>
      <c r="C206" s="1"/>
    </row>
    <row r="207" spans="1:3">
      <c r="A207">
        <v>553365</v>
      </c>
      <c r="B207">
        <v>9</v>
      </c>
      <c r="C207" s="1"/>
    </row>
    <row r="208" spans="1:3">
      <c r="A208">
        <v>3277224</v>
      </c>
      <c r="B208">
        <v>9</v>
      </c>
      <c r="C208" s="1"/>
    </row>
    <row r="209" spans="1:3">
      <c r="A209">
        <v>2891408</v>
      </c>
      <c r="B209">
        <v>9</v>
      </c>
      <c r="C209" s="1"/>
    </row>
    <row r="210" spans="1:3">
      <c r="A210">
        <v>3407883</v>
      </c>
      <c r="B210">
        <v>9</v>
      </c>
      <c r="C210" s="1"/>
    </row>
    <row r="211" spans="1:3">
      <c r="A211">
        <v>146830</v>
      </c>
      <c r="B211">
        <v>9</v>
      </c>
      <c r="C211" s="1"/>
    </row>
    <row r="212" spans="1:3">
      <c r="A212">
        <v>3604509</v>
      </c>
      <c r="B212">
        <v>9</v>
      </c>
      <c r="C212" s="1"/>
    </row>
    <row r="213" spans="1:3">
      <c r="A213">
        <v>2733371</v>
      </c>
      <c r="B213">
        <v>9</v>
      </c>
      <c r="C213" s="1"/>
    </row>
    <row r="214" spans="1:3">
      <c r="A214">
        <v>5002819</v>
      </c>
      <c r="B214">
        <v>9</v>
      </c>
      <c r="C214" s="1"/>
    </row>
    <row r="215" spans="1:3">
      <c r="A215">
        <v>1807416</v>
      </c>
      <c r="B215">
        <v>9</v>
      </c>
      <c r="C215" s="1"/>
    </row>
    <row r="216" spans="1:3">
      <c r="A216">
        <v>3579754</v>
      </c>
      <c r="B216">
        <v>9</v>
      </c>
      <c r="C216" s="1"/>
    </row>
    <row r="217" spans="1:3">
      <c r="A217">
        <v>3158249</v>
      </c>
      <c r="B217">
        <v>9</v>
      </c>
      <c r="C217" s="1"/>
    </row>
    <row r="218" spans="1:3">
      <c r="A218">
        <v>1505776</v>
      </c>
      <c r="B218">
        <v>9</v>
      </c>
      <c r="C218" s="1"/>
    </row>
    <row r="219" spans="1:3">
      <c r="A219">
        <v>4355436</v>
      </c>
      <c r="B219">
        <v>9</v>
      </c>
      <c r="C219" s="1"/>
    </row>
    <row r="220" spans="1:3">
      <c r="A220">
        <v>1050007</v>
      </c>
      <c r="B220">
        <v>9</v>
      </c>
      <c r="C220" s="1"/>
    </row>
    <row r="221" spans="1:3">
      <c r="A221">
        <v>2736436</v>
      </c>
      <c r="B221">
        <v>9</v>
      </c>
      <c r="C221" s="1"/>
    </row>
    <row r="222" spans="1:3">
      <c r="A222">
        <v>4936889</v>
      </c>
      <c r="B222">
        <v>9</v>
      </c>
      <c r="C222" s="1"/>
    </row>
    <row r="223" spans="1:3">
      <c r="A223">
        <v>3123784</v>
      </c>
      <c r="B223">
        <v>8</v>
      </c>
      <c r="C223" s="1"/>
    </row>
    <row r="224" spans="1:3">
      <c r="A224">
        <v>2925160</v>
      </c>
      <c r="B224">
        <v>8</v>
      </c>
      <c r="C224" s="1"/>
    </row>
    <row r="225" spans="1:3">
      <c r="A225">
        <v>2940518</v>
      </c>
      <c r="B225">
        <v>8</v>
      </c>
      <c r="C225" s="1"/>
    </row>
    <row r="226" spans="1:3">
      <c r="A226">
        <v>4639855</v>
      </c>
      <c r="B226">
        <v>8</v>
      </c>
      <c r="C226" s="1"/>
    </row>
    <row r="227" spans="1:3">
      <c r="A227">
        <v>550660</v>
      </c>
      <c r="B227">
        <v>8</v>
      </c>
      <c r="C227" s="1"/>
    </row>
    <row r="228" spans="1:3">
      <c r="A228">
        <v>1474371</v>
      </c>
      <c r="B228">
        <v>8</v>
      </c>
      <c r="C228" s="1"/>
    </row>
    <row r="229" spans="1:3">
      <c r="A229">
        <v>3747017</v>
      </c>
      <c r="B229">
        <v>8</v>
      </c>
      <c r="C229" s="1"/>
    </row>
    <row r="230" spans="1:3">
      <c r="A230">
        <v>4095810</v>
      </c>
      <c r="B230">
        <v>8</v>
      </c>
      <c r="C230" s="1"/>
    </row>
    <row r="231" spans="1:3">
      <c r="A231">
        <v>4712571</v>
      </c>
      <c r="B231">
        <v>8</v>
      </c>
      <c r="C231" s="1"/>
    </row>
    <row r="232" spans="1:3">
      <c r="A232">
        <v>4050612</v>
      </c>
      <c r="B232">
        <v>8</v>
      </c>
      <c r="C232" s="1"/>
    </row>
    <row r="233" spans="1:3">
      <c r="A233">
        <v>1231891</v>
      </c>
      <c r="B233">
        <v>8</v>
      </c>
      <c r="C233" s="1"/>
    </row>
    <row r="234" spans="1:3">
      <c r="A234">
        <v>3320579</v>
      </c>
      <c r="B234">
        <v>8</v>
      </c>
      <c r="C234" s="1"/>
    </row>
    <row r="235" spans="1:3">
      <c r="A235">
        <v>286229</v>
      </c>
      <c r="B235">
        <v>8</v>
      </c>
      <c r="C235" s="1"/>
    </row>
    <row r="236" spans="1:3">
      <c r="A236">
        <v>339580</v>
      </c>
      <c r="B236">
        <v>8</v>
      </c>
      <c r="C236" s="1"/>
    </row>
    <row r="237" spans="1:3">
      <c r="A237">
        <v>2129666</v>
      </c>
      <c r="B237">
        <v>8</v>
      </c>
      <c r="C237" s="1"/>
    </row>
    <row r="238" spans="1:3">
      <c r="A238">
        <v>1249761</v>
      </c>
      <c r="B238">
        <v>8</v>
      </c>
      <c r="C238" s="1"/>
    </row>
    <row r="239" spans="1:3">
      <c r="A239">
        <v>3303026</v>
      </c>
      <c r="B239">
        <v>8</v>
      </c>
      <c r="C239" s="1"/>
    </row>
    <row r="240" spans="1:3">
      <c r="A240">
        <v>3496816</v>
      </c>
      <c r="B240">
        <v>8</v>
      </c>
      <c r="C240" s="1"/>
    </row>
    <row r="241" spans="1:3">
      <c r="A241">
        <v>5064</v>
      </c>
      <c r="B241">
        <v>8</v>
      </c>
      <c r="C241" s="1"/>
    </row>
    <row r="242" spans="1:3">
      <c r="A242">
        <v>2352202</v>
      </c>
      <c r="B242">
        <v>7</v>
      </c>
      <c r="C242" s="1"/>
    </row>
    <row r="243" spans="1:3">
      <c r="A243">
        <v>1928278</v>
      </c>
      <c r="B243">
        <v>7</v>
      </c>
      <c r="C243" s="1"/>
    </row>
    <row r="244" spans="1:3">
      <c r="A244">
        <v>4969568</v>
      </c>
      <c r="B244">
        <v>7</v>
      </c>
      <c r="C244" s="1"/>
    </row>
    <row r="245" spans="1:3">
      <c r="A245">
        <v>360294</v>
      </c>
      <c r="B245">
        <v>7</v>
      </c>
      <c r="C245" s="1"/>
    </row>
    <row r="246" spans="1:3">
      <c r="A246">
        <v>2033408</v>
      </c>
      <c r="B246">
        <v>7</v>
      </c>
      <c r="C246" s="1"/>
    </row>
    <row r="247" spans="1:3">
      <c r="A247">
        <v>3400167</v>
      </c>
      <c r="B247">
        <v>7</v>
      </c>
      <c r="C247" s="1"/>
    </row>
    <row r="248" spans="1:3">
      <c r="A248">
        <v>3582485</v>
      </c>
      <c r="B248">
        <v>7</v>
      </c>
      <c r="C248" s="1"/>
    </row>
    <row r="249" spans="1:3">
      <c r="A249">
        <v>1548278</v>
      </c>
      <c r="B249">
        <v>7</v>
      </c>
      <c r="C249" s="1"/>
    </row>
    <row r="250" spans="1:3">
      <c r="A250">
        <v>1973012</v>
      </c>
      <c r="B250">
        <v>7</v>
      </c>
      <c r="C250" s="1"/>
    </row>
    <row r="251" spans="1:3">
      <c r="A251">
        <v>113102</v>
      </c>
      <c r="B251">
        <v>7</v>
      </c>
      <c r="C251" s="1"/>
    </row>
    <row r="252" spans="1:3">
      <c r="A252">
        <v>4719814</v>
      </c>
      <c r="B252">
        <v>7</v>
      </c>
      <c r="C252" s="1"/>
    </row>
    <row r="253" spans="1:3">
      <c r="A253">
        <v>1288487</v>
      </c>
      <c r="B253">
        <v>7</v>
      </c>
      <c r="C253" s="1"/>
    </row>
    <row r="254" spans="1:3">
      <c r="A254">
        <v>1207887</v>
      </c>
      <c r="B254">
        <v>7</v>
      </c>
      <c r="C254" s="1"/>
    </row>
    <row r="255" spans="1:3">
      <c r="A255">
        <v>3232473</v>
      </c>
      <c r="B255">
        <v>7</v>
      </c>
      <c r="C255" s="1"/>
    </row>
    <row r="256" spans="1:3">
      <c r="A256">
        <v>3836451</v>
      </c>
      <c r="B256">
        <v>7</v>
      </c>
      <c r="C256" s="1"/>
    </row>
    <row r="257" spans="1:3">
      <c r="A257">
        <v>1281171</v>
      </c>
      <c r="B257">
        <v>7</v>
      </c>
      <c r="C257" s="1"/>
    </row>
    <row r="258" spans="1:3">
      <c r="A258">
        <v>796856</v>
      </c>
      <c r="B258">
        <v>7</v>
      </c>
      <c r="C258" s="1"/>
    </row>
    <row r="259" spans="1:3">
      <c r="A259">
        <v>2702525</v>
      </c>
      <c r="B259">
        <v>7</v>
      </c>
      <c r="C259" s="1"/>
    </row>
    <row r="260" spans="1:3">
      <c r="A260">
        <v>1471163</v>
      </c>
      <c r="B260">
        <v>7</v>
      </c>
      <c r="C260" s="1"/>
    </row>
    <row r="261" spans="1:3">
      <c r="A261">
        <v>2361828</v>
      </c>
      <c r="B261">
        <v>7</v>
      </c>
      <c r="C261" s="1"/>
    </row>
    <row r="262" spans="1:3">
      <c r="A262">
        <v>3736316</v>
      </c>
      <c r="B262">
        <v>7</v>
      </c>
      <c r="C262" s="1"/>
    </row>
    <row r="263" spans="1:3">
      <c r="A263">
        <v>3252144</v>
      </c>
      <c r="B263">
        <v>7</v>
      </c>
      <c r="C263" s="1"/>
    </row>
    <row r="264" spans="1:3">
      <c r="A264">
        <v>4276787</v>
      </c>
      <c r="B264">
        <v>7</v>
      </c>
      <c r="C264" s="1"/>
    </row>
    <row r="265" spans="1:3">
      <c r="A265">
        <v>3807763</v>
      </c>
      <c r="B265">
        <v>7</v>
      </c>
      <c r="C265" s="1"/>
    </row>
    <row r="266" spans="1:3">
      <c r="A266">
        <v>3340725</v>
      </c>
      <c r="B266">
        <v>7</v>
      </c>
      <c r="C266" s="1"/>
    </row>
    <row r="267" spans="1:3">
      <c r="A267">
        <v>2558204</v>
      </c>
      <c r="B267">
        <v>7</v>
      </c>
      <c r="C267" s="1"/>
    </row>
    <row r="268" spans="1:3">
      <c r="A268">
        <v>4298656</v>
      </c>
      <c r="B268">
        <v>7</v>
      </c>
      <c r="C268" s="1"/>
    </row>
    <row r="269" spans="1:3">
      <c r="A269">
        <v>4583884</v>
      </c>
      <c r="B269">
        <v>7</v>
      </c>
      <c r="C269" s="1"/>
    </row>
    <row r="270" spans="1:3">
      <c r="A270">
        <v>2924150</v>
      </c>
      <c r="B270">
        <v>7</v>
      </c>
      <c r="C270" s="1"/>
    </row>
    <row r="271" spans="1:3">
      <c r="A271">
        <v>174239</v>
      </c>
      <c r="B271">
        <v>7</v>
      </c>
      <c r="C271" s="1"/>
    </row>
    <row r="272" spans="1:3">
      <c r="A272">
        <v>2459106</v>
      </c>
      <c r="B272">
        <v>7</v>
      </c>
      <c r="C272" s="1"/>
    </row>
    <row r="273" spans="1:3">
      <c r="A273">
        <v>3189935</v>
      </c>
      <c r="B273">
        <v>7</v>
      </c>
      <c r="C273" s="1"/>
    </row>
    <row r="274" spans="1:3">
      <c r="A274">
        <v>3886822</v>
      </c>
      <c r="B274">
        <v>7</v>
      </c>
      <c r="C274" s="1"/>
    </row>
    <row r="275" spans="1:3">
      <c r="A275">
        <v>3248072</v>
      </c>
      <c r="B275">
        <v>6</v>
      </c>
      <c r="C275" s="1"/>
    </row>
    <row r="276" spans="1:3">
      <c r="A276">
        <v>3999977</v>
      </c>
      <c r="B276">
        <v>6</v>
      </c>
      <c r="C276" s="1"/>
    </row>
    <row r="277" spans="1:3">
      <c r="A277">
        <v>3459562</v>
      </c>
      <c r="B277">
        <v>6</v>
      </c>
      <c r="C277" s="1"/>
    </row>
    <row r="278" spans="1:3">
      <c r="A278">
        <v>3619575</v>
      </c>
      <c r="B278">
        <v>6</v>
      </c>
      <c r="C278" s="1"/>
    </row>
    <row r="279" spans="1:3">
      <c r="A279">
        <v>3833912</v>
      </c>
      <c r="B279">
        <v>6</v>
      </c>
      <c r="C279" s="1"/>
    </row>
    <row r="280" spans="1:3">
      <c r="A280">
        <v>321567</v>
      </c>
      <c r="B280">
        <v>6</v>
      </c>
      <c r="C280" s="1"/>
    </row>
    <row r="281" spans="1:3">
      <c r="A281">
        <v>4006013</v>
      </c>
      <c r="B281">
        <v>6</v>
      </c>
      <c r="C281" s="1"/>
    </row>
    <row r="282" spans="1:3">
      <c r="A282">
        <v>339305</v>
      </c>
      <c r="B282">
        <v>6</v>
      </c>
      <c r="C282" s="1"/>
    </row>
    <row r="283" spans="1:3">
      <c r="A283">
        <v>1820842</v>
      </c>
      <c r="B283">
        <v>6</v>
      </c>
      <c r="C283" s="1"/>
    </row>
    <row r="284" spans="1:3">
      <c r="A284">
        <v>3343024</v>
      </c>
      <c r="B284">
        <v>6</v>
      </c>
      <c r="C284" s="1"/>
    </row>
    <row r="285" spans="1:3">
      <c r="A285">
        <v>450901</v>
      </c>
      <c r="B285">
        <v>6</v>
      </c>
      <c r="C285" s="1"/>
    </row>
    <row r="286" spans="1:3">
      <c r="A286">
        <v>4470576</v>
      </c>
      <c r="B286">
        <v>6</v>
      </c>
      <c r="C286" s="1"/>
    </row>
    <row r="287" spans="1:3">
      <c r="A287">
        <v>2626421</v>
      </c>
      <c r="B287">
        <v>6</v>
      </c>
      <c r="C287" s="1"/>
    </row>
    <row r="288" spans="1:3">
      <c r="A288">
        <v>4921805</v>
      </c>
      <c r="B288">
        <v>6</v>
      </c>
      <c r="C288" s="1"/>
    </row>
    <row r="289" spans="1:3">
      <c r="A289">
        <v>1331853</v>
      </c>
      <c r="B289">
        <v>6</v>
      </c>
      <c r="C289" s="1"/>
    </row>
    <row r="290" spans="1:3">
      <c r="A290">
        <v>2672762</v>
      </c>
      <c r="B290">
        <v>6</v>
      </c>
      <c r="C290" s="1"/>
    </row>
    <row r="291" spans="1:3">
      <c r="A291">
        <v>359388</v>
      </c>
      <c r="B291">
        <v>6</v>
      </c>
      <c r="C291" s="1"/>
    </row>
    <row r="292" spans="1:3">
      <c r="A292">
        <v>4654786</v>
      </c>
      <c r="B292">
        <v>6</v>
      </c>
      <c r="C292" s="1"/>
    </row>
    <row r="293" spans="1:3">
      <c r="A293">
        <v>1691699</v>
      </c>
      <c r="B293">
        <v>6</v>
      </c>
      <c r="C293" s="1"/>
    </row>
    <row r="294" spans="1:3">
      <c r="A294">
        <v>3351726</v>
      </c>
      <c r="B294">
        <v>6</v>
      </c>
      <c r="C294" s="1"/>
    </row>
    <row r="295" spans="1:3">
      <c r="A295">
        <v>2050292</v>
      </c>
      <c r="B295">
        <v>6</v>
      </c>
      <c r="C295" s="1"/>
    </row>
    <row r="296" spans="1:3">
      <c r="A296">
        <v>4874384</v>
      </c>
      <c r="B296">
        <v>6</v>
      </c>
      <c r="C296" s="1"/>
    </row>
    <row r="297" spans="1:3">
      <c r="A297">
        <v>366112</v>
      </c>
      <c r="B297">
        <v>6</v>
      </c>
      <c r="C297" s="1"/>
    </row>
    <row r="298" spans="1:3">
      <c r="A298">
        <v>2247787</v>
      </c>
      <c r="B298">
        <v>6</v>
      </c>
      <c r="C298" s="1"/>
    </row>
    <row r="299" spans="1:3">
      <c r="A299">
        <v>1884568</v>
      </c>
      <c r="B299">
        <v>6</v>
      </c>
      <c r="C299" s="1"/>
    </row>
    <row r="300" spans="1:3">
      <c r="A300">
        <v>4307317</v>
      </c>
      <c r="B300">
        <v>6</v>
      </c>
      <c r="C300" s="1"/>
    </row>
    <row r="301" spans="1:3">
      <c r="A301">
        <v>1724559</v>
      </c>
      <c r="B301">
        <v>6</v>
      </c>
      <c r="C301" s="1"/>
    </row>
    <row r="302" spans="1:3">
      <c r="A302">
        <v>3312150</v>
      </c>
      <c r="B302">
        <v>6</v>
      </c>
      <c r="C302" s="1"/>
    </row>
    <row r="303" spans="1:3">
      <c r="A303">
        <v>1595193</v>
      </c>
      <c r="B303">
        <v>6</v>
      </c>
      <c r="C303" s="1"/>
    </row>
    <row r="304" spans="1:3">
      <c r="A304">
        <v>3209590</v>
      </c>
      <c r="B304">
        <v>6</v>
      </c>
      <c r="C304" s="1"/>
    </row>
    <row r="305" spans="1:3">
      <c r="A305">
        <v>901282</v>
      </c>
      <c r="B305">
        <v>6</v>
      </c>
      <c r="C305" s="1"/>
    </row>
    <row r="306" spans="1:3">
      <c r="A306">
        <v>2085893</v>
      </c>
      <c r="B306">
        <v>6</v>
      </c>
      <c r="C306" s="1"/>
    </row>
    <row r="307" spans="1:3">
      <c r="A307">
        <v>2217187</v>
      </c>
      <c r="B307">
        <v>6</v>
      </c>
      <c r="C307" s="1"/>
    </row>
    <row r="308" spans="1:3">
      <c r="A308">
        <v>4655941</v>
      </c>
      <c r="B308">
        <v>6</v>
      </c>
      <c r="C308" s="1"/>
    </row>
    <row r="309" spans="1:3">
      <c r="A309">
        <v>65362</v>
      </c>
      <c r="B309">
        <v>6</v>
      </c>
      <c r="C309" s="1"/>
    </row>
    <row r="310" spans="1:3">
      <c r="A310">
        <v>4051859</v>
      </c>
      <c r="B310">
        <v>6</v>
      </c>
      <c r="C310" s="1"/>
    </row>
    <row r="311" spans="1:3">
      <c r="A311">
        <v>1994940</v>
      </c>
      <c r="B311">
        <v>6</v>
      </c>
      <c r="C311" s="1"/>
    </row>
    <row r="312" spans="1:3">
      <c r="A312">
        <v>245030</v>
      </c>
      <c r="B312">
        <v>6</v>
      </c>
      <c r="C312" s="1"/>
    </row>
    <row r="313" spans="1:3">
      <c r="A313">
        <v>2732466</v>
      </c>
      <c r="B313">
        <v>6</v>
      </c>
      <c r="C313" s="1"/>
    </row>
    <row r="314" spans="1:3">
      <c r="A314">
        <v>446701</v>
      </c>
      <c r="B314">
        <v>6</v>
      </c>
      <c r="C314" s="1"/>
    </row>
    <row r="315" spans="1:3">
      <c r="A315">
        <v>661759</v>
      </c>
      <c r="B315">
        <v>6</v>
      </c>
      <c r="C315" s="1"/>
    </row>
    <row r="316" spans="1:3">
      <c r="A316">
        <v>3455617</v>
      </c>
      <c r="B316">
        <v>6</v>
      </c>
      <c r="C316" s="1"/>
    </row>
    <row r="317" spans="1:3">
      <c r="A317">
        <v>155172</v>
      </c>
      <c r="B317">
        <v>6</v>
      </c>
      <c r="C317" s="1"/>
    </row>
    <row r="318" spans="1:3">
      <c r="A318">
        <v>4282670</v>
      </c>
      <c r="B318">
        <v>6</v>
      </c>
      <c r="C318" s="1"/>
    </row>
    <row r="319" spans="1:3">
      <c r="A319">
        <v>4350978</v>
      </c>
      <c r="B319">
        <v>6</v>
      </c>
      <c r="C319" s="1"/>
    </row>
    <row r="320" spans="1:3">
      <c r="A320">
        <v>2479420</v>
      </c>
      <c r="B320">
        <v>6</v>
      </c>
      <c r="C320" s="1"/>
    </row>
    <row r="321" spans="1:3">
      <c r="A321">
        <v>3826089</v>
      </c>
      <c r="B321">
        <v>6</v>
      </c>
      <c r="C321" s="1"/>
    </row>
    <row r="322" spans="1:3">
      <c r="A322">
        <v>448398</v>
      </c>
      <c r="B322">
        <v>6</v>
      </c>
      <c r="C322" s="1"/>
    </row>
    <row r="323" spans="1:3">
      <c r="A323">
        <v>3774512</v>
      </c>
      <c r="B323">
        <v>6</v>
      </c>
      <c r="C323" s="1"/>
    </row>
    <row r="324" spans="1:3">
      <c r="A324">
        <v>1881956</v>
      </c>
      <c r="B324">
        <v>6</v>
      </c>
      <c r="C324" s="1"/>
    </row>
    <row r="325" spans="1:3">
      <c r="A325">
        <v>2778281</v>
      </c>
      <c r="B325">
        <v>6</v>
      </c>
      <c r="C325" s="1"/>
    </row>
    <row r="326" spans="1:3">
      <c r="A326">
        <v>1102540</v>
      </c>
      <c r="B326">
        <v>6</v>
      </c>
      <c r="C326" s="1"/>
    </row>
    <row r="327" spans="1:3">
      <c r="A327">
        <v>2290623</v>
      </c>
      <c r="B327">
        <v>6</v>
      </c>
      <c r="C327" s="1"/>
    </row>
    <row r="328" spans="1:3">
      <c r="A328">
        <v>2878148</v>
      </c>
      <c r="B328">
        <v>6</v>
      </c>
      <c r="C328" s="1"/>
    </row>
    <row r="329" spans="1:3">
      <c r="A329">
        <v>4580532</v>
      </c>
      <c r="B329">
        <v>6</v>
      </c>
      <c r="C329" s="1"/>
    </row>
    <row r="330" spans="1:3">
      <c r="A330">
        <v>3880463</v>
      </c>
      <c r="B330">
        <v>6</v>
      </c>
      <c r="C330" s="1"/>
    </row>
    <row r="331" spans="1:3">
      <c r="A331">
        <v>3398567</v>
      </c>
      <c r="B331">
        <v>6</v>
      </c>
      <c r="C331" s="1"/>
    </row>
    <row r="332" spans="1:3">
      <c r="A332">
        <v>4633953</v>
      </c>
      <c r="B332">
        <v>6</v>
      </c>
      <c r="C332" s="1"/>
    </row>
    <row r="333" spans="1:3">
      <c r="A333">
        <v>500212</v>
      </c>
      <c r="B333">
        <v>5</v>
      </c>
      <c r="C333" s="1"/>
    </row>
    <row r="334" spans="1:3">
      <c r="A334">
        <v>2896142</v>
      </c>
      <c r="B334">
        <v>5</v>
      </c>
      <c r="C334" s="1"/>
    </row>
    <row r="335" spans="1:3">
      <c r="A335">
        <v>957119</v>
      </c>
      <c r="B335">
        <v>5</v>
      </c>
      <c r="C335" s="1"/>
    </row>
    <row r="336" spans="1:3">
      <c r="A336">
        <v>873792</v>
      </c>
      <c r="B336">
        <v>5</v>
      </c>
      <c r="C336" s="1"/>
    </row>
    <row r="337" spans="1:3">
      <c r="A337">
        <v>2297500</v>
      </c>
      <c r="B337">
        <v>5</v>
      </c>
      <c r="C337" s="1"/>
    </row>
    <row r="338" spans="1:3">
      <c r="A338">
        <v>3448250</v>
      </c>
      <c r="B338">
        <v>5</v>
      </c>
      <c r="C338" s="1"/>
    </row>
    <row r="339" spans="1:3">
      <c r="A339">
        <v>2026832</v>
      </c>
      <c r="B339">
        <v>5</v>
      </c>
      <c r="C339" s="1"/>
    </row>
    <row r="340" spans="1:3">
      <c r="A340">
        <v>3184456</v>
      </c>
      <c r="B340">
        <v>5</v>
      </c>
      <c r="C340" s="1"/>
    </row>
    <row r="341" spans="1:3">
      <c r="A341">
        <v>4098232</v>
      </c>
      <c r="B341">
        <v>5</v>
      </c>
      <c r="C341" s="1"/>
    </row>
    <row r="342" spans="1:3">
      <c r="A342">
        <v>2066955</v>
      </c>
      <c r="B342">
        <v>5</v>
      </c>
      <c r="C342" s="1"/>
    </row>
    <row r="343" spans="1:3">
      <c r="A343">
        <v>3860845</v>
      </c>
      <c r="B343">
        <v>5</v>
      </c>
      <c r="C343" s="1"/>
    </row>
    <row r="344" spans="1:3">
      <c r="A344">
        <v>3381583</v>
      </c>
      <c r="B344">
        <v>5</v>
      </c>
      <c r="C344" s="1"/>
    </row>
    <row r="345" spans="1:3">
      <c r="A345">
        <v>3274258</v>
      </c>
      <c r="B345">
        <v>5</v>
      </c>
      <c r="C345" s="1"/>
    </row>
    <row r="346" spans="1:3">
      <c r="A346">
        <v>1842993</v>
      </c>
      <c r="B346">
        <v>5</v>
      </c>
      <c r="C346" s="1"/>
    </row>
    <row r="347" spans="1:3">
      <c r="A347">
        <v>2030976</v>
      </c>
      <c r="B347">
        <v>5</v>
      </c>
      <c r="C347" s="1"/>
    </row>
    <row r="348" spans="1:3">
      <c r="A348">
        <v>3371868</v>
      </c>
      <c r="B348">
        <v>5</v>
      </c>
      <c r="C348" s="1"/>
    </row>
    <row r="349" spans="1:3">
      <c r="A349">
        <v>4466876</v>
      </c>
      <c r="B349">
        <v>5</v>
      </c>
      <c r="C349" s="1"/>
    </row>
    <row r="350" spans="1:3">
      <c r="A350">
        <v>1609467</v>
      </c>
      <c r="B350">
        <v>5</v>
      </c>
      <c r="C350" s="1"/>
    </row>
    <row r="351" spans="1:3">
      <c r="A351">
        <v>578983</v>
      </c>
      <c r="B351">
        <v>5</v>
      </c>
      <c r="C351" s="1"/>
    </row>
    <row r="352" spans="1:3">
      <c r="A352">
        <v>4780547</v>
      </c>
      <c r="B352">
        <v>5</v>
      </c>
      <c r="C352" s="1"/>
    </row>
    <row r="353" spans="1:3">
      <c r="A353">
        <v>2296439</v>
      </c>
      <c r="B353">
        <v>5</v>
      </c>
      <c r="C353" s="1"/>
    </row>
    <row r="354" spans="1:3">
      <c r="A354">
        <v>399287</v>
      </c>
      <c r="B354">
        <v>5</v>
      </c>
      <c r="C354" s="1"/>
    </row>
    <row r="355" spans="1:3">
      <c r="A355">
        <v>1612623</v>
      </c>
      <c r="B355">
        <v>5</v>
      </c>
      <c r="C355" s="1"/>
    </row>
    <row r="356" spans="1:3">
      <c r="A356">
        <v>2272488</v>
      </c>
      <c r="B356">
        <v>5</v>
      </c>
      <c r="C356" s="1"/>
    </row>
    <row r="357" spans="1:3">
      <c r="A357">
        <v>3466318</v>
      </c>
      <c r="B357">
        <v>5</v>
      </c>
      <c r="C357" s="1"/>
    </row>
    <row r="358" spans="1:3">
      <c r="A358">
        <v>2890111</v>
      </c>
      <c r="B358">
        <v>5</v>
      </c>
      <c r="C358" s="1"/>
    </row>
    <row r="359" spans="1:3">
      <c r="A359">
        <v>2596428</v>
      </c>
      <c r="B359">
        <v>5</v>
      </c>
      <c r="C359" s="1"/>
    </row>
    <row r="360" spans="1:3">
      <c r="A360">
        <v>1189158</v>
      </c>
      <c r="B360">
        <v>5</v>
      </c>
      <c r="C360" s="1"/>
    </row>
    <row r="361" spans="1:3">
      <c r="A361">
        <v>3937192</v>
      </c>
      <c r="B361">
        <v>5</v>
      </c>
      <c r="C361" s="1"/>
    </row>
    <row r="362" spans="1:3">
      <c r="A362">
        <v>542908</v>
      </c>
      <c r="B362">
        <v>5</v>
      </c>
      <c r="C362" s="1"/>
    </row>
    <row r="363" spans="1:3">
      <c r="A363">
        <v>4308141</v>
      </c>
      <c r="B363">
        <v>5</v>
      </c>
      <c r="C363" s="1"/>
    </row>
    <row r="364" spans="1:3">
      <c r="A364">
        <v>3430419</v>
      </c>
      <c r="B364">
        <v>5</v>
      </c>
      <c r="C364" s="1"/>
    </row>
    <row r="365" spans="1:3">
      <c r="A365">
        <v>4602841</v>
      </c>
      <c r="B365">
        <v>5</v>
      </c>
      <c r="C365" s="1"/>
    </row>
    <row r="366" spans="1:3">
      <c r="A366">
        <v>4794845</v>
      </c>
      <c r="B366">
        <v>5</v>
      </c>
      <c r="C366" s="1"/>
    </row>
    <row r="367" spans="1:3">
      <c r="A367">
        <v>2176263</v>
      </c>
      <c r="B367">
        <v>5</v>
      </c>
      <c r="C367" s="1"/>
    </row>
    <row r="368" spans="1:3">
      <c r="A368">
        <v>84264</v>
      </c>
      <c r="B368">
        <v>5</v>
      </c>
      <c r="C368" s="1"/>
    </row>
    <row r="369" spans="1:3">
      <c r="A369">
        <v>4915680</v>
      </c>
      <c r="B369">
        <v>5</v>
      </c>
      <c r="C369" s="1"/>
    </row>
    <row r="370" spans="1:3">
      <c r="A370">
        <v>1349634</v>
      </c>
      <c r="B370">
        <v>5</v>
      </c>
      <c r="C370" s="1"/>
    </row>
    <row r="371" spans="1:3">
      <c r="A371">
        <v>2581941</v>
      </c>
      <c r="B371">
        <v>5</v>
      </c>
      <c r="C371" s="1"/>
    </row>
    <row r="372" spans="1:3">
      <c r="A372">
        <v>35290</v>
      </c>
      <c r="B372">
        <v>5</v>
      </c>
      <c r="C372" s="1"/>
    </row>
    <row r="373" spans="1:3">
      <c r="A373">
        <v>3231625</v>
      </c>
      <c r="B373">
        <v>5</v>
      </c>
      <c r="C373" s="1"/>
    </row>
    <row r="374" spans="1:3">
      <c r="A374">
        <v>1528701</v>
      </c>
      <c r="B374">
        <v>5</v>
      </c>
      <c r="C374" s="1"/>
    </row>
    <row r="375" spans="1:3">
      <c r="A375">
        <v>2202384</v>
      </c>
      <c r="B375">
        <v>5</v>
      </c>
      <c r="C375" s="1"/>
    </row>
    <row r="376" spans="1:3">
      <c r="A376">
        <v>4177144</v>
      </c>
      <c r="B376">
        <v>5</v>
      </c>
      <c r="C376" s="1"/>
    </row>
    <row r="377" spans="1:3">
      <c r="A377">
        <v>3177877</v>
      </c>
      <c r="B377">
        <v>5</v>
      </c>
      <c r="C377" s="1"/>
    </row>
    <row r="378" spans="1:3">
      <c r="A378">
        <v>135038</v>
      </c>
      <c r="B378">
        <v>5</v>
      </c>
      <c r="C378" s="1"/>
    </row>
    <row r="379" spans="1:3">
      <c r="A379">
        <v>2685357</v>
      </c>
      <c r="B379">
        <v>5</v>
      </c>
      <c r="C379" s="1"/>
    </row>
    <row r="380" spans="1:3">
      <c r="A380">
        <v>3577636</v>
      </c>
      <c r="B380">
        <v>5</v>
      </c>
      <c r="C380" s="1"/>
    </row>
    <row r="381" spans="1:3">
      <c r="A381">
        <v>64179</v>
      </c>
      <c r="B381">
        <v>5</v>
      </c>
      <c r="C381" s="1"/>
    </row>
    <row r="382" spans="1:3">
      <c r="A382">
        <v>3758209</v>
      </c>
      <c r="B382">
        <v>5</v>
      </c>
      <c r="C382" s="1"/>
    </row>
    <row r="383" spans="1:3">
      <c r="A383">
        <v>1620537</v>
      </c>
      <c r="B383">
        <v>5</v>
      </c>
      <c r="C383" s="1"/>
    </row>
    <row r="384" spans="1:3">
      <c r="A384">
        <v>2419959</v>
      </c>
      <c r="B384">
        <v>5</v>
      </c>
      <c r="C384" s="1"/>
    </row>
    <row r="385" spans="1:3">
      <c r="A385">
        <v>2492895</v>
      </c>
      <c r="B385">
        <v>5</v>
      </c>
      <c r="C385" s="1"/>
    </row>
    <row r="386" spans="1:3">
      <c r="A386">
        <v>3361496</v>
      </c>
      <c r="B386">
        <v>5</v>
      </c>
      <c r="C386" s="1"/>
    </row>
    <row r="387" spans="1:3">
      <c r="A387">
        <v>1686309</v>
      </c>
      <c r="B387">
        <v>4</v>
      </c>
      <c r="C387" s="1"/>
    </row>
    <row r="388" spans="1:3">
      <c r="A388">
        <v>432873</v>
      </c>
      <c r="B388">
        <v>4</v>
      </c>
      <c r="C388" s="1"/>
    </row>
    <row r="389" spans="1:3">
      <c r="A389">
        <v>2960717</v>
      </c>
      <c r="B389">
        <v>4</v>
      </c>
      <c r="C389" s="1"/>
    </row>
    <row r="390" spans="1:3">
      <c r="A390">
        <v>4817527</v>
      </c>
      <c r="B390">
        <v>4</v>
      </c>
      <c r="C390" s="1"/>
    </row>
    <row r="391" spans="1:3">
      <c r="A391">
        <v>2042400</v>
      </c>
      <c r="B391">
        <v>4</v>
      </c>
      <c r="C391" s="1"/>
    </row>
    <row r="392" spans="1:3">
      <c r="A392">
        <v>2421366</v>
      </c>
      <c r="B392">
        <v>4</v>
      </c>
      <c r="C392" s="1"/>
    </row>
    <row r="393" spans="1:3">
      <c r="A393">
        <v>3500710</v>
      </c>
      <c r="B393">
        <v>4</v>
      </c>
      <c r="C393" s="1"/>
    </row>
    <row r="394" spans="1:3">
      <c r="A394">
        <v>1906712</v>
      </c>
      <c r="B394">
        <v>4</v>
      </c>
      <c r="C394" s="1"/>
    </row>
    <row r="395" spans="1:3">
      <c r="A395">
        <v>295183</v>
      </c>
      <c r="B395">
        <v>4</v>
      </c>
      <c r="C395" s="1"/>
    </row>
    <row r="396" spans="1:3">
      <c r="A396">
        <v>3214361</v>
      </c>
      <c r="B396">
        <v>4</v>
      </c>
      <c r="C396" s="1"/>
    </row>
    <row r="397" spans="1:3">
      <c r="A397">
        <v>5063620</v>
      </c>
      <c r="B397">
        <v>4</v>
      </c>
      <c r="C397" s="1"/>
    </row>
    <row r="398" spans="1:3">
      <c r="A398">
        <v>2576484</v>
      </c>
      <c r="B398">
        <v>4</v>
      </c>
      <c r="C398" s="1"/>
    </row>
    <row r="399" spans="1:3">
      <c r="A399">
        <v>2495340</v>
      </c>
      <c r="B399">
        <v>4</v>
      </c>
      <c r="C399" s="1"/>
    </row>
    <row r="400" spans="1:3">
      <c r="A400">
        <v>2667323</v>
      </c>
      <c r="B400">
        <v>4</v>
      </c>
      <c r="C400" s="1"/>
    </row>
    <row r="401" spans="1:3">
      <c r="A401">
        <v>820364</v>
      </c>
      <c r="B401">
        <v>4</v>
      </c>
      <c r="C401" s="1"/>
    </row>
    <row r="402" spans="1:3">
      <c r="A402">
        <v>4853595</v>
      </c>
      <c r="B402">
        <v>4</v>
      </c>
      <c r="C402" s="1"/>
    </row>
    <row r="403" spans="1:3">
      <c r="A403">
        <v>2321836</v>
      </c>
      <c r="B403">
        <v>4</v>
      </c>
      <c r="C403" s="1"/>
    </row>
    <row r="404" spans="1:3">
      <c r="A404">
        <v>551706</v>
      </c>
      <c r="B404">
        <v>4</v>
      </c>
      <c r="C404" s="1"/>
    </row>
    <row r="405" spans="1:3">
      <c r="A405">
        <v>2301954</v>
      </c>
      <c r="B405">
        <v>4</v>
      </c>
      <c r="C405" s="1"/>
    </row>
    <row r="406" spans="1:3">
      <c r="A406">
        <v>2056274</v>
      </c>
      <c r="B406">
        <v>4</v>
      </c>
      <c r="C406" s="1"/>
    </row>
    <row r="407" spans="1:3">
      <c r="A407">
        <v>5003455</v>
      </c>
      <c r="B407">
        <v>4</v>
      </c>
      <c r="C407" s="1"/>
    </row>
    <row r="408" spans="1:3">
      <c r="A408">
        <v>820597</v>
      </c>
      <c r="B408">
        <v>4</v>
      </c>
      <c r="C408" s="1"/>
    </row>
    <row r="409" spans="1:3">
      <c r="A409">
        <v>163196</v>
      </c>
      <c r="B409">
        <v>4</v>
      </c>
      <c r="C409" s="1"/>
    </row>
    <row r="410" spans="1:3">
      <c r="A410">
        <v>3100759</v>
      </c>
      <c r="B410">
        <v>4</v>
      </c>
      <c r="C410" s="1"/>
    </row>
    <row r="411" spans="1:3">
      <c r="A411">
        <v>1108912</v>
      </c>
      <c r="B411">
        <v>4</v>
      </c>
      <c r="C411" s="1"/>
    </row>
    <row r="412" spans="1:3">
      <c r="A412">
        <v>2891509</v>
      </c>
      <c r="B412">
        <v>4</v>
      </c>
      <c r="C412" s="1"/>
    </row>
    <row r="413" spans="1:3">
      <c r="A413">
        <v>2409814</v>
      </c>
      <c r="B413">
        <v>4</v>
      </c>
      <c r="C413" s="1"/>
    </row>
    <row r="414" spans="1:3">
      <c r="A414">
        <v>3159480</v>
      </c>
      <c r="B414">
        <v>4</v>
      </c>
      <c r="C414" s="1"/>
    </row>
    <row r="415" spans="1:3">
      <c r="A415">
        <v>1545822</v>
      </c>
      <c r="B415">
        <v>4</v>
      </c>
      <c r="C415" s="1"/>
    </row>
    <row r="416" spans="1:3">
      <c r="A416">
        <v>3962843</v>
      </c>
      <c r="B416">
        <v>4</v>
      </c>
      <c r="C416" s="1"/>
    </row>
    <row r="417" spans="1:3">
      <c r="A417">
        <v>2774299</v>
      </c>
      <c r="B417">
        <v>4</v>
      </c>
      <c r="C417" s="1"/>
    </row>
    <row r="418" spans="1:3">
      <c r="A418">
        <v>2188684</v>
      </c>
      <c r="B418">
        <v>4</v>
      </c>
      <c r="C418" s="1"/>
    </row>
    <row r="419" spans="1:3">
      <c r="A419">
        <v>16219</v>
      </c>
      <c r="B419">
        <v>4</v>
      </c>
      <c r="C419" s="1"/>
    </row>
    <row r="420" spans="1:3">
      <c r="A420">
        <v>1447685</v>
      </c>
      <c r="B420">
        <v>4</v>
      </c>
      <c r="C420" s="1"/>
    </row>
    <row r="421" spans="1:3">
      <c r="A421">
        <v>3673501</v>
      </c>
      <c r="B421">
        <v>4</v>
      </c>
      <c r="C421" s="1"/>
    </row>
    <row r="422" spans="1:3">
      <c r="A422">
        <v>2331312</v>
      </c>
      <c r="B422">
        <v>4</v>
      </c>
      <c r="C422" s="1"/>
    </row>
    <row r="423" spans="1:3">
      <c r="A423">
        <v>3995452</v>
      </c>
      <c r="B423">
        <v>4</v>
      </c>
      <c r="C423" s="1"/>
    </row>
    <row r="424" spans="1:3">
      <c r="A424">
        <v>2407396</v>
      </c>
      <c r="B424">
        <v>4</v>
      </c>
      <c r="C424" s="1"/>
    </row>
    <row r="425" spans="1:3">
      <c r="A425">
        <v>1009182</v>
      </c>
      <c r="B425">
        <v>4</v>
      </c>
      <c r="C425" s="1"/>
    </row>
    <row r="426" spans="1:3">
      <c r="A426">
        <v>2394030</v>
      </c>
      <c r="B426">
        <v>4</v>
      </c>
      <c r="C426" s="1"/>
    </row>
    <row r="427" spans="1:3">
      <c r="A427">
        <v>924708</v>
      </c>
      <c r="B427">
        <v>4</v>
      </c>
      <c r="C427" s="1"/>
    </row>
    <row r="428" spans="1:3">
      <c r="A428">
        <v>1168596</v>
      </c>
      <c r="B428">
        <v>4</v>
      </c>
      <c r="C428" s="1"/>
    </row>
    <row r="429" spans="1:3">
      <c r="A429">
        <v>3461823</v>
      </c>
      <c r="B429">
        <v>4</v>
      </c>
      <c r="C429" s="1"/>
    </row>
    <row r="430" spans="1:3">
      <c r="A430">
        <v>3904106</v>
      </c>
      <c r="B430">
        <v>4</v>
      </c>
      <c r="C430" s="1"/>
    </row>
    <row r="431" spans="1:3">
      <c r="A431">
        <v>2964603</v>
      </c>
      <c r="B431">
        <v>4</v>
      </c>
      <c r="C431" s="1"/>
    </row>
    <row r="432" spans="1:3">
      <c r="A432">
        <v>4897718</v>
      </c>
      <c r="B432">
        <v>4</v>
      </c>
      <c r="C432" s="1"/>
    </row>
    <row r="433" spans="1:3">
      <c r="A433">
        <v>2304296</v>
      </c>
      <c r="B433">
        <v>4</v>
      </c>
      <c r="C433" s="1"/>
    </row>
    <row r="434" spans="1:3">
      <c r="A434">
        <v>2321441</v>
      </c>
      <c r="B434">
        <v>4</v>
      </c>
      <c r="C434" s="1"/>
    </row>
    <row r="435" spans="1:3">
      <c r="A435">
        <v>4391390</v>
      </c>
      <c r="B435">
        <v>4</v>
      </c>
      <c r="C435" s="1"/>
    </row>
    <row r="436" spans="1:3">
      <c r="A436">
        <v>522951</v>
      </c>
      <c r="B436">
        <v>4</v>
      </c>
      <c r="C436" s="1"/>
    </row>
    <row r="437" spans="1:3">
      <c r="A437">
        <v>4338287</v>
      </c>
      <c r="B437">
        <v>4</v>
      </c>
      <c r="C437" s="1"/>
    </row>
    <row r="438" spans="1:3">
      <c r="A438">
        <v>3294401</v>
      </c>
      <c r="B438">
        <v>4</v>
      </c>
      <c r="C438" s="1"/>
    </row>
    <row r="439" spans="1:3">
      <c r="A439">
        <v>1376358</v>
      </c>
      <c r="B439">
        <v>4</v>
      </c>
      <c r="C439" s="1"/>
    </row>
    <row r="440" spans="1:3">
      <c r="A440">
        <v>4956748</v>
      </c>
      <c r="B440">
        <v>4</v>
      </c>
      <c r="C440" s="1"/>
    </row>
    <row r="441" spans="1:3">
      <c r="A441">
        <v>3081594</v>
      </c>
      <c r="B441">
        <v>4</v>
      </c>
      <c r="C441" s="1"/>
    </row>
    <row r="442" spans="1:3">
      <c r="A442">
        <v>1615537</v>
      </c>
      <c r="B442">
        <v>4</v>
      </c>
      <c r="C442" s="1"/>
    </row>
    <row r="443" spans="1:3">
      <c r="A443">
        <v>3947859</v>
      </c>
      <c r="B443">
        <v>4</v>
      </c>
      <c r="C443" s="1"/>
    </row>
    <row r="444" spans="1:3">
      <c r="A444">
        <v>996449</v>
      </c>
      <c r="B444">
        <v>4</v>
      </c>
      <c r="C444" s="1"/>
    </row>
    <row r="445" spans="1:3">
      <c r="A445">
        <v>1089685</v>
      </c>
      <c r="B445">
        <v>4</v>
      </c>
      <c r="C445" s="1"/>
    </row>
    <row r="446" spans="1:3">
      <c r="A446">
        <v>1819175</v>
      </c>
      <c r="B446">
        <v>4</v>
      </c>
      <c r="C446" s="1"/>
    </row>
    <row r="447" spans="1:3">
      <c r="A447">
        <v>2806049</v>
      </c>
      <c r="B447">
        <v>4</v>
      </c>
      <c r="C447" s="1"/>
    </row>
    <row r="448" spans="1:3">
      <c r="A448">
        <v>662846</v>
      </c>
      <c r="B448">
        <v>4</v>
      </c>
      <c r="C448" s="1"/>
    </row>
    <row r="449" spans="1:3">
      <c r="A449">
        <v>2314022</v>
      </c>
      <c r="B449">
        <v>4</v>
      </c>
      <c r="C449" s="1"/>
    </row>
    <row r="450" spans="1:3">
      <c r="A450">
        <v>1026507</v>
      </c>
      <c r="B450">
        <v>4</v>
      </c>
      <c r="C450" s="1"/>
    </row>
    <row r="451" spans="1:3">
      <c r="A451">
        <v>4853207</v>
      </c>
      <c r="B451">
        <v>4</v>
      </c>
      <c r="C451" s="1"/>
    </row>
    <row r="452" spans="1:3">
      <c r="A452">
        <v>895939</v>
      </c>
      <c r="B452">
        <v>4</v>
      </c>
      <c r="C452" s="1"/>
    </row>
    <row r="453" spans="1:3">
      <c r="A453">
        <v>4789674</v>
      </c>
      <c r="B453">
        <v>4</v>
      </c>
      <c r="C453" s="1"/>
    </row>
    <row r="454" spans="1:3">
      <c r="A454">
        <v>3053292</v>
      </c>
      <c r="B454">
        <v>4</v>
      </c>
      <c r="C454" s="1"/>
    </row>
    <row r="455" spans="1:3">
      <c r="A455">
        <v>5063923</v>
      </c>
      <c r="B455">
        <v>4</v>
      </c>
      <c r="C455" s="1"/>
    </row>
    <row r="456" spans="1:3">
      <c r="A456">
        <v>4804883</v>
      </c>
      <c r="B456">
        <v>4</v>
      </c>
      <c r="C456" s="1"/>
    </row>
    <row r="457" spans="1:3">
      <c r="A457">
        <v>2154669</v>
      </c>
      <c r="B457">
        <v>4</v>
      </c>
      <c r="C457" s="1"/>
    </row>
    <row r="458" spans="1:3">
      <c r="A458">
        <v>3378887</v>
      </c>
      <c r="B458">
        <v>4</v>
      </c>
      <c r="C458" s="1"/>
    </row>
    <row r="459" spans="1:3">
      <c r="A459">
        <v>3464786</v>
      </c>
      <c r="B459">
        <v>4</v>
      </c>
      <c r="C459" s="1"/>
    </row>
    <row r="460" spans="1:3">
      <c r="A460">
        <v>2362370</v>
      </c>
      <c r="B460">
        <v>4</v>
      </c>
      <c r="C460" s="1"/>
    </row>
    <row r="461" spans="1:3">
      <c r="A461">
        <v>1572948</v>
      </c>
      <c r="B461">
        <v>4</v>
      </c>
      <c r="C461" s="1"/>
    </row>
    <row r="462" spans="1:3">
      <c r="A462">
        <v>3118167</v>
      </c>
      <c r="B462">
        <v>4</v>
      </c>
      <c r="C462" s="1"/>
    </row>
    <row r="463" spans="1:3">
      <c r="A463">
        <v>1297992</v>
      </c>
      <c r="B463">
        <v>4</v>
      </c>
      <c r="C463" s="1"/>
    </row>
    <row r="464" spans="1:3">
      <c r="A464">
        <v>721664</v>
      </c>
      <c r="B464">
        <v>4</v>
      </c>
      <c r="C464" s="1"/>
    </row>
    <row r="465" spans="1:3">
      <c r="A465">
        <v>2986945</v>
      </c>
      <c r="B465">
        <v>4</v>
      </c>
      <c r="C465" s="1"/>
    </row>
    <row r="466" spans="1:3">
      <c r="A466">
        <v>841696</v>
      </c>
      <c r="B466">
        <v>4</v>
      </c>
      <c r="C466" s="1"/>
    </row>
    <row r="467" spans="1:3">
      <c r="A467">
        <v>344221</v>
      </c>
      <c r="B467">
        <v>4</v>
      </c>
      <c r="C467" s="1"/>
    </row>
    <row r="468" spans="1:3">
      <c r="A468">
        <v>1829804</v>
      </c>
      <c r="B468">
        <v>4</v>
      </c>
      <c r="C468" s="1"/>
    </row>
    <row r="469" spans="1:3">
      <c r="A469">
        <v>3865465</v>
      </c>
      <c r="B469">
        <v>4</v>
      </c>
      <c r="C469" s="1"/>
    </row>
    <row r="470" spans="1:3">
      <c r="A470">
        <v>2794147</v>
      </c>
      <c r="B470">
        <v>4</v>
      </c>
      <c r="C470" s="1"/>
    </row>
    <row r="471" spans="1:3">
      <c r="A471">
        <v>3425094</v>
      </c>
      <c r="B471">
        <v>4</v>
      </c>
      <c r="C471" s="1"/>
    </row>
    <row r="472" spans="1:3">
      <c r="A472">
        <v>893651</v>
      </c>
      <c r="B472">
        <v>3</v>
      </c>
      <c r="C472" s="1"/>
    </row>
    <row r="473" spans="1:3">
      <c r="A473">
        <v>3788576</v>
      </c>
      <c r="B473">
        <v>3</v>
      </c>
      <c r="C473" s="1"/>
    </row>
    <row r="474" spans="1:3">
      <c r="A474">
        <v>4519460</v>
      </c>
      <c r="B474">
        <v>3</v>
      </c>
      <c r="C474" s="1"/>
    </row>
    <row r="475" spans="1:3">
      <c r="A475">
        <v>3935940</v>
      </c>
      <c r="B475">
        <v>3</v>
      </c>
      <c r="C475" s="1"/>
    </row>
    <row r="476" spans="1:3">
      <c r="A476">
        <v>722945</v>
      </c>
      <c r="B476">
        <v>3</v>
      </c>
      <c r="C476" s="1"/>
    </row>
    <row r="477" spans="1:3">
      <c r="A477">
        <v>3993644</v>
      </c>
      <c r="B477">
        <v>3</v>
      </c>
      <c r="C477" s="1"/>
    </row>
    <row r="478" spans="1:3">
      <c r="A478">
        <v>1013319</v>
      </c>
      <c r="B478">
        <v>3</v>
      </c>
      <c r="C478" s="1"/>
    </row>
    <row r="479" spans="1:3">
      <c r="A479">
        <v>3160684</v>
      </c>
      <c r="B479">
        <v>3</v>
      </c>
      <c r="C479" s="1"/>
    </row>
    <row r="480" spans="1:3">
      <c r="A480">
        <v>3457718</v>
      </c>
      <c r="B480">
        <v>3</v>
      </c>
      <c r="C480" s="1"/>
    </row>
    <row r="481" spans="1:3">
      <c r="A481">
        <v>2935574</v>
      </c>
      <c r="B481">
        <v>3</v>
      </c>
      <c r="C481" s="1"/>
    </row>
    <row r="482" spans="1:3">
      <c r="A482">
        <v>2322253</v>
      </c>
      <c r="B482">
        <v>3</v>
      </c>
      <c r="C482" s="1"/>
    </row>
    <row r="483" spans="1:3">
      <c r="A483">
        <v>3123187</v>
      </c>
      <c r="B483">
        <v>3</v>
      </c>
      <c r="C483" s="1"/>
    </row>
    <row r="484" spans="1:3">
      <c r="A484">
        <v>1277467</v>
      </c>
      <c r="B484">
        <v>3</v>
      </c>
      <c r="C484" s="1"/>
    </row>
    <row r="485" spans="1:3">
      <c r="A485">
        <v>562672</v>
      </c>
      <c r="B485">
        <v>3</v>
      </c>
      <c r="C485" s="1"/>
    </row>
    <row r="486" spans="1:3">
      <c r="A486">
        <v>724320</v>
      </c>
      <c r="B486">
        <v>3</v>
      </c>
      <c r="C486" s="1"/>
    </row>
    <row r="487" spans="1:3">
      <c r="A487">
        <v>2883724</v>
      </c>
      <c r="B487">
        <v>3</v>
      </c>
      <c r="C487" s="1"/>
    </row>
    <row r="488" spans="1:3">
      <c r="A488">
        <v>4695078</v>
      </c>
      <c r="B488">
        <v>3</v>
      </c>
      <c r="C488" s="1"/>
    </row>
    <row r="489" spans="1:3">
      <c r="A489">
        <v>624370</v>
      </c>
      <c r="B489">
        <v>3</v>
      </c>
      <c r="C489" s="1"/>
    </row>
    <row r="490" spans="1:3">
      <c r="A490">
        <v>750949</v>
      </c>
      <c r="B490">
        <v>3</v>
      </c>
      <c r="C490" s="1"/>
    </row>
    <row r="491" spans="1:3">
      <c r="A491">
        <v>316352</v>
      </c>
      <c r="B491">
        <v>3</v>
      </c>
      <c r="C491" s="1"/>
    </row>
    <row r="492" spans="1:3">
      <c r="A492">
        <v>3141941</v>
      </c>
      <c r="B492">
        <v>3</v>
      </c>
      <c r="C492" s="1"/>
    </row>
    <row r="493" spans="1:3">
      <c r="A493">
        <v>3323023</v>
      </c>
      <c r="B493">
        <v>3</v>
      </c>
      <c r="C493" s="1"/>
    </row>
    <row r="494" spans="1:3">
      <c r="A494">
        <v>4419230</v>
      </c>
      <c r="B494">
        <v>3</v>
      </c>
      <c r="C494" s="1"/>
    </row>
    <row r="495" spans="1:3">
      <c r="A495">
        <v>1104384</v>
      </c>
      <c r="B495">
        <v>3</v>
      </c>
      <c r="C495" s="1"/>
    </row>
    <row r="496" spans="1:3">
      <c r="A496">
        <v>2174838</v>
      </c>
      <c r="B496">
        <v>3</v>
      </c>
      <c r="C496" s="1"/>
    </row>
    <row r="497" spans="1:3">
      <c r="A497">
        <v>2014414</v>
      </c>
      <c r="B497">
        <v>3</v>
      </c>
      <c r="C497" s="1"/>
    </row>
    <row r="498" spans="1:3">
      <c r="A498">
        <v>3171095</v>
      </c>
      <c r="B498">
        <v>3</v>
      </c>
      <c r="C498" s="1"/>
    </row>
    <row r="499" spans="1:3">
      <c r="A499">
        <v>767106</v>
      </c>
      <c r="B499">
        <v>3</v>
      </c>
      <c r="C499" s="1"/>
    </row>
    <row r="500" spans="1:3">
      <c r="A500">
        <v>3664107</v>
      </c>
      <c r="B500">
        <v>3</v>
      </c>
      <c r="C500" s="1"/>
    </row>
    <row r="501" spans="1:3">
      <c r="A501">
        <v>2678170</v>
      </c>
      <c r="B501">
        <v>3</v>
      </c>
      <c r="C501" s="1"/>
    </row>
    <row r="502" spans="1:3">
      <c r="A502">
        <v>4825728</v>
      </c>
      <c r="B502">
        <v>3</v>
      </c>
      <c r="C502" s="1"/>
    </row>
    <row r="503" spans="1:3">
      <c r="A503">
        <v>1354236</v>
      </c>
      <c r="B503">
        <v>3</v>
      </c>
      <c r="C503" s="1"/>
    </row>
    <row r="504" spans="1:3">
      <c r="A504">
        <v>3455871</v>
      </c>
      <c r="B504">
        <v>3</v>
      </c>
      <c r="C504" s="1"/>
    </row>
    <row r="505" spans="1:3">
      <c r="A505">
        <v>4583654</v>
      </c>
      <c r="B505">
        <v>3</v>
      </c>
      <c r="C505" s="1"/>
    </row>
    <row r="506" spans="1:3">
      <c r="A506">
        <v>1040727</v>
      </c>
      <c r="B506">
        <v>3</v>
      </c>
      <c r="C506" s="1"/>
    </row>
    <row r="507" spans="1:3">
      <c r="A507">
        <v>590997</v>
      </c>
      <c r="B507">
        <v>3</v>
      </c>
      <c r="C507" s="1"/>
    </row>
    <row r="508" spans="1:3">
      <c r="A508">
        <v>1610764</v>
      </c>
      <c r="B508">
        <v>3</v>
      </c>
      <c r="C508" s="1"/>
    </row>
    <row r="509" spans="1:3">
      <c r="A509">
        <v>2652700</v>
      </c>
      <c r="B509">
        <v>3</v>
      </c>
      <c r="C509" s="1"/>
    </row>
    <row r="510" spans="1:3">
      <c r="A510">
        <v>863375</v>
      </c>
      <c r="B510">
        <v>3</v>
      </c>
      <c r="C510" s="1"/>
    </row>
    <row r="511" spans="1:3">
      <c r="A511">
        <v>3933554</v>
      </c>
      <c r="B511">
        <v>3</v>
      </c>
      <c r="C511" s="1"/>
    </row>
    <row r="512" spans="1:3">
      <c r="A512">
        <v>1074254</v>
      </c>
      <c r="B512">
        <v>3</v>
      </c>
      <c r="C512" s="1"/>
    </row>
    <row r="513" spans="1:3">
      <c r="A513">
        <v>4301450</v>
      </c>
      <c r="B513">
        <v>3</v>
      </c>
      <c r="C513" s="1"/>
    </row>
    <row r="514" spans="1:3">
      <c r="A514">
        <v>4302328</v>
      </c>
      <c r="B514">
        <v>3</v>
      </c>
      <c r="C514" s="1"/>
    </row>
    <row r="515" spans="1:3">
      <c r="A515">
        <v>4062559</v>
      </c>
      <c r="B515">
        <v>3</v>
      </c>
      <c r="C515" s="1"/>
    </row>
    <row r="516" spans="1:3">
      <c r="A516">
        <v>4334077</v>
      </c>
      <c r="B516">
        <v>3</v>
      </c>
      <c r="C516" s="1"/>
    </row>
    <row r="517" spans="1:3">
      <c r="A517">
        <v>869231</v>
      </c>
      <c r="B517">
        <v>3</v>
      </c>
      <c r="C517" s="1"/>
    </row>
    <row r="518" spans="1:3">
      <c r="A518">
        <v>4267003</v>
      </c>
      <c r="B518">
        <v>3</v>
      </c>
      <c r="C518" s="1"/>
    </row>
    <row r="519" spans="1:3">
      <c r="A519">
        <v>4078249</v>
      </c>
      <c r="B519">
        <v>3</v>
      </c>
      <c r="C519" s="1"/>
    </row>
    <row r="520" spans="1:3">
      <c r="A520">
        <v>3900668</v>
      </c>
      <c r="B520">
        <v>3</v>
      </c>
      <c r="C520" s="1"/>
    </row>
    <row r="521" spans="1:3">
      <c r="A521">
        <v>2739327</v>
      </c>
      <c r="B521">
        <v>3</v>
      </c>
      <c r="C521" s="1"/>
    </row>
    <row r="522" spans="1:3">
      <c r="A522">
        <v>3695050</v>
      </c>
      <c r="B522">
        <v>3</v>
      </c>
      <c r="C522" s="1"/>
    </row>
    <row r="523" spans="1:3">
      <c r="A523">
        <v>4285553</v>
      </c>
      <c r="B523">
        <v>3</v>
      </c>
      <c r="C523" s="1"/>
    </row>
    <row r="524" spans="1:3">
      <c r="A524">
        <v>902556</v>
      </c>
      <c r="B524">
        <v>3</v>
      </c>
      <c r="C524" s="1"/>
    </row>
    <row r="525" spans="1:3">
      <c r="A525">
        <v>274067</v>
      </c>
      <c r="B525">
        <v>3</v>
      </c>
      <c r="C525" s="1"/>
    </row>
    <row r="526" spans="1:3">
      <c r="A526">
        <v>4449178</v>
      </c>
      <c r="B526">
        <v>3</v>
      </c>
      <c r="C526" s="1"/>
    </row>
    <row r="527" spans="1:3">
      <c r="A527">
        <v>3794706</v>
      </c>
      <c r="B527">
        <v>3</v>
      </c>
      <c r="C527" s="1"/>
    </row>
    <row r="528" spans="1:3">
      <c r="A528">
        <v>2271402</v>
      </c>
      <c r="B528">
        <v>3</v>
      </c>
      <c r="C528" s="1"/>
    </row>
    <row r="529" spans="1:3">
      <c r="A529">
        <v>989763</v>
      </c>
      <c r="B529">
        <v>3</v>
      </c>
      <c r="C529" s="1"/>
    </row>
    <row r="530" spans="1:3">
      <c r="A530">
        <v>4183103</v>
      </c>
      <c r="B530">
        <v>3</v>
      </c>
      <c r="C530" s="1"/>
    </row>
    <row r="531" spans="1:3">
      <c r="A531">
        <v>4321796</v>
      </c>
      <c r="B531">
        <v>3</v>
      </c>
      <c r="C531" s="1"/>
    </row>
    <row r="532" spans="1:3">
      <c r="A532">
        <v>3343095</v>
      </c>
      <c r="B532">
        <v>3</v>
      </c>
      <c r="C532" s="1"/>
    </row>
    <row r="533" spans="1:3">
      <c r="A533">
        <v>22892</v>
      </c>
      <c r="B533">
        <v>3</v>
      </c>
      <c r="C533" s="1"/>
    </row>
    <row r="534" spans="1:3">
      <c r="A534">
        <v>3681810</v>
      </c>
      <c r="B534">
        <v>3</v>
      </c>
      <c r="C534" s="1"/>
    </row>
    <row r="535" spans="1:3">
      <c r="A535">
        <v>4004564</v>
      </c>
      <c r="B535">
        <v>3</v>
      </c>
      <c r="C535" s="1"/>
    </row>
    <row r="536" spans="1:3">
      <c r="A536">
        <v>1382264</v>
      </c>
      <c r="B536">
        <v>3</v>
      </c>
      <c r="C536" s="1"/>
    </row>
    <row r="537" spans="1:3">
      <c r="A537">
        <v>48094</v>
      </c>
      <c r="B537">
        <v>3</v>
      </c>
      <c r="C537" s="1"/>
    </row>
    <row r="538" spans="1:3">
      <c r="A538">
        <v>4444302</v>
      </c>
      <c r="B538">
        <v>3</v>
      </c>
      <c r="C538" s="1"/>
    </row>
    <row r="539" spans="1:3">
      <c r="A539">
        <v>1286537</v>
      </c>
      <c r="B539">
        <v>3</v>
      </c>
      <c r="C539" s="1"/>
    </row>
    <row r="540" spans="1:3">
      <c r="A540">
        <v>4921617</v>
      </c>
      <c r="B540">
        <v>3</v>
      </c>
      <c r="C540" s="1"/>
    </row>
    <row r="541" spans="1:3">
      <c r="A541">
        <v>757910</v>
      </c>
      <c r="B541">
        <v>3</v>
      </c>
      <c r="C541" s="1"/>
    </row>
    <row r="542" spans="1:3">
      <c r="A542">
        <v>3740459</v>
      </c>
      <c r="B542">
        <v>3</v>
      </c>
      <c r="C542" s="1"/>
    </row>
    <row r="543" spans="1:3">
      <c r="A543">
        <v>3669044</v>
      </c>
      <c r="B543">
        <v>3</v>
      </c>
      <c r="C543" s="1"/>
    </row>
    <row r="544" spans="1:3">
      <c r="A544">
        <v>3191556</v>
      </c>
      <c r="B544">
        <v>3</v>
      </c>
      <c r="C544" s="1"/>
    </row>
    <row r="545" spans="1:3">
      <c r="A545">
        <v>2370324</v>
      </c>
      <c r="B545">
        <v>3</v>
      </c>
      <c r="C545" s="1"/>
    </row>
    <row r="546" spans="1:3">
      <c r="A546">
        <v>1884322</v>
      </c>
      <c r="B546">
        <v>3</v>
      </c>
      <c r="C546" s="1"/>
    </row>
    <row r="547" spans="1:3">
      <c r="A547">
        <v>794153</v>
      </c>
      <c r="B547">
        <v>3</v>
      </c>
      <c r="C547" s="1"/>
    </row>
    <row r="548" spans="1:3">
      <c r="A548">
        <v>1416713</v>
      </c>
      <c r="B548">
        <v>3</v>
      </c>
      <c r="C548" s="1"/>
    </row>
    <row r="549" spans="1:3">
      <c r="A549">
        <v>2595793</v>
      </c>
      <c r="B549">
        <v>3</v>
      </c>
      <c r="C549" s="1"/>
    </row>
    <row r="550" spans="1:3">
      <c r="A550">
        <v>4345501</v>
      </c>
      <c r="B550">
        <v>3</v>
      </c>
      <c r="C550" s="1"/>
    </row>
    <row r="551" spans="1:3">
      <c r="A551">
        <v>3848953</v>
      </c>
      <c r="B551">
        <v>3</v>
      </c>
      <c r="C551" s="1"/>
    </row>
    <row r="552" spans="1:3">
      <c r="A552">
        <v>4360192</v>
      </c>
      <c r="B552">
        <v>3</v>
      </c>
      <c r="C552" s="1"/>
    </row>
    <row r="553" spans="1:3">
      <c r="A553">
        <v>5028097</v>
      </c>
      <c r="B553">
        <v>3</v>
      </c>
      <c r="C553" s="1"/>
    </row>
    <row r="554" spans="1:3">
      <c r="A554">
        <v>4138583</v>
      </c>
      <c r="B554">
        <v>3</v>
      </c>
      <c r="C554" s="1"/>
    </row>
    <row r="555" spans="1:3">
      <c r="A555">
        <v>1151115</v>
      </c>
      <c r="B555">
        <v>3</v>
      </c>
      <c r="C555" s="1"/>
    </row>
    <row r="556" spans="1:3">
      <c r="A556">
        <v>1733466</v>
      </c>
      <c r="B556">
        <v>3</v>
      </c>
      <c r="C556" s="1"/>
    </row>
    <row r="557" spans="1:3">
      <c r="A557">
        <v>3715529</v>
      </c>
      <c r="B557">
        <v>3</v>
      </c>
      <c r="C557" s="1"/>
    </row>
    <row r="558" spans="1:3">
      <c r="A558">
        <v>3121949</v>
      </c>
      <c r="B558">
        <v>3</v>
      </c>
      <c r="C558" s="1"/>
    </row>
    <row r="559" spans="1:3">
      <c r="A559">
        <v>4738961</v>
      </c>
      <c r="B559">
        <v>3</v>
      </c>
      <c r="C559" s="1"/>
    </row>
    <row r="560" spans="1:3">
      <c r="A560">
        <v>1629035</v>
      </c>
      <c r="B560">
        <v>3</v>
      </c>
      <c r="C560" s="1"/>
    </row>
    <row r="561" spans="1:3">
      <c r="A561">
        <v>1073768</v>
      </c>
      <c r="B561">
        <v>3</v>
      </c>
      <c r="C561" s="1"/>
    </row>
    <row r="562" spans="1:3">
      <c r="A562">
        <v>329040</v>
      </c>
      <c r="B562">
        <v>3</v>
      </c>
      <c r="C562" s="1"/>
    </row>
    <row r="563" spans="1:3">
      <c r="A563">
        <v>2052526</v>
      </c>
      <c r="B563">
        <v>3</v>
      </c>
      <c r="C563" s="1"/>
    </row>
    <row r="564" spans="1:3">
      <c r="A564">
        <v>323851</v>
      </c>
      <c r="B564">
        <v>3</v>
      </c>
      <c r="C564" s="1"/>
    </row>
    <row r="565" spans="1:3">
      <c r="A565">
        <v>1487591</v>
      </c>
      <c r="B565">
        <v>3</v>
      </c>
      <c r="C565" s="1"/>
    </row>
    <row r="566" spans="1:3">
      <c r="A566">
        <v>1165503</v>
      </c>
      <c r="B566">
        <v>3</v>
      </c>
      <c r="C566" s="1"/>
    </row>
    <row r="567" spans="1:3">
      <c r="A567">
        <v>3102560</v>
      </c>
      <c r="B567">
        <v>3</v>
      </c>
      <c r="C567" s="1"/>
    </row>
    <row r="568" spans="1:3">
      <c r="A568">
        <v>3902231</v>
      </c>
      <c r="B568">
        <v>3</v>
      </c>
      <c r="C568" s="1"/>
    </row>
    <row r="569" spans="1:3">
      <c r="A569">
        <v>888094</v>
      </c>
      <c r="B569">
        <v>3</v>
      </c>
      <c r="C569" s="1"/>
    </row>
    <row r="570" spans="1:3">
      <c r="A570">
        <v>3791831</v>
      </c>
      <c r="B570">
        <v>3</v>
      </c>
      <c r="C570" s="1"/>
    </row>
    <row r="571" spans="1:3">
      <c r="A571">
        <v>703487</v>
      </c>
      <c r="B571">
        <v>3</v>
      </c>
      <c r="C571" s="1"/>
    </row>
    <row r="572" spans="1:3">
      <c r="A572">
        <v>1169503</v>
      </c>
      <c r="B572">
        <v>3</v>
      </c>
      <c r="C572" s="1"/>
    </row>
    <row r="573" spans="1:3">
      <c r="A573">
        <v>4894095</v>
      </c>
      <c r="B573">
        <v>3</v>
      </c>
      <c r="C573" s="1"/>
    </row>
    <row r="574" spans="1:3">
      <c r="A574">
        <v>1730594</v>
      </c>
      <c r="B574">
        <v>3</v>
      </c>
      <c r="C574" s="1"/>
    </row>
    <row r="575" spans="1:3">
      <c r="A575">
        <v>3536601</v>
      </c>
      <c r="B575">
        <v>3</v>
      </c>
      <c r="C575" s="1"/>
    </row>
    <row r="576" spans="1:3">
      <c r="A576">
        <v>120033</v>
      </c>
      <c r="B576">
        <v>3</v>
      </c>
      <c r="C576" s="1"/>
    </row>
    <row r="577" spans="1:3">
      <c r="A577">
        <v>3461439</v>
      </c>
      <c r="B577">
        <v>3</v>
      </c>
      <c r="C577" s="1"/>
    </row>
    <row r="578" spans="1:3">
      <c r="A578">
        <v>4151801</v>
      </c>
      <c r="B578">
        <v>3</v>
      </c>
      <c r="C578" s="1"/>
    </row>
    <row r="579" spans="1:3">
      <c r="A579">
        <v>2154867</v>
      </c>
      <c r="B579">
        <v>3</v>
      </c>
      <c r="C579" s="1"/>
    </row>
    <row r="580" spans="1:3">
      <c r="A580">
        <v>383530</v>
      </c>
      <c r="B580">
        <v>3</v>
      </c>
      <c r="C580" s="1"/>
    </row>
    <row r="581" spans="1:3">
      <c r="A581">
        <v>1888306</v>
      </c>
      <c r="B581">
        <v>3</v>
      </c>
      <c r="C581" s="1"/>
    </row>
    <row r="582" spans="1:3">
      <c r="A582">
        <v>3917972</v>
      </c>
      <c r="B582">
        <v>3</v>
      </c>
      <c r="C582" s="1"/>
    </row>
    <row r="583" spans="1:3">
      <c r="A583">
        <v>4939021</v>
      </c>
      <c r="B583">
        <v>3</v>
      </c>
      <c r="C583" s="1"/>
    </row>
    <row r="584" spans="1:3">
      <c r="A584">
        <v>22129</v>
      </c>
      <c r="B584">
        <v>3</v>
      </c>
      <c r="C584" s="1"/>
    </row>
    <row r="585" spans="1:3">
      <c r="A585">
        <v>3680035</v>
      </c>
      <c r="B585">
        <v>3</v>
      </c>
      <c r="C585" s="1"/>
    </row>
    <row r="586" spans="1:3">
      <c r="A586">
        <v>781315</v>
      </c>
      <c r="B586">
        <v>3</v>
      </c>
      <c r="C586" s="1"/>
    </row>
    <row r="587" spans="1:3">
      <c r="A587">
        <v>3367924</v>
      </c>
      <c r="B587">
        <v>3</v>
      </c>
      <c r="C587" s="1"/>
    </row>
    <row r="588" spans="1:3">
      <c r="A588">
        <v>1722855</v>
      </c>
      <c r="B588">
        <v>3</v>
      </c>
      <c r="C588" s="1"/>
    </row>
    <row r="589" spans="1:3">
      <c r="A589">
        <v>2798696</v>
      </c>
      <c r="B589">
        <v>3</v>
      </c>
      <c r="C589" s="1"/>
    </row>
    <row r="590" spans="1:3">
      <c r="A590">
        <v>431452</v>
      </c>
      <c r="B590">
        <v>3</v>
      </c>
      <c r="C590" s="1"/>
    </row>
    <row r="591" spans="1:3">
      <c r="A591">
        <v>3108044</v>
      </c>
      <c r="B591">
        <v>3</v>
      </c>
      <c r="C591" s="1"/>
    </row>
    <row r="592" spans="1:3">
      <c r="A592">
        <v>5030562</v>
      </c>
      <c r="B592">
        <v>3</v>
      </c>
      <c r="C592" s="1"/>
    </row>
    <row r="593" spans="1:3">
      <c r="A593">
        <v>4565874</v>
      </c>
      <c r="B593">
        <v>3</v>
      </c>
      <c r="C593" s="1"/>
    </row>
    <row r="594" spans="1:3">
      <c r="A594">
        <v>2948269</v>
      </c>
      <c r="B594">
        <v>3</v>
      </c>
      <c r="C594" s="1"/>
    </row>
    <row r="595" spans="1:3">
      <c r="A595">
        <v>2393184</v>
      </c>
      <c r="B595">
        <v>3</v>
      </c>
      <c r="C595" s="1"/>
    </row>
    <row r="596" spans="1:3">
      <c r="A596">
        <v>3790396</v>
      </c>
      <c r="B596">
        <v>3</v>
      </c>
      <c r="C596" s="1"/>
    </row>
    <row r="597" spans="1:3">
      <c r="A597">
        <v>3441583</v>
      </c>
      <c r="B597">
        <v>3</v>
      </c>
      <c r="C597" s="1"/>
    </row>
    <row r="598" spans="1:3">
      <c r="A598">
        <v>4418144</v>
      </c>
      <c r="B598">
        <v>3</v>
      </c>
      <c r="C598" s="1"/>
    </row>
    <row r="599" spans="1:3">
      <c r="A599">
        <v>4392650</v>
      </c>
      <c r="B599">
        <v>3</v>
      </c>
      <c r="C599" s="1"/>
    </row>
    <row r="600" spans="1:3">
      <c r="A600">
        <v>1171519</v>
      </c>
      <c r="B600">
        <v>3</v>
      </c>
      <c r="C600" s="1"/>
    </row>
    <row r="601" spans="1:3">
      <c r="A601">
        <v>3911423</v>
      </c>
      <c r="B601">
        <v>3</v>
      </c>
      <c r="C601" s="1"/>
    </row>
    <row r="602" spans="1:3">
      <c r="C602" s="1"/>
    </row>
    <row r="603" spans="1:3">
      <c r="C603" s="1"/>
    </row>
    <row r="604" spans="1:3">
      <c r="C604" s="1"/>
    </row>
    <row r="605" spans="1:3">
      <c r="C605" s="1"/>
    </row>
    <row r="606" spans="1:3">
      <c r="C606" s="1"/>
    </row>
    <row r="607" spans="1:3">
      <c r="C607" s="1"/>
    </row>
    <row r="608" spans="1:3">
      <c r="C608" s="1"/>
    </row>
    <row r="609" spans="3:3">
      <c r="C609" s="1"/>
    </row>
    <row r="610" spans="3:3">
      <c r="C610" s="1"/>
    </row>
    <row r="611" spans="3:3">
      <c r="C611" s="1"/>
    </row>
    <row r="612" spans="3:3">
      <c r="C612" s="1"/>
    </row>
    <row r="613" spans="3:3">
      <c r="C613" s="1"/>
    </row>
    <row r="614" spans="3:3">
      <c r="C614" s="1"/>
    </row>
    <row r="615" spans="3:3">
      <c r="C615" s="1"/>
    </row>
    <row r="616" spans="3:3">
      <c r="C616" s="1"/>
    </row>
    <row r="617" spans="3:3">
      <c r="C617" s="1"/>
    </row>
    <row r="618" spans="3:3">
      <c r="C618" s="1"/>
    </row>
    <row r="619" spans="3:3">
      <c r="C619" s="1"/>
    </row>
    <row r="620" spans="3:3">
      <c r="C620" s="1"/>
    </row>
    <row r="621" spans="3:3">
      <c r="C621" s="1"/>
    </row>
    <row r="622" spans="3:3">
      <c r="C622" s="1"/>
    </row>
    <row r="623" spans="3:3">
      <c r="C623" s="1"/>
    </row>
    <row r="624" spans="3:3">
      <c r="C624" s="1"/>
    </row>
    <row r="625" spans="3:3">
      <c r="C625" s="1"/>
    </row>
    <row r="626" spans="3:3">
      <c r="C626" s="1"/>
    </row>
    <row r="627" spans="3:3">
      <c r="C627" s="1"/>
    </row>
    <row r="628" spans="3:3">
      <c r="C628" s="1"/>
    </row>
    <row r="629" spans="3:3">
      <c r="C629" s="1"/>
    </row>
    <row r="630" spans="3:3">
      <c r="C630" s="1"/>
    </row>
    <row r="631" spans="3:3">
      <c r="C631" s="1"/>
    </row>
    <row r="632" spans="3:3">
      <c r="C632" s="1"/>
    </row>
    <row r="633" spans="3:3">
      <c r="C633" s="1"/>
    </row>
    <row r="634" spans="3:3">
      <c r="C634" s="1"/>
    </row>
    <row r="635" spans="3:3">
      <c r="C635" s="1"/>
    </row>
    <row r="636" spans="3:3">
      <c r="C636" s="1"/>
    </row>
    <row r="637" spans="3:3">
      <c r="C637" s="1"/>
    </row>
    <row r="638" spans="3:3">
      <c r="C638" s="1"/>
    </row>
    <row r="639" spans="3:3">
      <c r="C639" s="1"/>
    </row>
    <row r="640" spans="3:3">
      <c r="C640" s="1"/>
    </row>
    <row r="641" spans="3:3">
      <c r="C641" s="1"/>
    </row>
    <row r="642" spans="3:3">
      <c r="C642" s="1"/>
    </row>
    <row r="643" spans="3:3">
      <c r="C643" s="1"/>
    </row>
    <row r="644" spans="3:3">
      <c r="C644" s="1"/>
    </row>
    <row r="645" spans="3:3">
      <c r="C645" s="1"/>
    </row>
    <row r="646" spans="3:3">
      <c r="C646" s="1"/>
    </row>
    <row r="647" spans="3:3">
      <c r="C647" s="1"/>
    </row>
    <row r="648" spans="3:3">
      <c r="C648" s="1"/>
    </row>
    <row r="649" spans="3:3">
      <c r="C649" s="1"/>
    </row>
    <row r="650" spans="3:3">
      <c r="C650" s="1"/>
    </row>
    <row r="651" spans="3:3">
      <c r="C651" s="1"/>
    </row>
    <row r="652" spans="3:3">
      <c r="C652" s="1"/>
    </row>
    <row r="653" spans="3:3">
      <c r="C653" s="1"/>
    </row>
    <row r="654" spans="3:3">
      <c r="C654" s="1"/>
    </row>
    <row r="655" spans="3:3">
      <c r="C655" s="1"/>
    </row>
    <row r="656" spans="3:3">
      <c r="C656" s="1"/>
    </row>
    <row r="657" spans="3:3">
      <c r="C657" s="1"/>
    </row>
    <row r="658" spans="3:3">
      <c r="C658" s="1"/>
    </row>
    <row r="659" spans="3:3">
      <c r="C659" s="1"/>
    </row>
    <row r="660" spans="3:3">
      <c r="C660" s="1"/>
    </row>
    <row r="661" spans="3:3">
      <c r="C661" s="1"/>
    </row>
    <row r="662" spans="3:3">
      <c r="C662" s="1"/>
    </row>
    <row r="663" spans="3:3">
      <c r="C663" s="1"/>
    </row>
    <row r="664" spans="3:3">
      <c r="C664" s="1"/>
    </row>
    <row r="665" spans="3:3">
      <c r="C665" s="1"/>
    </row>
    <row r="666" spans="3:3">
      <c r="C666" s="1"/>
    </row>
    <row r="667" spans="3:3">
      <c r="C667" s="1"/>
    </row>
    <row r="668" spans="3:3">
      <c r="C668" s="1"/>
    </row>
    <row r="669" spans="3:3">
      <c r="C669" s="1"/>
    </row>
    <row r="670" spans="3:3">
      <c r="C670" s="1"/>
    </row>
    <row r="671" spans="3:3">
      <c r="C671" s="1"/>
    </row>
    <row r="672" spans="3:3">
      <c r="C672" s="1"/>
    </row>
    <row r="673" spans="3:3">
      <c r="C673" s="1"/>
    </row>
    <row r="674" spans="3:3">
      <c r="C674" s="1"/>
    </row>
    <row r="675" spans="3:3">
      <c r="C675" s="1"/>
    </row>
    <row r="676" spans="3:3">
      <c r="C676" s="1"/>
    </row>
    <row r="677" spans="3:3">
      <c r="C677" s="1"/>
    </row>
    <row r="678" spans="3:3">
      <c r="C678" s="1"/>
    </row>
    <row r="679" spans="3:3">
      <c r="C679" s="1"/>
    </row>
    <row r="680" spans="3:3">
      <c r="C680" s="1"/>
    </row>
    <row r="681" spans="3:3">
      <c r="C681" s="1"/>
    </row>
    <row r="682" spans="3:3">
      <c r="C682" s="1"/>
    </row>
    <row r="683" spans="3:3">
      <c r="C683" s="1"/>
    </row>
    <row r="684" spans="3:3">
      <c r="C684" s="1"/>
    </row>
    <row r="685" spans="3:3">
      <c r="C685" s="1"/>
    </row>
    <row r="686" spans="3:3">
      <c r="C686" s="1"/>
    </row>
    <row r="687" spans="3:3">
      <c r="C687" s="1"/>
    </row>
    <row r="688" spans="3:3">
      <c r="C688" s="1"/>
    </row>
    <row r="689" spans="3:3">
      <c r="C689" s="1"/>
    </row>
    <row r="690" spans="3:3">
      <c r="C690" s="1"/>
    </row>
    <row r="691" spans="3:3">
      <c r="C691" s="1"/>
    </row>
    <row r="692" spans="3:3">
      <c r="C692" s="1"/>
    </row>
    <row r="693" spans="3:3">
      <c r="C693" s="1"/>
    </row>
    <row r="694" spans="3:3">
      <c r="C694" s="1"/>
    </row>
    <row r="695" spans="3:3">
      <c r="C695" s="1"/>
    </row>
    <row r="696" spans="3:3">
      <c r="C696" s="1"/>
    </row>
    <row r="697" spans="3:3">
      <c r="C697" s="1"/>
    </row>
    <row r="698" spans="3:3">
      <c r="C698" s="1"/>
    </row>
    <row r="699" spans="3:3">
      <c r="C699" s="1"/>
    </row>
    <row r="700" spans="3:3">
      <c r="C700" s="1"/>
    </row>
    <row r="701" spans="3:3">
      <c r="C701" s="1"/>
    </row>
    <row r="702" spans="3:3">
      <c r="C702" s="1"/>
    </row>
    <row r="703" spans="3:3">
      <c r="C703" s="1"/>
    </row>
    <row r="704" spans="3:3">
      <c r="C704" s="1"/>
    </row>
    <row r="705" spans="3:3">
      <c r="C705" s="1"/>
    </row>
    <row r="706" spans="3:3">
      <c r="C706" s="1"/>
    </row>
    <row r="707" spans="3:3">
      <c r="C707" s="1"/>
    </row>
    <row r="708" spans="3:3">
      <c r="C708" s="1"/>
    </row>
    <row r="709" spans="3:3">
      <c r="C709" s="1"/>
    </row>
    <row r="710" spans="3:3">
      <c r="C710" s="1"/>
    </row>
    <row r="711" spans="3:3">
      <c r="C711" s="1"/>
    </row>
    <row r="712" spans="3:3">
      <c r="C712" s="1"/>
    </row>
    <row r="713" spans="3:3">
      <c r="C713" s="1"/>
    </row>
    <row r="714" spans="3:3">
      <c r="C714" s="1"/>
    </row>
    <row r="715" spans="3:3">
      <c r="C715" s="1"/>
    </row>
    <row r="716" spans="3:3">
      <c r="C716" s="1"/>
    </row>
    <row r="717" spans="3:3">
      <c r="C717" s="1"/>
    </row>
    <row r="718" spans="3:3">
      <c r="C718" s="1"/>
    </row>
    <row r="719" spans="3:3">
      <c r="C719" s="1"/>
    </row>
    <row r="720" spans="3:3">
      <c r="C720" s="1"/>
    </row>
    <row r="721" spans="3:3">
      <c r="C721" s="1"/>
    </row>
    <row r="722" spans="3:3">
      <c r="C722" s="1"/>
    </row>
    <row r="723" spans="3:3">
      <c r="C723" s="1"/>
    </row>
    <row r="724" spans="3:3">
      <c r="C724" s="1"/>
    </row>
    <row r="725" spans="3:3">
      <c r="C725" s="1"/>
    </row>
    <row r="726" spans="3:3">
      <c r="C726" s="1"/>
    </row>
    <row r="727" spans="3:3">
      <c r="C727" s="1"/>
    </row>
    <row r="728" spans="3:3">
      <c r="C728" s="1"/>
    </row>
    <row r="729" spans="3:3">
      <c r="C729" s="1"/>
    </row>
    <row r="730" spans="3:3">
      <c r="C730" s="1"/>
    </row>
    <row r="731" spans="3:3">
      <c r="C731" s="1"/>
    </row>
    <row r="732" spans="3:3">
      <c r="C732" s="1"/>
    </row>
    <row r="733" spans="3:3">
      <c r="C733" s="1"/>
    </row>
    <row r="734" spans="3:3">
      <c r="C734" s="1"/>
    </row>
    <row r="735" spans="3:3">
      <c r="C735" s="1"/>
    </row>
    <row r="736" spans="3:3">
      <c r="C736" s="1"/>
    </row>
    <row r="737" spans="3:3">
      <c r="C737" s="1"/>
    </row>
    <row r="738" spans="3:3">
      <c r="C738" s="1"/>
    </row>
    <row r="739" spans="3:3">
      <c r="C739" s="1"/>
    </row>
    <row r="740" spans="3:3">
      <c r="C740" s="1"/>
    </row>
    <row r="741" spans="3:3">
      <c r="C741" s="1"/>
    </row>
    <row r="742" spans="3:3">
      <c r="C742" s="1"/>
    </row>
    <row r="743" spans="3:3">
      <c r="C743" s="1"/>
    </row>
    <row r="744" spans="3:3">
      <c r="C744" s="1"/>
    </row>
    <row r="745" spans="3:3">
      <c r="C745" s="1"/>
    </row>
    <row r="746" spans="3:3">
      <c r="C746" s="1"/>
    </row>
    <row r="747" spans="3:3">
      <c r="C747" s="1"/>
    </row>
    <row r="748" spans="3:3">
      <c r="C748" s="1"/>
    </row>
    <row r="749" spans="3:3">
      <c r="C749" s="1"/>
    </row>
    <row r="750" spans="3:3">
      <c r="C750" s="1"/>
    </row>
    <row r="751" spans="3:3">
      <c r="C751" s="1"/>
    </row>
    <row r="752" spans="3:3">
      <c r="C752" s="1"/>
    </row>
    <row r="753" spans="3:3">
      <c r="C753" s="1"/>
    </row>
    <row r="754" spans="3:3">
      <c r="C754" s="1"/>
    </row>
    <row r="755" spans="3:3">
      <c r="C755" s="1"/>
    </row>
    <row r="756" spans="3:3">
      <c r="C756" s="1"/>
    </row>
    <row r="757" spans="3:3">
      <c r="C757" s="1"/>
    </row>
    <row r="758" spans="3:3">
      <c r="C758" s="1"/>
    </row>
    <row r="759" spans="3:3">
      <c r="C759" s="1"/>
    </row>
    <row r="760" spans="3:3">
      <c r="C760" s="1"/>
    </row>
    <row r="761" spans="3:3">
      <c r="C761" s="1"/>
    </row>
    <row r="762" spans="3:3">
      <c r="C762" s="1"/>
    </row>
    <row r="763" spans="3:3">
      <c r="C763" s="1"/>
    </row>
    <row r="764" spans="3:3">
      <c r="C764" s="1"/>
    </row>
    <row r="765" spans="3:3">
      <c r="C765" s="1"/>
    </row>
    <row r="766" spans="3:3">
      <c r="C766" s="1"/>
    </row>
    <row r="767" spans="3:3">
      <c r="C767" s="1"/>
    </row>
    <row r="768" spans="3:3">
      <c r="C768" s="1"/>
    </row>
    <row r="769" spans="3:3">
      <c r="C769" s="1"/>
    </row>
    <row r="770" spans="3:3">
      <c r="C770" s="1"/>
    </row>
    <row r="771" spans="3:3">
      <c r="C771" s="1"/>
    </row>
    <row r="772" spans="3:3">
      <c r="C772" s="1"/>
    </row>
    <row r="773" spans="3:3">
      <c r="C773" s="1"/>
    </row>
    <row r="774" spans="3:3">
      <c r="C774" s="1"/>
    </row>
    <row r="775" spans="3:3">
      <c r="C775" s="1"/>
    </row>
    <row r="776" spans="3:3">
      <c r="C776" s="1"/>
    </row>
    <row r="777" spans="3:3">
      <c r="C777" s="1"/>
    </row>
    <row r="778" spans="3:3">
      <c r="C778" s="1"/>
    </row>
    <row r="779" spans="3:3">
      <c r="C779" s="1"/>
    </row>
    <row r="780" spans="3:3">
      <c r="C780" s="1"/>
    </row>
    <row r="781" spans="3:3">
      <c r="C781" s="1"/>
    </row>
    <row r="782" spans="3:3">
      <c r="C782" s="1"/>
    </row>
    <row r="783" spans="3:3">
      <c r="C783" s="1"/>
    </row>
    <row r="784" spans="3:3">
      <c r="C784" s="1"/>
    </row>
    <row r="785" spans="3:3">
      <c r="C785" s="1"/>
    </row>
    <row r="786" spans="3:3">
      <c r="C786" s="1"/>
    </row>
    <row r="787" spans="3:3">
      <c r="C787" s="1"/>
    </row>
    <row r="788" spans="3:3">
      <c r="C788" s="1"/>
    </row>
    <row r="789" spans="3:3">
      <c r="C789" s="1"/>
    </row>
    <row r="790" spans="3:3">
      <c r="C790" s="1"/>
    </row>
    <row r="791" spans="3:3">
      <c r="C791" s="1"/>
    </row>
    <row r="792" spans="3:3">
      <c r="C792" s="1"/>
    </row>
    <row r="793" spans="3:3">
      <c r="C793" s="1"/>
    </row>
    <row r="794" spans="3:3">
      <c r="C794" s="1"/>
    </row>
    <row r="795" spans="3:3">
      <c r="C795" s="1"/>
    </row>
    <row r="796" spans="3:3">
      <c r="C796" s="1"/>
    </row>
    <row r="797" spans="3:3">
      <c r="C797" s="1"/>
    </row>
    <row r="798" spans="3:3">
      <c r="C798" s="1"/>
    </row>
    <row r="799" spans="3:3">
      <c r="C799" s="1"/>
    </row>
    <row r="800" spans="3:3">
      <c r="C800" s="1"/>
    </row>
    <row r="801" spans="3:3">
      <c r="C801" s="1"/>
    </row>
    <row r="802" spans="3:3">
      <c r="C802" s="1"/>
    </row>
    <row r="803" spans="3:3">
      <c r="C803" s="1"/>
    </row>
    <row r="804" spans="3:3">
      <c r="C804" s="1"/>
    </row>
    <row r="805" spans="3:3">
      <c r="C805" s="1"/>
    </row>
    <row r="806" spans="3:3">
      <c r="C806" s="1"/>
    </row>
    <row r="807" spans="3:3">
      <c r="C807" s="1"/>
    </row>
    <row r="808" spans="3:3">
      <c r="C808" s="1"/>
    </row>
    <row r="809" spans="3:3">
      <c r="C809" s="1"/>
    </row>
    <row r="810" spans="3:3">
      <c r="C810" s="1"/>
    </row>
    <row r="811" spans="3:3">
      <c r="C811" s="1"/>
    </row>
    <row r="812" spans="3:3">
      <c r="C812" s="1"/>
    </row>
    <row r="813" spans="3:3">
      <c r="C813" s="1"/>
    </row>
    <row r="814" spans="3:3">
      <c r="C814" s="1"/>
    </row>
    <row r="815" spans="3:3">
      <c r="C815" s="1"/>
    </row>
    <row r="816" spans="3:3">
      <c r="C816" s="1"/>
    </row>
    <row r="817" spans="3:3">
      <c r="C817" s="1"/>
    </row>
    <row r="818" spans="3:3">
      <c r="C818" s="1"/>
    </row>
    <row r="819" spans="3:3">
      <c r="C819" s="1"/>
    </row>
    <row r="820" spans="3:3">
      <c r="C820" s="1"/>
    </row>
    <row r="821" spans="3:3">
      <c r="C821" s="1"/>
    </row>
    <row r="822" spans="3:3">
      <c r="C822" s="1"/>
    </row>
    <row r="823" spans="3:3">
      <c r="C823" s="1"/>
    </row>
    <row r="824" spans="3:3">
      <c r="C824" s="1"/>
    </row>
    <row r="825" spans="3:3">
      <c r="C825" s="1"/>
    </row>
    <row r="826" spans="3:3">
      <c r="C826" s="1"/>
    </row>
    <row r="827" spans="3:3">
      <c r="C827" s="1"/>
    </row>
    <row r="828" spans="3:3">
      <c r="C828" s="1"/>
    </row>
    <row r="829" spans="3:3">
      <c r="C829" s="1"/>
    </row>
    <row r="830" spans="3:3">
      <c r="C830" s="1"/>
    </row>
    <row r="831" spans="3:3">
      <c r="C831" s="1"/>
    </row>
    <row r="832" spans="3:3">
      <c r="C832" s="1"/>
    </row>
    <row r="833" spans="3:3">
      <c r="C833" s="1"/>
    </row>
    <row r="834" spans="3:3">
      <c r="C834" s="1"/>
    </row>
    <row r="835" spans="3:3">
      <c r="C835" s="1"/>
    </row>
    <row r="836" spans="3:3">
      <c r="C836" s="1"/>
    </row>
    <row r="837" spans="3:3">
      <c r="C837" s="1"/>
    </row>
    <row r="838" spans="3:3">
      <c r="C838" s="1"/>
    </row>
    <row r="839" spans="3:3">
      <c r="C839" s="1"/>
    </row>
    <row r="840" spans="3:3">
      <c r="C840" s="1"/>
    </row>
    <row r="841" spans="3:3">
      <c r="C841" s="1"/>
    </row>
    <row r="842" spans="3:3">
      <c r="C842" s="1"/>
    </row>
    <row r="843" spans="3:3">
      <c r="C843" s="1"/>
    </row>
    <row r="844" spans="3:3">
      <c r="C844" s="1"/>
    </row>
    <row r="845" spans="3:3">
      <c r="C845" s="1"/>
    </row>
    <row r="846" spans="3:3">
      <c r="C846" s="1"/>
    </row>
    <row r="847" spans="3:3">
      <c r="C847" s="1"/>
    </row>
    <row r="848" spans="3:3">
      <c r="C848" s="1"/>
    </row>
    <row r="849" spans="3:3">
      <c r="C849" s="1"/>
    </row>
    <row r="850" spans="3:3">
      <c r="C850" s="1"/>
    </row>
    <row r="851" spans="3:3">
      <c r="C851" s="1"/>
    </row>
    <row r="852" spans="3:3">
      <c r="C852" s="1"/>
    </row>
    <row r="853" spans="3:3">
      <c r="C853" s="1"/>
    </row>
    <row r="854" spans="3:3">
      <c r="C854" s="1"/>
    </row>
    <row r="855" spans="3:3">
      <c r="C855" s="1"/>
    </row>
    <row r="856" spans="3:3">
      <c r="C856" s="1"/>
    </row>
    <row r="857" spans="3:3">
      <c r="C857" s="1"/>
    </row>
    <row r="858" spans="3:3">
      <c r="C858" s="1"/>
    </row>
    <row r="859" spans="3:3">
      <c r="C859" s="1"/>
    </row>
    <row r="860" spans="3:3">
      <c r="C860" s="1"/>
    </row>
    <row r="861" spans="3:3">
      <c r="C861" s="1"/>
    </row>
    <row r="862" spans="3:3">
      <c r="C862" s="1"/>
    </row>
    <row r="863" spans="3:3">
      <c r="C863" s="1"/>
    </row>
    <row r="864" spans="3:3">
      <c r="C864" s="1"/>
    </row>
    <row r="865" spans="3:3">
      <c r="C865" s="1"/>
    </row>
    <row r="866" spans="3:3">
      <c r="C866" s="1"/>
    </row>
    <row r="867" spans="3:3">
      <c r="C867" s="1"/>
    </row>
    <row r="868" spans="3:3">
      <c r="C868" s="1"/>
    </row>
    <row r="869" spans="3:3">
      <c r="C869" s="1"/>
    </row>
    <row r="870" spans="3:3">
      <c r="C870" s="1"/>
    </row>
    <row r="871" spans="3:3">
      <c r="C871" s="1"/>
    </row>
    <row r="872" spans="3:3">
      <c r="C872" s="1"/>
    </row>
    <row r="873" spans="3:3">
      <c r="C873" s="1"/>
    </row>
    <row r="874" spans="3:3">
      <c r="C874" s="1"/>
    </row>
    <row r="875" spans="3:3">
      <c r="C875" s="1"/>
    </row>
    <row r="876" spans="3:3">
      <c r="C876" s="1"/>
    </row>
    <row r="877" spans="3:3">
      <c r="C877" s="1"/>
    </row>
    <row r="878" spans="3:3">
      <c r="C878" s="1"/>
    </row>
    <row r="879" spans="3:3">
      <c r="C879" s="1"/>
    </row>
    <row r="880" spans="3:3">
      <c r="C880" s="1"/>
    </row>
    <row r="881" spans="3:3">
      <c r="C881" s="1"/>
    </row>
    <row r="882" spans="3:3">
      <c r="C882" s="1"/>
    </row>
    <row r="883" spans="3:3">
      <c r="C883" s="1"/>
    </row>
    <row r="884" spans="3:3">
      <c r="C884" s="1"/>
    </row>
    <row r="885" spans="3:3">
      <c r="C885" s="1"/>
    </row>
    <row r="886" spans="3:3">
      <c r="C886" s="1"/>
    </row>
    <row r="887" spans="3:3">
      <c r="C887" s="1"/>
    </row>
    <row r="888" spans="3:3">
      <c r="C888" s="1"/>
    </row>
    <row r="889" spans="3:3">
      <c r="C889" s="1"/>
    </row>
    <row r="890" spans="3:3">
      <c r="C890" s="1"/>
    </row>
    <row r="891" spans="3:3">
      <c r="C891" s="1"/>
    </row>
    <row r="892" spans="3:3">
      <c r="C892" s="1"/>
    </row>
    <row r="893" spans="3:3">
      <c r="C893" s="1"/>
    </row>
    <row r="894" spans="3:3">
      <c r="C894" s="1"/>
    </row>
    <row r="895" spans="3:3">
      <c r="C895" s="1"/>
    </row>
    <row r="896" spans="3:3">
      <c r="C896" s="1"/>
    </row>
    <row r="897" spans="3:3">
      <c r="C897" s="1"/>
    </row>
    <row r="898" spans="3:3">
      <c r="C898" s="1"/>
    </row>
    <row r="899" spans="3:3">
      <c r="C899" s="1"/>
    </row>
    <row r="900" spans="3:3">
      <c r="C900" s="1"/>
    </row>
    <row r="901" spans="3:3">
      <c r="C901" s="1"/>
    </row>
    <row r="902" spans="3:3">
      <c r="C902" s="1"/>
    </row>
    <row r="903" spans="3:3">
      <c r="C903" s="1"/>
    </row>
    <row r="904" spans="3:3">
      <c r="C904" s="1"/>
    </row>
    <row r="905" spans="3:3">
      <c r="C905" s="1"/>
    </row>
    <row r="906" spans="3:3">
      <c r="C906" s="1"/>
    </row>
    <row r="907" spans="3:3">
      <c r="C907" s="1"/>
    </row>
    <row r="908" spans="3:3">
      <c r="C908" s="1"/>
    </row>
    <row r="909" spans="3:3">
      <c r="C909" s="1"/>
    </row>
    <row r="910" spans="3:3">
      <c r="C910" s="1"/>
    </row>
    <row r="911" spans="3:3">
      <c r="C911" s="1"/>
    </row>
    <row r="912" spans="3:3">
      <c r="C912" s="1"/>
    </row>
    <row r="913" spans="3:3">
      <c r="C913" s="1"/>
    </row>
    <row r="914" spans="3:3">
      <c r="C914" s="1"/>
    </row>
    <row r="915" spans="3:3">
      <c r="C915" s="1"/>
    </row>
    <row r="916" spans="3:3">
      <c r="C916" s="1"/>
    </row>
    <row r="917" spans="3:3">
      <c r="C917" s="1"/>
    </row>
    <row r="918" spans="3:3">
      <c r="C918" s="1"/>
    </row>
    <row r="919" spans="3:3">
      <c r="C919" s="1"/>
    </row>
    <row r="920" spans="3:3">
      <c r="C920" s="1"/>
    </row>
    <row r="921" spans="3:3">
      <c r="C921" s="1"/>
    </row>
    <row r="922" spans="3:3">
      <c r="C922" s="1"/>
    </row>
    <row r="923" spans="3:3">
      <c r="C923" s="1"/>
    </row>
    <row r="924" spans="3:3">
      <c r="C924" s="1"/>
    </row>
    <row r="925" spans="3:3">
      <c r="C925" s="1"/>
    </row>
    <row r="926" spans="3:3">
      <c r="C926" s="1"/>
    </row>
    <row r="927" spans="3:3">
      <c r="C927" s="1"/>
    </row>
    <row r="928" spans="3:3">
      <c r="C928" s="1"/>
    </row>
    <row r="929" spans="3:3">
      <c r="C929" s="1"/>
    </row>
    <row r="930" spans="3:3">
      <c r="C930" s="1"/>
    </row>
    <row r="931" spans="3:3">
      <c r="C931" s="1"/>
    </row>
    <row r="932" spans="3:3">
      <c r="C932" s="1"/>
    </row>
    <row r="933" spans="3:3">
      <c r="C933" s="1"/>
    </row>
    <row r="934" spans="3:3">
      <c r="C934" s="1"/>
    </row>
    <row r="935" spans="3:3">
      <c r="C935" s="1"/>
    </row>
    <row r="936" spans="3:3">
      <c r="C936" s="1"/>
    </row>
    <row r="937" spans="3:3">
      <c r="C937" s="1"/>
    </row>
    <row r="938" spans="3:3">
      <c r="C938" s="1"/>
    </row>
    <row r="939" spans="3:3">
      <c r="C939" s="1"/>
    </row>
    <row r="940" spans="3:3">
      <c r="C940" s="1"/>
    </row>
    <row r="941" spans="3:3">
      <c r="C941" s="1"/>
    </row>
    <row r="942" spans="3:3">
      <c r="C942" s="1"/>
    </row>
    <row r="943" spans="3:3">
      <c r="C943" s="1"/>
    </row>
    <row r="944" spans="3:3">
      <c r="C944" s="1"/>
    </row>
    <row r="945" spans="3:3">
      <c r="C945" s="1"/>
    </row>
    <row r="946" spans="3:3">
      <c r="C946" s="1"/>
    </row>
    <row r="947" spans="3:3">
      <c r="C947" s="1"/>
    </row>
    <row r="948" spans="3:3">
      <c r="C948" s="1"/>
    </row>
    <row r="949" spans="3:3">
      <c r="C949" s="1"/>
    </row>
    <row r="950" spans="3:3">
      <c r="C950" s="1"/>
    </row>
    <row r="951" spans="3:3">
      <c r="C951" s="1"/>
    </row>
    <row r="952" spans="3:3">
      <c r="C952" s="1"/>
    </row>
    <row r="953" spans="3:3">
      <c r="C953" s="1"/>
    </row>
    <row r="954" spans="3:3">
      <c r="C954" s="1"/>
    </row>
    <row r="955" spans="3:3">
      <c r="C955" s="1"/>
    </row>
    <row r="956" spans="3:3">
      <c r="C956" s="1"/>
    </row>
    <row r="957" spans="3:3">
      <c r="C957" s="1"/>
    </row>
    <row r="958" spans="3:3">
      <c r="C958" s="1"/>
    </row>
    <row r="959" spans="3:3">
      <c r="C959" s="1"/>
    </row>
    <row r="960" spans="3:3">
      <c r="C960" s="1"/>
    </row>
    <row r="961" spans="3:3">
      <c r="C961" s="1"/>
    </row>
    <row r="962" spans="3:3">
      <c r="C962" s="1"/>
    </row>
    <row r="963" spans="3:3">
      <c r="C963" s="1"/>
    </row>
    <row r="964" spans="3:3">
      <c r="C964" s="1"/>
    </row>
    <row r="965" spans="3:3">
      <c r="C965" s="1"/>
    </row>
    <row r="966" spans="3:3">
      <c r="C966" s="1"/>
    </row>
    <row r="967" spans="3:3">
      <c r="C967" s="1"/>
    </row>
    <row r="968" spans="3:3">
      <c r="C968" s="1"/>
    </row>
    <row r="969" spans="3:3">
      <c r="C969" s="1"/>
    </row>
    <row r="970" spans="3:3">
      <c r="C970" s="1"/>
    </row>
    <row r="971" spans="3:3">
      <c r="C971" s="1"/>
    </row>
    <row r="972" spans="3:3">
      <c r="C972" s="1"/>
    </row>
    <row r="973" spans="3:3">
      <c r="C973" s="1"/>
    </row>
    <row r="974" spans="3:3">
      <c r="C974" s="1"/>
    </row>
    <row r="975" spans="3:3">
      <c r="C975" s="1"/>
    </row>
    <row r="976" spans="3:3">
      <c r="C976" s="1"/>
    </row>
    <row r="977" spans="3:3">
      <c r="C977" s="1"/>
    </row>
    <row r="978" spans="3:3">
      <c r="C978" s="1"/>
    </row>
    <row r="979" spans="3:3">
      <c r="C979" s="1"/>
    </row>
    <row r="980" spans="3:3">
      <c r="C980" s="1"/>
    </row>
    <row r="981" spans="3:3">
      <c r="C981" s="1"/>
    </row>
    <row r="982" spans="3:3">
      <c r="C982" s="1"/>
    </row>
    <row r="983" spans="3:3">
      <c r="C983" s="1"/>
    </row>
    <row r="984" spans="3:3">
      <c r="C984" s="1"/>
    </row>
    <row r="985" spans="3:3">
      <c r="C985" s="1"/>
    </row>
    <row r="986" spans="3:3">
      <c r="C986" s="1"/>
    </row>
    <row r="987" spans="3:3">
      <c r="C987" s="1"/>
    </row>
    <row r="988" spans="3:3">
      <c r="C988" s="1"/>
    </row>
    <row r="989" spans="3:3">
      <c r="C989" s="1"/>
    </row>
    <row r="990" spans="3:3">
      <c r="C990" s="1"/>
    </row>
    <row r="991" spans="3:3">
      <c r="C991" s="1"/>
    </row>
    <row r="992" spans="3:3">
      <c r="C992" s="1"/>
    </row>
    <row r="993" spans="3:3">
      <c r="C993" s="1"/>
    </row>
    <row r="994" spans="3:3">
      <c r="C994" s="1"/>
    </row>
    <row r="995" spans="3:3">
      <c r="C995" s="1"/>
    </row>
    <row r="996" spans="3:3">
      <c r="C996" s="1"/>
    </row>
    <row r="997" spans="3:3">
      <c r="C997" s="1"/>
    </row>
    <row r="998" spans="3:3">
      <c r="C998" s="1"/>
    </row>
    <row r="999" spans="3:3">
      <c r="C999" s="1"/>
    </row>
    <row r="1000" spans="3:3">
      <c r="C1000" s="1"/>
    </row>
    <row r="1001" spans="3:3">
      <c r="C1001" s="1"/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6B64E-BA69-49AE-818C-BE42A25F7425}">
  <dimension ref="A1:G4"/>
  <sheetViews>
    <sheetView workbookViewId="0">
      <selection activeCell="D14" sqref="D14"/>
    </sheetView>
  </sheetViews>
  <sheetFormatPr defaultRowHeight="14.4"/>
  <cols>
    <col min="1" max="1" width="20.88671875" customWidth="1"/>
    <col min="2" max="2" width="24.77734375" customWidth="1"/>
    <col min="3" max="3" width="18.21875" customWidth="1"/>
    <col min="4" max="4" width="13.33203125" customWidth="1"/>
    <col min="5" max="5" width="13.77734375" customWidth="1"/>
    <col min="6" max="6" width="16.109375" customWidth="1"/>
    <col min="7" max="7" width="15.6640625" customWidth="1"/>
  </cols>
  <sheetData>
    <row r="1" spans="1:7" ht="28.8">
      <c r="A1" s="3" t="s">
        <v>83</v>
      </c>
      <c r="B1" s="3" t="s">
        <v>150</v>
      </c>
      <c r="C1" s="3" t="s">
        <v>167</v>
      </c>
      <c r="D1" s="3" t="s">
        <v>169</v>
      </c>
      <c r="E1" s="3" t="s">
        <v>170</v>
      </c>
      <c r="F1" s="3" t="s">
        <v>171</v>
      </c>
      <c r="G1" s="3" t="s">
        <v>172</v>
      </c>
    </row>
    <row r="2" spans="1:7">
      <c r="A2" s="19">
        <v>0.15</v>
      </c>
      <c r="B2" s="4" t="s">
        <v>151</v>
      </c>
      <c r="C2">
        <f>COUNTA(Table19[category_id])</f>
        <v>600</v>
      </c>
      <c r="D2">
        <f>0.1*600</f>
        <v>60</v>
      </c>
      <c r="E2" s="30">
        <f>SUM(Table1922[Revenue (Conservative)])</f>
        <v>310750</v>
      </c>
      <c r="F2" s="57">
        <f>SUM(Table1922[Conversions (Conservative)])</f>
        <v>1243</v>
      </c>
      <c r="G2">
        <f>SUM(Table1922[Total Favorites])</f>
        <v>8294</v>
      </c>
    </row>
    <row r="3" spans="1:7">
      <c r="A3" s="19">
        <v>0.25</v>
      </c>
      <c r="B3" s="4" t="s">
        <v>152</v>
      </c>
      <c r="C3">
        <f>COUNTA(Table19[category_id])</f>
        <v>600</v>
      </c>
      <c r="D3">
        <f t="shared" ref="D3:D4" si="0">0.1*600</f>
        <v>60</v>
      </c>
      <c r="E3" s="30">
        <f>SUM(Table1922[[#All],[Revenue (Benchmark)]])</f>
        <v>520250</v>
      </c>
      <c r="F3" s="57">
        <f>SUM(Table1922[Conversions (Benchmark)])</f>
        <v>2081</v>
      </c>
      <c r="G3">
        <f>SUM(Table1922[Total Favorites])</f>
        <v>8294</v>
      </c>
    </row>
    <row r="4" spans="1:7" ht="16.8" customHeight="1">
      <c r="A4" s="19">
        <v>0.3</v>
      </c>
      <c r="B4" s="4" t="s">
        <v>153</v>
      </c>
      <c r="C4">
        <f>COUNTA(Table19[category_id])</f>
        <v>600</v>
      </c>
      <c r="D4">
        <f t="shared" si="0"/>
        <v>60</v>
      </c>
      <c r="E4" s="30">
        <f>SUM(Table1922[Revenue (Best Case)])</f>
        <v>623250</v>
      </c>
      <c r="F4" s="57">
        <f>SUM(Table1922[Conversions (Best Case)])</f>
        <v>2493</v>
      </c>
      <c r="G4">
        <f>SUM(Table1922[Total Favorites])</f>
        <v>8294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C6358-8C10-45C5-A2C4-FBACCAADCCC3}">
  <dimension ref="A1:P61"/>
  <sheetViews>
    <sheetView topLeftCell="A38" workbookViewId="0">
      <selection activeCell="J1" sqref="J1:J1048576"/>
    </sheetView>
  </sheetViews>
  <sheetFormatPr defaultRowHeight="14.4"/>
  <cols>
    <col min="1" max="1" width="16.5546875" customWidth="1"/>
    <col min="2" max="2" width="23.33203125" customWidth="1"/>
    <col min="3" max="3" width="15.6640625" customWidth="1"/>
    <col min="4" max="4" width="20.44140625" style="57" customWidth="1"/>
    <col min="5" max="7" width="26.21875" customWidth="1"/>
    <col min="8" max="8" width="26.21875" style="57" customWidth="1"/>
    <col min="9" max="9" width="26.21875" customWidth="1"/>
    <col min="11" max="11" width="12.88671875" bestFit="1" customWidth="1"/>
    <col min="12" max="12" width="13.21875" bestFit="1" customWidth="1"/>
    <col min="13" max="13" width="23.5546875" bestFit="1" customWidth="1"/>
    <col min="14" max="14" width="24.21875" bestFit="1" customWidth="1"/>
    <col min="15" max="15" width="26.44140625" bestFit="1" customWidth="1"/>
    <col min="16" max="17" width="9.44140625" bestFit="1" customWidth="1"/>
  </cols>
  <sheetData>
    <row r="1" spans="1:16" ht="28.8">
      <c r="A1" t="s">
        <v>161</v>
      </c>
      <c r="B1" s="50" t="s">
        <v>84</v>
      </c>
      <c r="C1" s="50" t="s">
        <v>154</v>
      </c>
      <c r="D1" s="58" t="s">
        <v>155</v>
      </c>
      <c r="E1" s="50" t="s">
        <v>156</v>
      </c>
      <c r="F1" s="58" t="s">
        <v>157</v>
      </c>
      <c r="G1" s="50" t="s">
        <v>158</v>
      </c>
      <c r="H1" s="58" t="s">
        <v>159</v>
      </c>
      <c r="I1" s="50" t="s">
        <v>160</v>
      </c>
    </row>
    <row r="2" spans="1:16">
      <c r="A2">
        <v>4756105</v>
      </c>
      <c r="B2">
        <v>842</v>
      </c>
      <c r="C2" s="6">
        <v>250</v>
      </c>
      <c r="D2" s="57">
        <f>ROUND(Table1922[[#This Row],[Total Favorites]]*0.15,0)</f>
        <v>126</v>
      </c>
      <c r="E2" s="30">
        <f>Table1922[[#This Row],[Conversions (Conservative)]]*Table1922[[#This Row],[Avg Order Value]]</f>
        <v>31500</v>
      </c>
      <c r="F2" s="57">
        <f>ROUND(Table1922[[#This Row],[Total Favorites]]*0.25,0)</f>
        <v>211</v>
      </c>
      <c r="G2" s="30">
        <f>Table1922[[#This Row],[Conversions (Benchmark)]]*Table1922[[#This Row],[Avg Order Value]]</f>
        <v>52750</v>
      </c>
      <c r="H2" s="57">
        <f>ROUND(Table1922[[#This Row],[Total Favorites]]*0.3,0)</f>
        <v>253</v>
      </c>
      <c r="I2" s="30">
        <f>Table1922[[#This Row],[Conversions (Best Case)]]*Table1922[[#This Row],[Avg Order Value]]</f>
        <v>63250</v>
      </c>
      <c r="K2" s="53"/>
      <c r="L2" s="53"/>
    </row>
    <row r="3" spans="1:16">
      <c r="A3">
        <v>4145813</v>
      </c>
      <c r="B3">
        <v>573</v>
      </c>
      <c r="C3" s="6">
        <v>250</v>
      </c>
      <c r="D3" s="57">
        <f>ROUND(Table1922[[#This Row],[Total Favorites]]*0.15,0)</f>
        <v>86</v>
      </c>
      <c r="E3" s="30">
        <f>Table1922[[#This Row],[Conversions (Conservative)]]*Table1922[[#This Row],[Avg Order Value]]</f>
        <v>21500</v>
      </c>
      <c r="F3" s="57">
        <f>ROUND(Table1922[[#This Row],[Total Favorites]]*0.25,0)</f>
        <v>143</v>
      </c>
      <c r="G3" s="30">
        <f>Table1922[[#This Row],[Conversions (Benchmark)]]*Table1922[[#This Row],[Avg Order Value]]</f>
        <v>35750</v>
      </c>
      <c r="H3" s="57">
        <f>ROUND(Table1922[[#This Row],[Total Favorites]]*0.3,0)</f>
        <v>172</v>
      </c>
      <c r="I3" s="30">
        <f>Table1922[[#This Row],[Conversions (Best Case)]]*Table1922[[#This Row],[Avg Order Value]]</f>
        <v>43000</v>
      </c>
      <c r="K3" s="53"/>
      <c r="L3" s="53"/>
    </row>
    <row r="4" spans="1:16">
      <c r="A4">
        <v>982926</v>
      </c>
      <c r="B4">
        <v>473</v>
      </c>
      <c r="C4" s="6">
        <v>250</v>
      </c>
      <c r="D4" s="57">
        <f>ROUND(Table1922[[#This Row],[Total Favorites]]*0.15,0)</f>
        <v>71</v>
      </c>
      <c r="E4" s="30">
        <f>Table1922[[#This Row],[Conversions (Conservative)]]*Table1922[[#This Row],[Avg Order Value]]</f>
        <v>17750</v>
      </c>
      <c r="F4" s="57">
        <f>ROUND(Table1922[[#This Row],[Total Favorites]]*0.25,0)</f>
        <v>118</v>
      </c>
      <c r="G4" s="30">
        <f>Table1922[[#This Row],[Conversions (Benchmark)]]*Table1922[[#This Row],[Avg Order Value]]</f>
        <v>29500</v>
      </c>
      <c r="H4" s="57">
        <f>ROUND(Table1922[[#This Row],[Total Favorites]]*0.3,0)</f>
        <v>142</v>
      </c>
      <c r="I4" s="30">
        <f>Table1922[[#This Row],[Conversions (Best Case)]]*Table1922[[#This Row],[Avg Order Value]]</f>
        <v>35500</v>
      </c>
    </row>
    <row r="5" spans="1:16" ht="15.6" customHeight="1">
      <c r="A5">
        <v>2355072</v>
      </c>
      <c r="B5">
        <v>463</v>
      </c>
      <c r="C5" s="6">
        <v>250</v>
      </c>
      <c r="D5" s="57">
        <f>ROUND(Table1922[[#This Row],[Total Favorites]]*0.15,0)</f>
        <v>69</v>
      </c>
      <c r="E5" s="30">
        <f>Table1922[[#This Row],[Conversions (Conservative)]]*Table1922[[#This Row],[Avg Order Value]]</f>
        <v>17250</v>
      </c>
      <c r="F5" s="57">
        <f>ROUND(Table1922[[#This Row],[Total Favorites]]*0.25,0)</f>
        <v>116</v>
      </c>
      <c r="G5" s="30">
        <f>Table1922[[#This Row],[Conversions (Benchmark)]]*Table1922[[#This Row],[Avg Order Value]]</f>
        <v>29000</v>
      </c>
      <c r="H5" s="57">
        <f>ROUND(Table1922[[#This Row],[Total Favorites]]*0.3,0)</f>
        <v>139</v>
      </c>
      <c r="I5" s="30">
        <f>Table1922[[#This Row],[Conversions (Best Case)]]*Table1922[[#This Row],[Avg Order Value]]</f>
        <v>34750</v>
      </c>
      <c r="K5" s="3"/>
      <c r="L5" s="31"/>
      <c r="M5" s="31"/>
      <c r="N5" s="31"/>
      <c r="O5" s="31"/>
      <c r="P5" s="31"/>
    </row>
    <row r="6" spans="1:16" ht="15.6" customHeight="1">
      <c r="A6">
        <v>2520377</v>
      </c>
      <c r="B6">
        <v>373</v>
      </c>
      <c r="C6" s="6">
        <v>250</v>
      </c>
      <c r="D6" s="57">
        <f>ROUND(Table1922[[#This Row],[Total Favorites]]*0.15,0)</f>
        <v>56</v>
      </c>
      <c r="E6" s="30">
        <f>Table1922[[#This Row],[Conversions (Conservative)]]*Table1922[[#This Row],[Avg Order Value]]</f>
        <v>14000</v>
      </c>
      <c r="F6" s="57">
        <f>ROUND(Table1922[[#This Row],[Total Favorites]]*0.25,0)</f>
        <v>93</v>
      </c>
      <c r="G6" s="30">
        <f>Table1922[[#This Row],[Conversions (Benchmark)]]*Table1922[[#This Row],[Avg Order Value]]</f>
        <v>23250</v>
      </c>
      <c r="H6" s="57">
        <f>ROUND(Table1922[[#This Row],[Total Favorites]]*0.3,0)</f>
        <v>112</v>
      </c>
      <c r="I6" s="30">
        <f>Table1922[[#This Row],[Conversions (Best Case)]]*Table1922[[#This Row],[Avg Order Value]]</f>
        <v>28000</v>
      </c>
      <c r="K6" s="5"/>
      <c r="L6" s="6"/>
      <c r="M6" s="6"/>
      <c r="N6" s="6"/>
      <c r="O6" s="6"/>
      <c r="P6" s="6"/>
    </row>
    <row r="7" spans="1:16">
      <c r="A7">
        <v>4801426</v>
      </c>
      <c r="B7">
        <v>372</v>
      </c>
      <c r="C7" s="6">
        <v>250</v>
      </c>
      <c r="D7" s="57">
        <f>ROUND(Table1922[[#This Row],[Total Favorites]]*0.15,0)</f>
        <v>56</v>
      </c>
      <c r="E7" s="30">
        <f>Table1922[[#This Row],[Conversions (Conservative)]]*Table1922[[#This Row],[Avg Order Value]]</f>
        <v>14000</v>
      </c>
      <c r="F7" s="57">
        <f>ROUND(Table1922[[#This Row],[Total Favorites]]*0.25,0)</f>
        <v>93</v>
      </c>
      <c r="G7" s="30">
        <f>Table1922[[#This Row],[Conversions (Benchmark)]]*Table1922[[#This Row],[Avg Order Value]]</f>
        <v>23250</v>
      </c>
      <c r="H7" s="57">
        <f>ROUND(Table1922[[#This Row],[Total Favorites]]*0.3,0)</f>
        <v>112</v>
      </c>
      <c r="I7" s="30">
        <f>Table1922[[#This Row],[Conversions (Best Case)]]*Table1922[[#This Row],[Avg Order Value]]</f>
        <v>28000</v>
      </c>
    </row>
    <row r="8" spans="1:16">
      <c r="A8">
        <v>3607361</v>
      </c>
      <c r="B8">
        <v>350</v>
      </c>
      <c r="C8" s="6">
        <v>250</v>
      </c>
      <c r="D8" s="57">
        <f>ROUND(Table1922[[#This Row],[Total Favorites]]*0.15,0)</f>
        <v>53</v>
      </c>
      <c r="E8" s="30">
        <f>Table1922[[#This Row],[Conversions (Conservative)]]*Table1922[[#This Row],[Avg Order Value]]</f>
        <v>13250</v>
      </c>
      <c r="F8" s="57">
        <f>ROUND(Table1922[[#This Row],[Total Favorites]]*0.25,0)</f>
        <v>88</v>
      </c>
      <c r="G8" s="30">
        <f>Table1922[[#This Row],[Conversions (Benchmark)]]*Table1922[[#This Row],[Avg Order Value]]</f>
        <v>22000</v>
      </c>
      <c r="H8" s="57">
        <f>ROUND(Table1922[[#This Row],[Total Favorites]]*0.3,0)</f>
        <v>105</v>
      </c>
      <c r="I8" s="30">
        <f>Table1922[[#This Row],[Conversions (Best Case)]]*Table1922[[#This Row],[Avg Order Value]]</f>
        <v>26250</v>
      </c>
    </row>
    <row r="9" spans="1:16">
      <c r="A9">
        <v>2465336</v>
      </c>
      <c r="B9">
        <v>295</v>
      </c>
      <c r="C9" s="6">
        <v>250</v>
      </c>
      <c r="D9" s="57">
        <f>ROUND(Table1922[[#This Row],[Total Favorites]]*0.15,0)</f>
        <v>44</v>
      </c>
      <c r="E9" s="30">
        <f>Table1922[[#This Row],[Conversions (Conservative)]]*Table1922[[#This Row],[Avg Order Value]]</f>
        <v>11000</v>
      </c>
      <c r="F9" s="57">
        <f>ROUND(Table1922[[#This Row],[Total Favorites]]*0.25,0)</f>
        <v>74</v>
      </c>
      <c r="G9" s="30">
        <f>Table1922[[#This Row],[Conversions (Benchmark)]]*Table1922[[#This Row],[Avg Order Value]]</f>
        <v>18500</v>
      </c>
      <c r="H9" s="57">
        <f>ROUND(Table1922[[#This Row],[Total Favorites]]*0.3,0)</f>
        <v>89</v>
      </c>
      <c r="I9" s="30">
        <f>Table1922[[#This Row],[Conversions (Best Case)]]*Table1922[[#This Row],[Avg Order Value]]</f>
        <v>22250</v>
      </c>
    </row>
    <row r="10" spans="1:16">
      <c r="A10">
        <v>3002561</v>
      </c>
      <c r="B10">
        <v>266</v>
      </c>
      <c r="C10" s="6">
        <v>250</v>
      </c>
      <c r="D10" s="57">
        <f>ROUND(Table1922[[#This Row],[Total Favorites]]*0.15,0)</f>
        <v>40</v>
      </c>
      <c r="E10" s="30">
        <f>Table1922[[#This Row],[Conversions (Conservative)]]*Table1922[[#This Row],[Avg Order Value]]</f>
        <v>10000</v>
      </c>
      <c r="F10" s="57">
        <f>ROUND(Table1922[[#This Row],[Total Favorites]]*0.25,0)</f>
        <v>67</v>
      </c>
      <c r="G10" s="30">
        <f>Table1922[[#This Row],[Conversions (Benchmark)]]*Table1922[[#This Row],[Avg Order Value]]</f>
        <v>16750</v>
      </c>
      <c r="H10" s="57">
        <f>ROUND(Table1922[[#This Row],[Total Favorites]]*0.3,0)</f>
        <v>80</v>
      </c>
      <c r="I10" s="30">
        <f>Table1922[[#This Row],[Conversions (Best Case)]]*Table1922[[#This Row],[Avg Order Value]]</f>
        <v>20000</v>
      </c>
    </row>
    <row r="11" spans="1:16">
      <c r="A11">
        <v>1320293</v>
      </c>
      <c r="B11">
        <v>264</v>
      </c>
      <c r="C11" s="6">
        <v>250</v>
      </c>
      <c r="D11" s="57">
        <f>ROUND(Table1922[[#This Row],[Total Favorites]]*0.15,0)</f>
        <v>40</v>
      </c>
      <c r="E11" s="30">
        <f>Table1922[[#This Row],[Conversions (Conservative)]]*Table1922[[#This Row],[Avg Order Value]]</f>
        <v>10000</v>
      </c>
      <c r="F11" s="57">
        <f>ROUND(Table1922[[#This Row],[Total Favorites]]*0.25,0)</f>
        <v>66</v>
      </c>
      <c r="G11" s="30">
        <f>Table1922[[#This Row],[Conversions (Benchmark)]]*Table1922[[#This Row],[Avg Order Value]]</f>
        <v>16500</v>
      </c>
      <c r="H11" s="57">
        <f>ROUND(Table1922[[#This Row],[Total Favorites]]*0.3,0)</f>
        <v>79</v>
      </c>
      <c r="I11" s="30">
        <f>Table1922[[#This Row],[Conversions (Best Case)]]*Table1922[[#This Row],[Avg Order Value]]</f>
        <v>19750</v>
      </c>
    </row>
    <row r="12" spans="1:16">
      <c r="A12">
        <v>4181361</v>
      </c>
      <c r="B12">
        <v>204</v>
      </c>
      <c r="C12" s="6">
        <v>250</v>
      </c>
      <c r="D12" s="57">
        <f>ROUND(Table1922[[#This Row],[Total Favorites]]*0.15,0)</f>
        <v>31</v>
      </c>
      <c r="E12" s="30">
        <f>Table1922[[#This Row],[Conversions (Conservative)]]*Table1922[[#This Row],[Avg Order Value]]</f>
        <v>7750</v>
      </c>
      <c r="F12" s="57">
        <f>ROUND(Table1922[[#This Row],[Total Favorites]]*0.25,0)</f>
        <v>51</v>
      </c>
      <c r="G12" s="30">
        <f>Table1922[[#This Row],[Conversions (Benchmark)]]*Table1922[[#This Row],[Avg Order Value]]</f>
        <v>12750</v>
      </c>
      <c r="H12" s="57">
        <f>ROUND(Table1922[[#This Row],[Total Favorites]]*0.3,0)</f>
        <v>61</v>
      </c>
      <c r="I12" s="30">
        <f>Table1922[[#This Row],[Conversions (Best Case)]]*Table1922[[#This Row],[Avg Order Value]]</f>
        <v>15250</v>
      </c>
    </row>
    <row r="13" spans="1:16">
      <c r="A13">
        <v>149192</v>
      </c>
      <c r="B13">
        <v>200</v>
      </c>
      <c r="C13" s="6">
        <v>250</v>
      </c>
      <c r="D13" s="57">
        <f>ROUND(Table1922[[#This Row],[Total Favorites]]*0.15,0)</f>
        <v>30</v>
      </c>
      <c r="E13" s="30">
        <f>Table1922[[#This Row],[Conversions (Conservative)]]*Table1922[[#This Row],[Avg Order Value]]</f>
        <v>7500</v>
      </c>
      <c r="F13" s="57">
        <f>ROUND(Table1922[[#This Row],[Total Favorites]]*0.25,0)</f>
        <v>50</v>
      </c>
      <c r="G13" s="30">
        <f>Table1922[[#This Row],[Conversions (Benchmark)]]*Table1922[[#This Row],[Avg Order Value]]</f>
        <v>12500</v>
      </c>
      <c r="H13" s="57">
        <f>ROUND(Table1922[[#This Row],[Total Favorites]]*0.3,0)</f>
        <v>60</v>
      </c>
      <c r="I13" s="30">
        <f>Table1922[[#This Row],[Conversions (Best Case)]]*Table1922[[#This Row],[Avg Order Value]]</f>
        <v>15000</v>
      </c>
    </row>
    <row r="14" spans="1:16">
      <c r="A14">
        <v>4217906</v>
      </c>
      <c r="B14">
        <v>197</v>
      </c>
      <c r="C14" s="6">
        <v>250</v>
      </c>
      <c r="D14" s="57">
        <f>ROUND(Table1922[[#This Row],[Total Favorites]]*0.15,0)</f>
        <v>30</v>
      </c>
      <c r="E14" s="30">
        <f>Table1922[[#This Row],[Conversions (Conservative)]]*Table1922[[#This Row],[Avg Order Value]]</f>
        <v>7500</v>
      </c>
      <c r="F14" s="57">
        <f>ROUND(Table1922[[#This Row],[Total Favorites]]*0.25,0)</f>
        <v>49</v>
      </c>
      <c r="G14" s="30">
        <f>Table1922[[#This Row],[Conversions (Benchmark)]]*Table1922[[#This Row],[Avg Order Value]]</f>
        <v>12250</v>
      </c>
      <c r="H14" s="57">
        <f>ROUND(Table1922[[#This Row],[Total Favorites]]*0.3,0)</f>
        <v>59</v>
      </c>
      <c r="I14" s="30">
        <f>Table1922[[#This Row],[Conversions (Best Case)]]*Table1922[[#This Row],[Avg Order Value]]</f>
        <v>14750</v>
      </c>
    </row>
    <row r="15" spans="1:16">
      <c r="A15">
        <v>1080785</v>
      </c>
      <c r="B15">
        <v>190</v>
      </c>
      <c r="C15" s="6">
        <v>250</v>
      </c>
      <c r="D15" s="57">
        <f>ROUND(Table1922[[#This Row],[Total Favorites]]*0.15,0)</f>
        <v>29</v>
      </c>
      <c r="E15" s="30">
        <f>Table1922[[#This Row],[Conversions (Conservative)]]*Table1922[[#This Row],[Avg Order Value]]</f>
        <v>7250</v>
      </c>
      <c r="F15" s="57">
        <f>ROUND(Table1922[[#This Row],[Total Favorites]]*0.25,0)</f>
        <v>48</v>
      </c>
      <c r="G15" s="30">
        <f>Table1922[[#This Row],[Conversions (Benchmark)]]*Table1922[[#This Row],[Avg Order Value]]</f>
        <v>12000</v>
      </c>
      <c r="H15" s="57">
        <f>ROUND(Table1922[[#This Row],[Total Favorites]]*0.3,0)</f>
        <v>57</v>
      </c>
      <c r="I15" s="30">
        <f>Table1922[[#This Row],[Conversions (Best Case)]]*Table1922[[#This Row],[Avg Order Value]]</f>
        <v>14250</v>
      </c>
    </row>
    <row r="16" spans="1:16">
      <c r="A16">
        <v>2735466</v>
      </c>
      <c r="B16">
        <v>175</v>
      </c>
      <c r="C16" s="6">
        <v>250</v>
      </c>
      <c r="D16" s="57">
        <f>ROUND(Table1922[[#This Row],[Total Favorites]]*0.15,0)</f>
        <v>26</v>
      </c>
      <c r="E16" s="30">
        <f>Table1922[[#This Row],[Conversions (Conservative)]]*Table1922[[#This Row],[Avg Order Value]]</f>
        <v>6500</v>
      </c>
      <c r="F16" s="57">
        <f>ROUND(Table1922[[#This Row],[Total Favorites]]*0.25,0)</f>
        <v>44</v>
      </c>
      <c r="G16" s="30">
        <f>Table1922[[#This Row],[Conversions (Benchmark)]]*Table1922[[#This Row],[Avg Order Value]]</f>
        <v>11000</v>
      </c>
      <c r="H16" s="57">
        <f>ROUND(Table1922[[#This Row],[Total Favorites]]*0.3,0)</f>
        <v>53</v>
      </c>
      <c r="I16" s="30">
        <f>Table1922[[#This Row],[Conversions (Best Case)]]*Table1922[[#This Row],[Avg Order Value]]</f>
        <v>13250</v>
      </c>
    </row>
    <row r="17" spans="1:12">
      <c r="A17">
        <v>1879194</v>
      </c>
      <c r="B17">
        <v>155</v>
      </c>
      <c r="C17" s="6">
        <v>250</v>
      </c>
      <c r="D17" s="57">
        <f>ROUND(Table1922[[#This Row],[Total Favorites]]*0.15,0)</f>
        <v>23</v>
      </c>
      <c r="E17" s="30">
        <f>Table1922[[#This Row],[Conversions (Conservative)]]*Table1922[[#This Row],[Avg Order Value]]</f>
        <v>5750</v>
      </c>
      <c r="F17" s="57">
        <f>ROUND(Table1922[[#This Row],[Total Favorites]]*0.25,0)</f>
        <v>39</v>
      </c>
      <c r="G17" s="30">
        <f>Table1922[[#This Row],[Conversions (Benchmark)]]*Table1922[[#This Row],[Avg Order Value]]</f>
        <v>9750</v>
      </c>
      <c r="H17" s="57">
        <f>ROUND(Table1922[[#This Row],[Total Favorites]]*0.3,0)</f>
        <v>47</v>
      </c>
      <c r="I17" s="30">
        <f>Table1922[[#This Row],[Conversions (Best Case)]]*Table1922[[#This Row],[Avg Order Value]]</f>
        <v>11750</v>
      </c>
    </row>
    <row r="18" spans="1:12">
      <c r="A18">
        <v>2885642</v>
      </c>
      <c r="B18">
        <v>136</v>
      </c>
      <c r="C18" s="6">
        <v>250</v>
      </c>
      <c r="D18" s="57">
        <f>ROUND(Table1922[[#This Row],[Total Favorites]]*0.15,0)</f>
        <v>20</v>
      </c>
      <c r="E18" s="30">
        <f>Table1922[[#This Row],[Conversions (Conservative)]]*Table1922[[#This Row],[Avg Order Value]]</f>
        <v>5000</v>
      </c>
      <c r="F18" s="57">
        <f>ROUND(Table1922[[#This Row],[Total Favorites]]*0.25,0)</f>
        <v>34</v>
      </c>
      <c r="G18" s="30">
        <f>Table1922[[#This Row],[Conversions (Benchmark)]]*Table1922[[#This Row],[Avg Order Value]]</f>
        <v>8500</v>
      </c>
      <c r="H18" s="57">
        <f>ROUND(Table1922[[#This Row],[Total Favorites]]*0.3,0)</f>
        <v>41</v>
      </c>
      <c r="I18" s="30">
        <f>Table1922[[#This Row],[Conversions (Best Case)]]*Table1922[[#This Row],[Avg Order Value]]</f>
        <v>10250</v>
      </c>
    </row>
    <row r="19" spans="1:12">
      <c r="A19">
        <v>3738615</v>
      </c>
      <c r="B19">
        <v>129</v>
      </c>
      <c r="C19" s="6">
        <v>250</v>
      </c>
      <c r="D19" s="57">
        <f>ROUND(Table1922[[#This Row],[Total Favorites]]*0.15,0)</f>
        <v>19</v>
      </c>
      <c r="E19" s="30">
        <f>Table1922[[#This Row],[Conversions (Conservative)]]*Table1922[[#This Row],[Avg Order Value]]</f>
        <v>4750</v>
      </c>
      <c r="F19" s="57">
        <f>ROUND(Table1922[[#This Row],[Total Favorites]]*0.25,0)</f>
        <v>32</v>
      </c>
      <c r="G19" s="30">
        <f>Table1922[[#This Row],[Conversions (Benchmark)]]*Table1922[[#This Row],[Avg Order Value]]</f>
        <v>8000</v>
      </c>
      <c r="H19" s="57">
        <f>ROUND(Table1922[[#This Row],[Total Favorites]]*0.3,0)</f>
        <v>39</v>
      </c>
      <c r="I19" s="30">
        <f>Table1922[[#This Row],[Conversions (Best Case)]]*Table1922[[#This Row],[Avg Order Value]]</f>
        <v>9750</v>
      </c>
    </row>
    <row r="20" spans="1:12">
      <c r="A20">
        <v>1464116</v>
      </c>
      <c r="B20">
        <v>122</v>
      </c>
      <c r="C20" s="6">
        <v>250</v>
      </c>
      <c r="D20" s="57">
        <f>ROUND(Table1922[[#This Row],[Total Favorites]]*0.15,0)</f>
        <v>18</v>
      </c>
      <c r="E20" s="30">
        <f>Table1922[[#This Row],[Conversions (Conservative)]]*Table1922[[#This Row],[Avg Order Value]]</f>
        <v>4500</v>
      </c>
      <c r="F20" s="57">
        <f>ROUND(Table1922[[#This Row],[Total Favorites]]*0.25,0)</f>
        <v>31</v>
      </c>
      <c r="G20" s="30">
        <f>Table1922[[#This Row],[Conversions (Benchmark)]]*Table1922[[#This Row],[Avg Order Value]]</f>
        <v>7750</v>
      </c>
      <c r="H20" s="57">
        <f>ROUND(Table1922[[#This Row],[Total Favorites]]*0.3,0)</f>
        <v>37</v>
      </c>
      <c r="I20" s="30">
        <f>Table1922[[#This Row],[Conversions (Best Case)]]*Table1922[[#This Row],[Avg Order Value]]</f>
        <v>9250</v>
      </c>
    </row>
    <row r="21" spans="1:12">
      <c r="A21">
        <v>2520771</v>
      </c>
      <c r="B21">
        <v>121</v>
      </c>
      <c r="C21" s="6">
        <v>250</v>
      </c>
      <c r="D21" s="57">
        <f>ROUND(Table1922[[#This Row],[Total Favorites]]*0.15,0)</f>
        <v>18</v>
      </c>
      <c r="E21" s="30">
        <f>Table1922[[#This Row],[Conversions (Conservative)]]*Table1922[[#This Row],[Avg Order Value]]</f>
        <v>4500</v>
      </c>
      <c r="F21" s="57">
        <f>ROUND(Table1922[[#This Row],[Total Favorites]]*0.25,0)</f>
        <v>30</v>
      </c>
      <c r="G21" s="30">
        <f>Table1922[[#This Row],[Conversions (Benchmark)]]*Table1922[[#This Row],[Avg Order Value]]</f>
        <v>7500</v>
      </c>
      <c r="H21" s="57">
        <f>ROUND(Table1922[[#This Row],[Total Favorites]]*0.3,0)</f>
        <v>36</v>
      </c>
      <c r="I21" s="30">
        <f>Table1922[[#This Row],[Conversions (Best Case)]]*Table1922[[#This Row],[Avg Order Value]]</f>
        <v>9000</v>
      </c>
    </row>
    <row r="22" spans="1:12">
      <c r="A22">
        <v>570735</v>
      </c>
      <c r="B22">
        <v>115</v>
      </c>
      <c r="C22" s="6">
        <v>250</v>
      </c>
      <c r="D22" s="57">
        <f>ROUND(Table1922[[#This Row],[Total Favorites]]*0.15,0)</f>
        <v>17</v>
      </c>
      <c r="E22" s="30">
        <f>Table1922[[#This Row],[Conversions (Conservative)]]*Table1922[[#This Row],[Avg Order Value]]</f>
        <v>4250</v>
      </c>
      <c r="F22" s="57">
        <f>ROUND(Table1922[[#This Row],[Total Favorites]]*0.25,0)</f>
        <v>29</v>
      </c>
      <c r="G22" s="30">
        <f>Table1922[[#This Row],[Conversions (Benchmark)]]*Table1922[[#This Row],[Avg Order Value]]</f>
        <v>7250</v>
      </c>
      <c r="H22" s="57">
        <f>ROUND(Table1922[[#This Row],[Total Favorites]]*0.3,0)</f>
        <v>35</v>
      </c>
      <c r="I22" s="30">
        <f>Table1922[[#This Row],[Conversions (Best Case)]]*Table1922[[#This Row],[Avg Order Value]]</f>
        <v>8750</v>
      </c>
    </row>
    <row r="23" spans="1:12">
      <c r="A23">
        <v>4357323</v>
      </c>
      <c r="B23">
        <v>112</v>
      </c>
      <c r="C23" s="6">
        <v>250</v>
      </c>
      <c r="D23" s="57">
        <f>ROUND(Table1922[[#This Row],[Total Favorites]]*0.15,0)</f>
        <v>17</v>
      </c>
      <c r="E23" s="30">
        <f>Table1922[[#This Row],[Conversions (Conservative)]]*Table1922[[#This Row],[Avg Order Value]]</f>
        <v>4250</v>
      </c>
      <c r="F23" s="57">
        <f>ROUND(Table1922[[#This Row],[Total Favorites]]*0.25,0)</f>
        <v>28</v>
      </c>
      <c r="G23" s="30">
        <f>Table1922[[#This Row],[Conversions (Benchmark)]]*Table1922[[#This Row],[Avg Order Value]]</f>
        <v>7000</v>
      </c>
      <c r="H23" s="57">
        <f>ROUND(Table1922[[#This Row],[Total Favorites]]*0.3,0)</f>
        <v>34</v>
      </c>
      <c r="I23" s="30">
        <f>Table1922[[#This Row],[Conversions (Best Case)]]*Table1922[[#This Row],[Avg Order Value]]</f>
        <v>8500</v>
      </c>
    </row>
    <row r="24" spans="1:12">
      <c r="A24">
        <v>1575622</v>
      </c>
      <c r="B24">
        <v>111</v>
      </c>
      <c r="C24" s="6">
        <v>250</v>
      </c>
      <c r="D24" s="57">
        <f>ROUND(Table1922[[#This Row],[Total Favorites]]*0.15,0)</f>
        <v>17</v>
      </c>
      <c r="E24" s="30">
        <f>Table1922[[#This Row],[Conversions (Conservative)]]*Table1922[[#This Row],[Avg Order Value]]</f>
        <v>4250</v>
      </c>
      <c r="F24" s="57">
        <f>ROUND(Table1922[[#This Row],[Total Favorites]]*0.25,0)</f>
        <v>28</v>
      </c>
      <c r="G24" s="30">
        <f>Table1922[[#This Row],[Conversions (Benchmark)]]*Table1922[[#This Row],[Avg Order Value]]</f>
        <v>7000</v>
      </c>
      <c r="H24" s="57">
        <f>ROUND(Table1922[[#This Row],[Total Favorites]]*0.3,0)</f>
        <v>33</v>
      </c>
      <c r="I24" s="30">
        <f>Table1922[[#This Row],[Conversions (Best Case)]]*Table1922[[#This Row],[Avg Order Value]]</f>
        <v>8250</v>
      </c>
    </row>
    <row r="25" spans="1:12">
      <c r="A25">
        <v>154040</v>
      </c>
      <c r="B25">
        <v>108</v>
      </c>
      <c r="C25" s="6">
        <v>250</v>
      </c>
      <c r="D25" s="57">
        <f>ROUND(Table1922[[#This Row],[Total Favorites]]*0.15,0)</f>
        <v>16</v>
      </c>
      <c r="E25" s="30">
        <f>Table1922[[#This Row],[Conversions (Conservative)]]*Table1922[[#This Row],[Avg Order Value]]</f>
        <v>4000</v>
      </c>
      <c r="F25" s="57">
        <f>ROUND(Table1922[[#This Row],[Total Favorites]]*0.25,0)</f>
        <v>27</v>
      </c>
      <c r="G25" s="30">
        <f>Table1922[[#This Row],[Conversions (Benchmark)]]*Table1922[[#This Row],[Avg Order Value]]</f>
        <v>6750</v>
      </c>
      <c r="H25" s="57">
        <f>ROUND(Table1922[[#This Row],[Total Favorites]]*0.3,0)</f>
        <v>32</v>
      </c>
      <c r="I25" s="30">
        <f>Table1922[[#This Row],[Conversions (Best Case)]]*Table1922[[#This Row],[Avg Order Value]]</f>
        <v>8000</v>
      </c>
    </row>
    <row r="26" spans="1:12">
      <c r="A26">
        <v>2920476</v>
      </c>
      <c r="B26">
        <v>106</v>
      </c>
      <c r="C26" s="6">
        <v>250</v>
      </c>
      <c r="D26" s="57">
        <f>ROUND(Table1922[[#This Row],[Total Favorites]]*0.15,0)</f>
        <v>16</v>
      </c>
      <c r="E26" s="30">
        <f>Table1922[[#This Row],[Conversions (Conservative)]]*Table1922[[#This Row],[Avg Order Value]]</f>
        <v>4000</v>
      </c>
      <c r="F26" s="57">
        <f>ROUND(Table1922[[#This Row],[Total Favorites]]*0.25,0)</f>
        <v>27</v>
      </c>
      <c r="G26" s="30">
        <f>Table1922[[#This Row],[Conversions (Benchmark)]]*Table1922[[#This Row],[Avg Order Value]]</f>
        <v>6750</v>
      </c>
      <c r="H26" s="57">
        <f>ROUND(Table1922[[#This Row],[Total Favorites]]*0.3,0)</f>
        <v>32</v>
      </c>
      <c r="I26" s="30">
        <f>Table1922[[#This Row],[Conversions (Best Case)]]*Table1922[[#This Row],[Avg Order Value]]</f>
        <v>8000</v>
      </c>
    </row>
    <row r="27" spans="1:12">
      <c r="A27">
        <v>2640118</v>
      </c>
      <c r="B27">
        <v>102</v>
      </c>
      <c r="C27" s="6">
        <v>250</v>
      </c>
      <c r="D27" s="57">
        <f>ROUND(Table1922[[#This Row],[Total Favorites]]*0.15,0)</f>
        <v>15</v>
      </c>
      <c r="E27" s="30">
        <f>Table1922[[#This Row],[Conversions (Conservative)]]*Table1922[[#This Row],[Avg Order Value]]</f>
        <v>3750</v>
      </c>
      <c r="F27" s="57">
        <f>ROUND(Table1922[[#This Row],[Total Favorites]]*0.25,0)</f>
        <v>26</v>
      </c>
      <c r="G27" s="30">
        <f>Table1922[[#This Row],[Conversions (Benchmark)]]*Table1922[[#This Row],[Avg Order Value]]</f>
        <v>6500</v>
      </c>
      <c r="H27" s="57">
        <f>ROUND(Table1922[[#This Row],[Total Favorites]]*0.3,0)</f>
        <v>31</v>
      </c>
      <c r="I27" s="30">
        <f>Table1922[[#This Row],[Conversions (Best Case)]]*Table1922[[#This Row],[Avg Order Value]]</f>
        <v>7750</v>
      </c>
    </row>
    <row r="28" spans="1:12">
      <c r="A28">
        <v>1299190</v>
      </c>
      <c r="B28">
        <v>89</v>
      </c>
      <c r="C28" s="6">
        <v>250</v>
      </c>
      <c r="D28" s="57">
        <f>ROUND(Table1922[[#This Row],[Total Favorites]]*0.15,0)</f>
        <v>13</v>
      </c>
      <c r="E28" s="30">
        <f>Table1922[[#This Row],[Conversions (Conservative)]]*Table1922[[#This Row],[Avg Order Value]]</f>
        <v>3250</v>
      </c>
      <c r="F28" s="57">
        <f>ROUND(Table1922[[#This Row],[Total Favorites]]*0.25,0)</f>
        <v>22</v>
      </c>
      <c r="G28" s="30">
        <f>Table1922[[#This Row],[Conversions (Benchmark)]]*Table1922[[#This Row],[Avg Order Value]]</f>
        <v>5500</v>
      </c>
      <c r="H28" s="57">
        <f>ROUND(Table1922[[#This Row],[Total Favorites]]*0.3,0)</f>
        <v>27</v>
      </c>
      <c r="I28" s="30">
        <f>Table1922[[#This Row],[Conversions (Best Case)]]*Table1922[[#This Row],[Avg Order Value]]</f>
        <v>6750</v>
      </c>
    </row>
    <row r="29" spans="1:12">
      <c r="A29">
        <v>1029459</v>
      </c>
      <c r="B29">
        <v>87</v>
      </c>
      <c r="C29" s="6">
        <v>250</v>
      </c>
      <c r="D29" s="57">
        <f>ROUND(Table1922[[#This Row],[Total Favorites]]*0.15,0)</f>
        <v>13</v>
      </c>
      <c r="E29" s="30">
        <f>Table1922[[#This Row],[Conversions (Conservative)]]*Table1922[[#This Row],[Avg Order Value]]</f>
        <v>3250</v>
      </c>
      <c r="F29" s="57">
        <f>ROUND(Table1922[[#This Row],[Total Favorites]]*0.25,0)</f>
        <v>22</v>
      </c>
      <c r="G29" s="30">
        <f>Table1922[[#This Row],[Conversions (Benchmark)]]*Table1922[[#This Row],[Avg Order Value]]</f>
        <v>5500</v>
      </c>
      <c r="H29" s="57">
        <f>ROUND(Table1922[[#This Row],[Total Favorites]]*0.3,0)</f>
        <v>26</v>
      </c>
      <c r="I29" s="30">
        <f>Table1922[[#This Row],[Conversions (Best Case)]]*Table1922[[#This Row],[Avg Order Value]]</f>
        <v>6500</v>
      </c>
    </row>
    <row r="30" spans="1:12">
      <c r="A30">
        <v>4690421</v>
      </c>
      <c r="B30">
        <v>86</v>
      </c>
      <c r="C30" s="6">
        <v>250</v>
      </c>
      <c r="D30" s="57">
        <f>ROUND(Table1922[[#This Row],[Total Favorites]]*0.15,0)</f>
        <v>13</v>
      </c>
      <c r="E30" s="30">
        <f>Table1922[[#This Row],[Conversions (Conservative)]]*Table1922[[#This Row],[Avg Order Value]]</f>
        <v>3250</v>
      </c>
      <c r="F30" s="57">
        <f>ROUND(Table1922[[#This Row],[Total Favorites]]*0.25,0)</f>
        <v>22</v>
      </c>
      <c r="G30" s="30">
        <f>Table1922[[#This Row],[Conversions (Benchmark)]]*Table1922[[#This Row],[Avg Order Value]]</f>
        <v>5500</v>
      </c>
      <c r="H30" s="57">
        <f>ROUND(Table1922[[#This Row],[Total Favorites]]*0.3,0)</f>
        <v>26</v>
      </c>
      <c r="I30" s="30">
        <f>Table1922[[#This Row],[Conversions (Best Case)]]*Table1922[[#This Row],[Avg Order Value]]</f>
        <v>6500</v>
      </c>
    </row>
    <row r="31" spans="1:12">
      <c r="A31">
        <v>4643350</v>
      </c>
      <c r="B31">
        <v>83</v>
      </c>
      <c r="C31" s="6">
        <v>250</v>
      </c>
      <c r="D31" s="57">
        <f>ROUND(Table1922[[#This Row],[Total Favorites]]*0.15,0)</f>
        <v>12</v>
      </c>
      <c r="E31" s="30">
        <f>Table1922[[#This Row],[Conversions (Conservative)]]*Table1922[[#This Row],[Avg Order Value]]</f>
        <v>3000</v>
      </c>
      <c r="F31" s="57">
        <f>ROUND(Table1922[[#This Row],[Total Favorites]]*0.25,0)</f>
        <v>21</v>
      </c>
      <c r="G31" s="30">
        <f>Table1922[[#This Row],[Conversions (Benchmark)]]*Table1922[[#This Row],[Avg Order Value]]</f>
        <v>5250</v>
      </c>
      <c r="H31" s="57">
        <f>ROUND(Table1922[[#This Row],[Total Favorites]]*0.3,0)</f>
        <v>25</v>
      </c>
      <c r="I31" s="30">
        <f>Table1922[[#This Row],[Conversions (Best Case)]]*Table1922[[#This Row],[Avg Order Value]]</f>
        <v>6250</v>
      </c>
    </row>
    <row r="32" spans="1:12">
      <c r="A32">
        <v>2131531</v>
      </c>
      <c r="B32">
        <v>81</v>
      </c>
      <c r="C32" s="6">
        <v>250</v>
      </c>
      <c r="D32" s="57">
        <f>ROUND(Table1922[[#This Row],[Total Favorites]]*0.15,0)</f>
        <v>12</v>
      </c>
      <c r="E32" s="30">
        <f>Table1922[[#This Row],[Conversions (Conservative)]]*Table1922[[#This Row],[Avg Order Value]]</f>
        <v>3000</v>
      </c>
      <c r="F32" s="57">
        <f>ROUND(Table1922[[#This Row],[Total Favorites]]*0.25,0)</f>
        <v>20</v>
      </c>
      <c r="G32" s="30">
        <f>Table1922[[#This Row],[Conversions (Benchmark)]]*Table1922[[#This Row],[Avg Order Value]]</f>
        <v>5000</v>
      </c>
      <c r="H32" s="57">
        <f>ROUND(Table1922[[#This Row],[Total Favorites]]*0.3,0)</f>
        <v>24</v>
      </c>
      <c r="I32" s="30">
        <f>Table1922[[#This Row],[Conversions (Best Case)]]*Table1922[[#This Row],[Avg Order Value]]</f>
        <v>6000</v>
      </c>
      <c r="K32" s="54"/>
      <c r="L32" s="54"/>
    </row>
    <row r="33" spans="1:13">
      <c r="A33">
        <v>4170419</v>
      </c>
      <c r="B33">
        <v>74</v>
      </c>
      <c r="C33" s="6">
        <v>250</v>
      </c>
      <c r="D33" s="57">
        <f>ROUND(Table1922[[#This Row],[Total Favorites]]*0.15,0)</f>
        <v>11</v>
      </c>
      <c r="E33" s="30">
        <f>Table1922[[#This Row],[Conversions (Conservative)]]*Table1922[[#This Row],[Avg Order Value]]</f>
        <v>2750</v>
      </c>
      <c r="F33" s="57">
        <f>ROUND(Table1922[[#This Row],[Total Favorites]]*0.25,0)</f>
        <v>19</v>
      </c>
      <c r="G33" s="30">
        <f>Table1922[[#This Row],[Conversions (Benchmark)]]*Table1922[[#This Row],[Avg Order Value]]</f>
        <v>4750</v>
      </c>
      <c r="H33" s="57">
        <f>ROUND(Table1922[[#This Row],[Total Favorites]]*0.3,0)</f>
        <v>22</v>
      </c>
      <c r="I33" s="30">
        <f>Table1922[[#This Row],[Conversions (Best Case)]]*Table1922[[#This Row],[Avg Order Value]]</f>
        <v>5500</v>
      </c>
      <c r="K33" s="54"/>
      <c r="L33" s="54"/>
    </row>
    <row r="34" spans="1:13">
      <c r="A34">
        <v>411153</v>
      </c>
      <c r="B34">
        <v>72</v>
      </c>
      <c r="C34" s="6">
        <v>250</v>
      </c>
      <c r="D34" s="57">
        <f>ROUND(Table1922[[#This Row],[Total Favorites]]*0.15,0)</f>
        <v>11</v>
      </c>
      <c r="E34" s="30">
        <f>Table1922[[#This Row],[Conversions (Conservative)]]*Table1922[[#This Row],[Avg Order Value]]</f>
        <v>2750</v>
      </c>
      <c r="F34" s="57">
        <f>ROUND(Table1922[[#This Row],[Total Favorites]]*0.25,0)</f>
        <v>18</v>
      </c>
      <c r="G34" s="30">
        <f>Table1922[[#This Row],[Conversions (Benchmark)]]*Table1922[[#This Row],[Avg Order Value]]</f>
        <v>4500</v>
      </c>
      <c r="H34" s="57">
        <f>ROUND(Table1922[[#This Row],[Total Favorites]]*0.3,0)</f>
        <v>22</v>
      </c>
      <c r="I34" s="30">
        <f>Table1922[[#This Row],[Conversions (Best Case)]]*Table1922[[#This Row],[Avg Order Value]]</f>
        <v>5500</v>
      </c>
    </row>
    <row r="35" spans="1:13">
      <c r="A35">
        <v>753984</v>
      </c>
      <c r="B35">
        <v>68</v>
      </c>
      <c r="C35" s="6">
        <v>250</v>
      </c>
      <c r="D35" s="57">
        <f>ROUND(Table1922[[#This Row],[Total Favorites]]*0.15,0)</f>
        <v>10</v>
      </c>
      <c r="E35" s="30">
        <f>Table1922[[#This Row],[Conversions (Conservative)]]*Table1922[[#This Row],[Avg Order Value]]</f>
        <v>2500</v>
      </c>
      <c r="F35" s="57">
        <f>ROUND(Table1922[[#This Row],[Total Favorites]]*0.25,0)</f>
        <v>17</v>
      </c>
      <c r="G35" s="30">
        <f>Table1922[[#This Row],[Conversions (Benchmark)]]*Table1922[[#This Row],[Avg Order Value]]</f>
        <v>4250</v>
      </c>
      <c r="H35" s="57">
        <f>ROUND(Table1922[[#This Row],[Total Favorites]]*0.3,0)</f>
        <v>20</v>
      </c>
      <c r="I35" s="30">
        <f>Table1922[[#This Row],[Conversions (Best Case)]]*Table1922[[#This Row],[Avg Order Value]]</f>
        <v>5000</v>
      </c>
      <c r="K35" s="3"/>
      <c r="L35" s="3"/>
      <c r="M35" s="3"/>
    </row>
    <row r="36" spans="1:13">
      <c r="A36">
        <v>2939262</v>
      </c>
      <c r="B36">
        <v>67</v>
      </c>
      <c r="C36" s="6">
        <v>250</v>
      </c>
      <c r="D36" s="57">
        <f>ROUND(Table1922[[#This Row],[Total Favorites]]*0.15,0)</f>
        <v>10</v>
      </c>
      <c r="E36" s="30">
        <f>Table1922[[#This Row],[Conversions (Conservative)]]*Table1922[[#This Row],[Avg Order Value]]</f>
        <v>2500</v>
      </c>
      <c r="F36" s="57">
        <f>ROUND(Table1922[[#This Row],[Total Favorites]]*0.25,0)</f>
        <v>17</v>
      </c>
      <c r="G36" s="30">
        <f>Table1922[[#This Row],[Conversions (Benchmark)]]*Table1922[[#This Row],[Avg Order Value]]</f>
        <v>4250</v>
      </c>
      <c r="H36" s="57">
        <f>ROUND(Table1922[[#This Row],[Total Favorites]]*0.3,0)</f>
        <v>20</v>
      </c>
      <c r="I36" s="30">
        <f>Table1922[[#This Row],[Conversions (Best Case)]]*Table1922[[#This Row],[Avg Order Value]]</f>
        <v>5000</v>
      </c>
      <c r="K36" s="4"/>
      <c r="L36" s="19"/>
      <c r="M36" s="19"/>
    </row>
    <row r="37" spans="1:13" ht="22.2" customHeight="1">
      <c r="A37">
        <v>1859277</v>
      </c>
      <c r="B37">
        <v>61</v>
      </c>
      <c r="C37" s="6">
        <v>250</v>
      </c>
      <c r="D37" s="57">
        <f>ROUND(Table1922[[#This Row],[Total Favorites]]*0.15,0)</f>
        <v>9</v>
      </c>
      <c r="E37" s="30">
        <f>Table1922[[#This Row],[Conversions (Conservative)]]*Table1922[[#This Row],[Avg Order Value]]</f>
        <v>2250</v>
      </c>
      <c r="F37" s="57">
        <f>ROUND(Table1922[[#This Row],[Total Favorites]]*0.25,0)</f>
        <v>15</v>
      </c>
      <c r="G37" s="30">
        <f>Table1922[[#This Row],[Conversions (Benchmark)]]*Table1922[[#This Row],[Avg Order Value]]</f>
        <v>3750</v>
      </c>
      <c r="H37" s="57">
        <f>ROUND(Table1922[[#This Row],[Total Favorites]]*0.3,0)</f>
        <v>18</v>
      </c>
      <c r="I37" s="30">
        <f>Table1922[[#This Row],[Conversions (Best Case)]]*Table1922[[#This Row],[Avg Order Value]]</f>
        <v>4500</v>
      </c>
      <c r="K37" s="4"/>
      <c r="L37" s="6"/>
      <c r="M37" s="30"/>
    </row>
    <row r="38" spans="1:13">
      <c r="A38">
        <v>3299155</v>
      </c>
      <c r="B38">
        <v>56</v>
      </c>
      <c r="C38" s="6">
        <v>250</v>
      </c>
      <c r="D38" s="57">
        <f>ROUND(Table1922[[#This Row],[Total Favorites]]*0.15,0)</f>
        <v>8</v>
      </c>
      <c r="E38" s="30">
        <f>Table1922[[#This Row],[Conversions (Conservative)]]*Table1922[[#This Row],[Avg Order Value]]</f>
        <v>2000</v>
      </c>
      <c r="F38" s="57">
        <f>ROUND(Table1922[[#This Row],[Total Favorites]]*0.25,0)</f>
        <v>14</v>
      </c>
      <c r="G38" s="30">
        <f>Table1922[[#This Row],[Conversions (Benchmark)]]*Table1922[[#This Row],[Avg Order Value]]</f>
        <v>3500</v>
      </c>
      <c r="H38" s="57">
        <f>ROUND(Table1922[[#This Row],[Total Favorites]]*0.3,0)</f>
        <v>17</v>
      </c>
      <c r="I38" s="30">
        <f>Table1922[[#This Row],[Conversions (Best Case)]]*Table1922[[#This Row],[Avg Order Value]]</f>
        <v>4250</v>
      </c>
    </row>
    <row r="39" spans="1:13">
      <c r="A39">
        <v>3004853</v>
      </c>
      <c r="B39">
        <v>55</v>
      </c>
      <c r="C39" s="6">
        <v>250</v>
      </c>
      <c r="D39" s="57">
        <f>ROUND(Table1922[[#This Row],[Total Favorites]]*0.15,0)</f>
        <v>8</v>
      </c>
      <c r="E39" s="30">
        <f>Table1922[[#This Row],[Conversions (Conservative)]]*Table1922[[#This Row],[Avg Order Value]]</f>
        <v>2000</v>
      </c>
      <c r="F39" s="57">
        <f>ROUND(Table1922[[#This Row],[Total Favorites]]*0.25,0)</f>
        <v>14</v>
      </c>
      <c r="G39" s="30">
        <f>Table1922[[#This Row],[Conversions (Benchmark)]]*Table1922[[#This Row],[Avg Order Value]]</f>
        <v>3500</v>
      </c>
      <c r="H39" s="57">
        <f>ROUND(Table1922[[#This Row],[Total Favorites]]*0.3,0)</f>
        <v>17</v>
      </c>
      <c r="I39" s="30">
        <f>Table1922[[#This Row],[Conversions (Best Case)]]*Table1922[[#This Row],[Avg Order Value]]</f>
        <v>4250</v>
      </c>
    </row>
    <row r="40" spans="1:13">
      <c r="A40">
        <v>903809</v>
      </c>
      <c r="B40">
        <v>53</v>
      </c>
      <c r="C40" s="6">
        <v>250</v>
      </c>
      <c r="D40" s="57">
        <f>ROUND(Table1922[[#This Row],[Total Favorites]]*0.15,0)</f>
        <v>8</v>
      </c>
      <c r="E40" s="30">
        <f>Table1922[[#This Row],[Conversions (Conservative)]]*Table1922[[#This Row],[Avg Order Value]]</f>
        <v>2000</v>
      </c>
      <c r="F40" s="57">
        <f>ROUND(Table1922[[#This Row],[Total Favorites]]*0.25,0)</f>
        <v>13</v>
      </c>
      <c r="G40" s="30">
        <f>Table1922[[#This Row],[Conversions (Benchmark)]]*Table1922[[#This Row],[Avg Order Value]]</f>
        <v>3250</v>
      </c>
      <c r="H40" s="57">
        <f>ROUND(Table1922[[#This Row],[Total Favorites]]*0.3,0)</f>
        <v>16</v>
      </c>
      <c r="I40" s="30">
        <f>Table1922[[#This Row],[Conversions (Best Case)]]*Table1922[[#This Row],[Avg Order Value]]</f>
        <v>4000</v>
      </c>
    </row>
    <row r="41" spans="1:13">
      <c r="A41">
        <v>883960</v>
      </c>
      <c r="B41">
        <v>48</v>
      </c>
      <c r="C41" s="6">
        <v>250</v>
      </c>
      <c r="D41" s="57">
        <f>ROUND(Table1922[[#This Row],[Total Favorites]]*0.15,0)</f>
        <v>7</v>
      </c>
      <c r="E41" s="30">
        <f>Table1922[[#This Row],[Conversions (Conservative)]]*Table1922[[#This Row],[Avg Order Value]]</f>
        <v>1750</v>
      </c>
      <c r="F41" s="57">
        <f>ROUND(Table1922[[#This Row],[Total Favorites]]*0.25,0)</f>
        <v>12</v>
      </c>
      <c r="G41" s="30">
        <f>Table1922[[#This Row],[Conversions (Benchmark)]]*Table1922[[#This Row],[Avg Order Value]]</f>
        <v>3000</v>
      </c>
      <c r="H41" s="57">
        <f>ROUND(Table1922[[#This Row],[Total Favorites]]*0.3,0)</f>
        <v>14</v>
      </c>
      <c r="I41" s="30">
        <f>Table1922[[#This Row],[Conversions (Best Case)]]*Table1922[[#This Row],[Avg Order Value]]</f>
        <v>3500</v>
      </c>
    </row>
    <row r="42" spans="1:13">
      <c r="A42">
        <v>2945933</v>
      </c>
      <c r="B42">
        <v>48</v>
      </c>
      <c r="C42" s="6">
        <v>250</v>
      </c>
      <c r="D42" s="57">
        <f>ROUND(Table1922[[#This Row],[Total Favorites]]*0.15,0)</f>
        <v>7</v>
      </c>
      <c r="E42" s="30">
        <f>Table1922[[#This Row],[Conversions (Conservative)]]*Table1922[[#This Row],[Avg Order Value]]</f>
        <v>1750</v>
      </c>
      <c r="F42" s="57">
        <f>ROUND(Table1922[[#This Row],[Total Favorites]]*0.25,0)</f>
        <v>12</v>
      </c>
      <c r="G42" s="30">
        <f>Table1922[[#This Row],[Conversions (Benchmark)]]*Table1922[[#This Row],[Avg Order Value]]</f>
        <v>3000</v>
      </c>
      <c r="H42" s="57">
        <f>ROUND(Table1922[[#This Row],[Total Favorites]]*0.3,0)</f>
        <v>14</v>
      </c>
      <c r="I42" s="30">
        <f>Table1922[[#This Row],[Conversions (Best Case)]]*Table1922[[#This Row],[Avg Order Value]]</f>
        <v>3500</v>
      </c>
    </row>
    <row r="43" spans="1:13">
      <c r="A43">
        <v>5053508</v>
      </c>
      <c r="B43">
        <v>44</v>
      </c>
      <c r="C43" s="6">
        <v>250</v>
      </c>
      <c r="D43" s="57">
        <f>ROUND(Table1922[[#This Row],[Total Favorites]]*0.15,0)</f>
        <v>7</v>
      </c>
      <c r="E43" s="30">
        <f>Table1922[[#This Row],[Conversions (Conservative)]]*Table1922[[#This Row],[Avg Order Value]]</f>
        <v>1750</v>
      </c>
      <c r="F43" s="57">
        <f>ROUND(Table1922[[#This Row],[Total Favorites]]*0.25,0)</f>
        <v>11</v>
      </c>
      <c r="G43" s="30">
        <f>Table1922[[#This Row],[Conversions (Benchmark)]]*Table1922[[#This Row],[Avg Order Value]]</f>
        <v>2750</v>
      </c>
      <c r="H43" s="57">
        <f>ROUND(Table1922[[#This Row],[Total Favorites]]*0.3,0)</f>
        <v>13</v>
      </c>
      <c r="I43" s="30">
        <f>Table1922[[#This Row],[Conversions (Best Case)]]*Table1922[[#This Row],[Avg Order Value]]</f>
        <v>3250</v>
      </c>
    </row>
    <row r="44" spans="1:13">
      <c r="A44">
        <v>1051370</v>
      </c>
      <c r="B44">
        <v>44</v>
      </c>
      <c r="C44" s="6">
        <v>250</v>
      </c>
      <c r="D44" s="57">
        <f>ROUND(Table1922[[#This Row],[Total Favorites]]*0.15,0)</f>
        <v>7</v>
      </c>
      <c r="E44" s="30">
        <f>Table1922[[#This Row],[Conversions (Conservative)]]*Table1922[[#This Row],[Avg Order Value]]</f>
        <v>1750</v>
      </c>
      <c r="F44" s="57">
        <f>ROUND(Table1922[[#This Row],[Total Favorites]]*0.25,0)</f>
        <v>11</v>
      </c>
      <c r="G44" s="30">
        <f>Table1922[[#This Row],[Conversions (Benchmark)]]*Table1922[[#This Row],[Avg Order Value]]</f>
        <v>2750</v>
      </c>
      <c r="H44" s="57">
        <f>ROUND(Table1922[[#This Row],[Total Favorites]]*0.3,0)</f>
        <v>13</v>
      </c>
      <c r="I44" s="30">
        <f>Table1922[[#This Row],[Conversions (Best Case)]]*Table1922[[#This Row],[Avg Order Value]]</f>
        <v>3250</v>
      </c>
    </row>
    <row r="45" spans="1:13">
      <c r="A45">
        <v>344833</v>
      </c>
      <c r="B45">
        <v>42</v>
      </c>
      <c r="C45" s="6">
        <v>250</v>
      </c>
      <c r="D45" s="57">
        <f>ROUND(Table1922[[#This Row],[Total Favorites]]*0.15,0)</f>
        <v>6</v>
      </c>
      <c r="E45" s="30">
        <f>Table1922[[#This Row],[Conversions (Conservative)]]*Table1922[[#This Row],[Avg Order Value]]</f>
        <v>1500</v>
      </c>
      <c r="F45" s="57">
        <f>ROUND(Table1922[[#This Row],[Total Favorites]]*0.25,0)</f>
        <v>11</v>
      </c>
      <c r="G45" s="30">
        <f>Table1922[[#This Row],[Conversions (Benchmark)]]*Table1922[[#This Row],[Avg Order Value]]</f>
        <v>2750</v>
      </c>
      <c r="H45" s="57">
        <f>ROUND(Table1922[[#This Row],[Total Favorites]]*0.3,0)</f>
        <v>13</v>
      </c>
      <c r="I45" s="30">
        <f>Table1922[[#This Row],[Conversions (Best Case)]]*Table1922[[#This Row],[Avg Order Value]]</f>
        <v>3250</v>
      </c>
    </row>
    <row r="46" spans="1:13">
      <c r="A46">
        <v>1379146</v>
      </c>
      <c r="B46">
        <v>40</v>
      </c>
      <c r="C46" s="6">
        <v>250</v>
      </c>
      <c r="D46" s="57">
        <f>ROUND(Table1922[[#This Row],[Total Favorites]]*0.15,0)</f>
        <v>6</v>
      </c>
      <c r="E46" s="30">
        <f>Table1922[[#This Row],[Conversions (Conservative)]]*Table1922[[#This Row],[Avg Order Value]]</f>
        <v>1500</v>
      </c>
      <c r="F46" s="57">
        <f>ROUND(Table1922[[#This Row],[Total Favorites]]*0.25,0)</f>
        <v>10</v>
      </c>
      <c r="G46" s="30">
        <f>Table1922[[#This Row],[Conversions (Benchmark)]]*Table1922[[#This Row],[Avg Order Value]]</f>
        <v>2500</v>
      </c>
      <c r="H46" s="57">
        <f>ROUND(Table1922[[#This Row],[Total Favorites]]*0.3,0)</f>
        <v>12</v>
      </c>
      <c r="I46" s="30">
        <f>Table1922[[#This Row],[Conversions (Best Case)]]*Table1922[[#This Row],[Avg Order Value]]</f>
        <v>3000</v>
      </c>
    </row>
    <row r="47" spans="1:13">
      <c r="A47">
        <v>2926020</v>
      </c>
      <c r="B47">
        <v>40</v>
      </c>
      <c r="C47" s="6">
        <v>250</v>
      </c>
      <c r="D47" s="57">
        <f>ROUND(Table1922[[#This Row],[Total Favorites]]*0.15,0)</f>
        <v>6</v>
      </c>
      <c r="E47" s="30">
        <f>Table1922[[#This Row],[Conversions (Conservative)]]*Table1922[[#This Row],[Avg Order Value]]</f>
        <v>1500</v>
      </c>
      <c r="F47" s="57">
        <f>ROUND(Table1922[[#This Row],[Total Favorites]]*0.25,0)</f>
        <v>10</v>
      </c>
      <c r="G47" s="30">
        <f>Table1922[[#This Row],[Conversions (Benchmark)]]*Table1922[[#This Row],[Avg Order Value]]</f>
        <v>2500</v>
      </c>
      <c r="H47" s="57">
        <f>ROUND(Table1922[[#This Row],[Total Favorites]]*0.3,0)</f>
        <v>12</v>
      </c>
      <c r="I47" s="30">
        <f>Table1922[[#This Row],[Conversions (Best Case)]]*Table1922[[#This Row],[Avg Order Value]]</f>
        <v>3000</v>
      </c>
    </row>
    <row r="48" spans="1:13">
      <c r="A48">
        <v>3102419</v>
      </c>
      <c r="B48">
        <v>39</v>
      </c>
      <c r="C48" s="6">
        <v>250</v>
      </c>
      <c r="D48" s="57">
        <f>ROUND(Table1922[[#This Row],[Total Favorites]]*0.15,0)</f>
        <v>6</v>
      </c>
      <c r="E48" s="30">
        <f>Table1922[[#This Row],[Conversions (Conservative)]]*Table1922[[#This Row],[Avg Order Value]]</f>
        <v>1500</v>
      </c>
      <c r="F48" s="57">
        <f>ROUND(Table1922[[#This Row],[Total Favorites]]*0.25,0)</f>
        <v>10</v>
      </c>
      <c r="G48" s="30">
        <f>Table1922[[#This Row],[Conversions (Benchmark)]]*Table1922[[#This Row],[Avg Order Value]]</f>
        <v>2500</v>
      </c>
      <c r="H48" s="57">
        <f>ROUND(Table1922[[#This Row],[Total Favorites]]*0.3,0)</f>
        <v>12</v>
      </c>
      <c r="I48" s="30">
        <f>Table1922[[#This Row],[Conversions (Best Case)]]*Table1922[[#This Row],[Avg Order Value]]</f>
        <v>3000</v>
      </c>
    </row>
    <row r="49" spans="1:9">
      <c r="A49">
        <v>5071267</v>
      </c>
      <c r="B49">
        <v>38</v>
      </c>
      <c r="C49" s="6">
        <v>250</v>
      </c>
      <c r="D49" s="57">
        <f>ROUND(Table1922[[#This Row],[Total Favorites]]*0.15,0)</f>
        <v>6</v>
      </c>
      <c r="E49" s="30">
        <f>Table1922[[#This Row],[Conversions (Conservative)]]*Table1922[[#This Row],[Avg Order Value]]</f>
        <v>1500</v>
      </c>
      <c r="F49" s="57">
        <f>ROUND(Table1922[[#This Row],[Total Favorites]]*0.25,0)</f>
        <v>10</v>
      </c>
      <c r="G49" s="30">
        <f>Table1922[[#This Row],[Conversions (Benchmark)]]*Table1922[[#This Row],[Avg Order Value]]</f>
        <v>2500</v>
      </c>
      <c r="H49" s="57">
        <f>ROUND(Table1922[[#This Row],[Total Favorites]]*0.3,0)</f>
        <v>11</v>
      </c>
      <c r="I49" s="30">
        <f>Table1922[[#This Row],[Conversions (Best Case)]]*Table1922[[#This Row],[Avg Order Value]]</f>
        <v>2750</v>
      </c>
    </row>
    <row r="50" spans="1:9">
      <c r="A50">
        <v>4558987</v>
      </c>
      <c r="B50">
        <v>38</v>
      </c>
      <c r="C50" s="6">
        <v>250</v>
      </c>
      <c r="D50" s="57">
        <f>ROUND(Table1922[[#This Row],[Total Favorites]]*0.15,0)</f>
        <v>6</v>
      </c>
      <c r="E50" s="30">
        <f>Table1922[[#This Row],[Conversions (Conservative)]]*Table1922[[#This Row],[Avg Order Value]]</f>
        <v>1500</v>
      </c>
      <c r="F50" s="57">
        <f>ROUND(Table1922[[#This Row],[Total Favorites]]*0.25,0)</f>
        <v>10</v>
      </c>
      <c r="G50" s="30">
        <f>Table1922[[#This Row],[Conversions (Benchmark)]]*Table1922[[#This Row],[Avg Order Value]]</f>
        <v>2500</v>
      </c>
      <c r="H50" s="57">
        <f>ROUND(Table1922[[#This Row],[Total Favorites]]*0.3,0)</f>
        <v>11</v>
      </c>
      <c r="I50" s="30">
        <f>Table1922[[#This Row],[Conversions (Best Case)]]*Table1922[[#This Row],[Avg Order Value]]</f>
        <v>2750</v>
      </c>
    </row>
    <row r="51" spans="1:9">
      <c r="A51">
        <v>235534</v>
      </c>
      <c r="B51">
        <v>38</v>
      </c>
      <c r="C51" s="6">
        <v>250</v>
      </c>
      <c r="D51" s="57">
        <f>ROUND(Table1922[[#This Row],[Total Favorites]]*0.15,0)</f>
        <v>6</v>
      </c>
      <c r="E51" s="30">
        <f>Table1922[[#This Row],[Conversions (Conservative)]]*Table1922[[#This Row],[Avg Order Value]]</f>
        <v>1500</v>
      </c>
      <c r="F51" s="57">
        <f>ROUND(Table1922[[#This Row],[Total Favorites]]*0.25,0)</f>
        <v>10</v>
      </c>
      <c r="G51" s="30">
        <f>Table1922[[#This Row],[Conversions (Benchmark)]]*Table1922[[#This Row],[Avg Order Value]]</f>
        <v>2500</v>
      </c>
      <c r="H51" s="57">
        <f>ROUND(Table1922[[#This Row],[Total Favorites]]*0.3,0)</f>
        <v>11</v>
      </c>
      <c r="I51" s="30">
        <f>Table1922[[#This Row],[Conversions (Best Case)]]*Table1922[[#This Row],[Avg Order Value]]</f>
        <v>2750</v>
      </c>
    </row>
    <row r="52" spans="1:9">
      <c r="A52">
        <v>1349561</v>
      </c>
      <c r="B52">
        <v>37</v>
      </c>
      <c r="C52" s="6">
        <v>250</v>
      </c>
      <c r="D52" s="57">
        <f>ROUND(Table1922[[#This Row],[Total Favorites]]*0.15,0)</f>
        <v>6</v>
      </c>
      <c r="E52" s="30">
        <f>Table1922[[#This Row],[Conversions (Conservative)]]*Table1922[[#This Row],[Avg Order Value]]</f>
        <v>1500</v>
      </c>
      <c r="F52" s="57">
        <f>ROUND(Table1922[[#This Row],[Total Favorites]]*0.25,0)</f>
        <v>9</v>
      </c>
      <c r="G52" s="30">
        <f>Table1922[[#This Row],[Conversions (Benchmark)]]*Table1922[[#This Row],[Avg Order Value]]</f>
        <v>2250</v>
      </c>
      <c r="H52" s="57">
        <f>ROUND(Table1922[[#This Row],[Total Favorites]]*0.3,0)</f>
        <v>11</v>
      </c>
      <c r="I52" s="30">
        <f>Table1922[[#This Row],[Conversions (Best Case)]]*Table1922[[#This Row],[Avg Order Value]]</f>
        <v>2750</v>
      </c>
    </row>
    <row r="53" spans="1:9">
      <c r="A53">
        <v>4789432</v>
      </c>
      <c r="B53">
        <v>37</v>
      </c>
      <c r="C53" s="6">
        <v>250</v>
      </c>
      <c r="D53" s="57">
        <f>ROUND(Table1922[[#This Row],[Total Favorites]]*0.15,0)</f>
        <v>6</v>
      </c>
      <c r="E53" s="30">
        <f>Table1922[[#This Row],[Conversions (Conservative)]]*Table1922[[#This Row],[Avg Order Value]]</f>
        <v>1500</v>
      </c>
      <c r="F53" s="57">
        <f>ROUND(Table1922[[#This Row],[Total Favorites]]*0.25,0)</f>
        <v>9</v>
      </c>
      <c r="G53" s="30">
        <f>Table1922[[#This Row],[Conversions (Benchmark)]]*Table1922[[#This Row],[Avg Order Value]]</f>
        <v>2250</v>
      </c>
      <c r="H53" s="57">
        <f>ROUND(Table1922[[#This Row],[Total Favorites]]*0.3,0)</f>
        <v>11</v>
      </c>
      <c r="I53" s="30">
        <f>Table1922[[#This Row],[Conversions (Best Case)]]*Table1922[[#This Row],[Avg Order Value]]</f>
        <v>2750</v>
      </c>
    </row>
    <row r="54" spans="1:9">
      <c r="A54">
        <v>2558244</v>
      </c>
      <c r="B54">
        <v>36</v>
      </c>
      <c r="C54" s="6">
        <v>250</v>
      </c>
      <c r="D54" s="57">
        <f>ROUND(Table1922[[#This Row],[Total Favorites]]*0.15,0)</f>
        <v>5</v>
      </c>
      <c r="E54" s="30">
        <f>Table1922[[#This Row],[Conversions (Conservative)]]*Table1922[[#This Row],[Avg Order Value]]</f>
        <v>1250</v>
      </c>
      <c r="F54" s="57">
        <f>ROUND(Table1922[[#This Row],[Total Favorites]]*0.25,0)</f>
        <v>9</v>
      </c>
      <c r="G54" s="30">
        <f>Table1922[[#This Row],[Conversions (Benchmark)]]*Table1922[[#This Row],[Avg Order Value]]</f>
        <v>2250</v>
      </c>
      <c r="H54" s="57">
        <f>ROUND(Table1922[[#This Row],[Total Favorites]]*0.3,0)</f>
        <v>11</v>
      </c>
      <c r="I54" s="30">
        <f>Table1922[[#This Row],[Conversions (Best Case)]]*Table1922[[#This Row],[Avg Order Value]]</f>
        <v>2750</v>
      </c>
    </row>
    <row r="55" spans="1:9">
      <c r="A55">
        <v>965809</v>
      </c>
      <c r="B55">
        <v>36</v>
      </c>
      <c r="C55" s="6">
        <v>250</v>
      </c>
      <c r="D55" s="57">
        <f>ROUND(Table1922[[#This Row],[Total Favorites]]*0.15,0)</f>
        <v>5</v>
      </c>
      <c r="E55" s="30">
        <f>Table1922[[#This Row],[Conversions (Conservative)]]*Table1922[[#This Row],[Avg Order Value]]</f>
        <v>1250</v>
      </c>
      <c r="F55" s="57">
        <f>ROUND(Table1922[[#This Row],[Total Favorites]]*0.25,0)</f>
        <v>9</v>
      </c>
      <c r="G55" s="30">
        <f>Table1922[[#This Row],[Conversions (Benchmark)]]*Table1922[[#This Row],[Avg Order Value]]</f>
        <v>2250</v>
      </c>
      <c r="H55" s="57">
        <f>ROUND(Table1922[[#This Row],[Total Favorites]]*0.3,0)</f>
        <v>11</v>
      </c>
      <c r="I55" s="30">
        <f>Table1922[[#This Row],[Conversions (Best Case)]]*Table1922[[#This Row],[Avg Order Value]]</f>
        <v>2750</v>
      </c>
    </row>
    <row r="56" spans="1:9">
      <c r="A56">
        <v>4244487</v>
      </c>
      <c r="B56">
        <v>35</v>
      </c>
      <c r="C56" s="6">
        <v>250</v>
      </c>
      <c r="D56" s="57">
        <f>ROUND(Table1922[[#This Row],[Total Favorites]]*0.15,0)</f>
        <v>5</v>
      </c>
      <c r="E56" s="30">
        <f>Table1922[[#This Row],[Conversions (Conservative)]]*Table1922[[#This Row],[Avg Order Value]]</f>
        <v>1250</v>
      </c>
      <c r="F56" s="57">
        <f>ROUND(Table1922[[#This Row],[Total Favorites]]*0.25,0)</f>
        <v>9</v>
      </c>
      <c r="G56" s="30">
        <f>Table1922[[#This Row],[Conversions (Benchmark)]]*Table1922[[#This Row],[Avg Order Value]]</f>
        <v>2250</v>
      </c>
      <c r="H56" s="57">
        <f>ROUND(Table1922[[#This Row],[Total Favorites]]*0.3,0)</f>
        <v>11</v>
      </c>
      <c r="I56" s="30">
        <f>Table1922[[#This Row],[Conversions (Best Case)]]*Table1922[[#This Row],[Avg Order Value]]</f>
        <v>2750</v>
      </c>
    </row>
    <row r="57" spans="1:9">
      <c r="A57">
        <v>1568197</v>
      </c>
      <c r="B57">
        <v>35</v>
      </c>
      <c r="C57" s="6">
        <v>250</v>
      </c>
      <c r="D57" s="57">
        <f>ROUND(Table1922[[#This Row],[Total Favorites]]*0.15,0)</f>
        <v>5</v>
      </c>
      <c r="E57" s="30">
        <f>Table1922[[#This Row],[Conversions (Conservative)]]*Table1922[[#This Row],[Avg Order Value]]</f>
        <v>1250</v>
      </c>
      <c r="F57" s="57">
        <f>ROUND(Table1922[[#This Row],[Total Favorites]]*0.25,0)</f>
        <v>9</v>
      </c>
      <c r="G57" s="30">
        <f>Table1922[[#This Row],[Conversions (Benchmark)]]*Table1922[[#This Row],[Avg Order Value]]</f>
        <v>2250</v>
      </c>
      <c r="H57" s="57">
        <f>ROUND(Table1922[[#This Row],[Total Favorites]]*0.3,0)</f>
        <v>11</v>
      </c>
      <c r="I57" s="30">
        <f>Table1922[[#This Row],[Conversions (Best Case)]]*Table1922[[#This Row],[Avg Order Value]]</f>
        <v>2750</v>
      </c>
    </row>
    <row r="58" spans="1:9">
      <c r="A58">
        <v>4022701</v>
      </c>
      <c r="B58">
        <v>35</v>
      </c>
      <c r="C58" s="6">
        <v>250</v>
      </c>
      <c r="D58" s="57">
        <f>ROUND(Table1922[[#This Row],[Total Favorites]]*0.15,0)</f>
        <v>5</v>
      </c>
      <c r="E58" s="30">
        <f>Table1922[[#This Row],[Conversions (Conservative)]]*Table1922[[#This Row],[Avg Order Value]]</f>
        <v>1250</v>
      </c>
      <c r="F58" s="57">
        <f>ROUND(Table1922[[#This Row],[Total Favorites]]*0.25,0)</f>
        <v>9</v>
      </c>
      <c r="G58" s="30">
        <f>Table1922[[#This Row],[Conversions (Benchmark)]]*Table1922[[#This Row],[Avg Order Value]]</f>
        <v>2250</v>
      </c>
      <c r="H58" s="57">
        <f>ROUND(Table1922[[#This Row],[Total Favorites]]*0.3,0)</f>
        <v>11</v>
      </c>
      <c r="I58" s="30">
        <f>Table1922[[#This Row],[Conversions (Best Case)]]*Table1922[[#This Row],[Avg Order Value]]</f>
        <v>2750</v>
      </c>
    </row>
    <row r="59" spans="1:9">
      <c r="A59">
        <v>245312</v>
      </c>
      <c r="B59">
        <v>35</v>
      </c>
      <c r="C59" s="6">
        <v>250</v>
      </c>
      <c r="D59" s="57">
        <f>ROUND(Table1922[[#This Row],[Total Favorites]]*0.15,0)</f>
        <v>5</v>
      </c>
      <c r="E59" s="30">
        <f>Table1922[[#This Row],[Conversions (Conservative)]]*Table1922[[#This Row],[Avg Order Value]]</f>
        <v>1250</v>
      </c>
      <c r="F59" s="57">
        <f>ROUND(Table1922[[#This Row],[Total Favorites]]*0.25,0)</f>
        <v>9</v>
      </c>
      <c r="G59" s="30">
        <f>Table1922[[#This Row],[Conversions (Benchmark)]]*Table1922[[#This Row],[Avg Order Value]]</f>
        <v>2250</v>
      </c>
      <c r="H59" s="57">
        <f>ROUND(Table1922[[#This Row],[Total Favorites]]*0.3,0)</f>
        <v>11</v>
      </c>
      <c r="I59" s="30">
        <f>Table1922[[#This Row],[Conversions (Best Case)]]*Table1922[[#This Row],[Avg Order Value]]</f>
        <v>2750</v>
      </c>
    </row>
    <row r="60" spans="1:9">
      <c r="A60">
        <v>1567637</v>
      </c>
      <c r="B60">
        <v>32</v>
      </c>
      <c r="C60" s="6">
        <v>250</v>
      </c>
      <c r="D60" s="57">
        <f>ROUND(Table1922[[#This Row],[Total Favorites]]*0.15,0)</f>
        <v>5</v>
      </c>
      <c r="E60" s="30">
        <f>Table1922[[#This Row],[Conversions (Conservative)]]*Table1922[[#This Row],[Avg Order Value]]</f>
        <v>1250</v>
      </c>
      <c r="F60" s="57">
        <f>ROUND(Table1922[[#This Row],[Total Favorites]]*0.25,0)</f>
        <v>8</v>
      </c>
      <c r="G60" s="30">
        <f>Table1922[[#This Row],[Conversions (Benchmark)]]*Table1922[[#This Row],[Avg Order Value]]</f>
        <v>2000</v>
      </c>
      <c r="H60" s="57">
        <f>ROUND(Table1922[[#This Row],[Total Favorites]]*0.3,0)</f>
        <v>10</v>
      </c>
      <c r="I60" s="30">
        <f>Table1922[[#This Row],[Conversions (Best Case)]]*Table1922[[#This Row],[Avg Order Value]]</f>
        <v>2500</v>
      </c>
    </row>
    <row r="61" spans="1:9">
      <c r="A61">
        <v>285583</v>
      </c>
      <c r="B61">
        <v>31</v>
      </c>
      <c r="C61" s="6">
        <v>250</v>
      </c>
      <c r="D61" s="57">
        <f>ROUND(Table1922[[#This Row],[Total Favorites]]*0.15,0)</f>
        <v>5</v>
      </c>
      <c r="E61" s="30">
        <f>Table1922[[#This Row],[Conversions (Conservative)]]*Table1922[[#This Row],[Avg Order Value]]</f>
        <v>1250</v>
      </c>
      <c r="F61" s="57">
        <f>ROUND(Table1922[[#This Row],[Total Favorites]]*0.25,0)</f>
        <v>8</v>
      </c>
      <c r="G61" s="30">
        <f>Table1922[[#This Row],[Conversions (Benchmark)]]*Table1922[[#This Row],[Avg Order Value]]</f>
        <v>2000</v>
      </c>
      <c r="H61" s="57">
        <f>ROUND(Table1922[[#This Row],[Total Favorites]]*0.3,0)</f>
        <v>9</v>
      </c>
      <c r="I61" s="30">
        <f>Table1922[[#This Row],[Conversions (Best Case)]]*Table1922[[#This Row],[Avg Order Value]]</f>
        <v>2250</v>
      </c>
    </row>
  </sheetData>
  <mergeCells count="2">
    <mergeCell ref="K2:L3"/>
    <mergeCell ref="K32:L33"/>
  </mergeCell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435CC-5DD4-4BDE-A8A4-7C5D899515B3}">
  <dimension ref="A1:F1902"/>
  <sheetViews>
    <sheetView workbookViewId="0">
      <selection sqref="A1:F19"/>
    </sheetView>
  </sheetViews>
  <sheetFormatPr defaultRowHeight="14.4"/>
  <cols>
    <col min="1" max="1" width="9.21875" bestFit="1" customWidth="1"/>
    <col min="2" max="2" width="15" bestFit="1" customWidth="1"/>
    <col min="3" max="3" width="16.5546875" bestFit="1" customWidth="1"/>
    <col min="4" max="4" width="19.6640625" bestFit="1" customWidth="1"/>
    <col min="5" max="5" width="25" bestFit="1" customWidth="1"/>
    <col min="6" max="6" width="12.44140625" bestFit="1" customWidth="1"/>
  </cols>
  <sheetData>
    <row r="1" spans="1:6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>
      <c r="A2">
        <v>655653</v>
      </c>
      <c r="B2">
        <v>8</v>
      </c>
      <c r="C2">
        <v>2</v>
      </c>
      <c r="D2" s="32">
        <v>43069.47828703704</v>
      </c>
      <c r="E2">
        <v>3</v>
      </c>
      <c r="F2" t="s">
        <v>16</v>
      </c>
    </row>
    <row r="3" spans="1:6">
      <c r="A3">
        <v>984143</v>
      </c>
      <c r="B3">
        <v>7</v>
      </c>
      <c r="C3">
        <v>1</v>
      </c>
      <c r="D3" s="32">
        <v>43069.226747685185</v>
      </c>
      <c r="E3">
        <v>3</v>
      </c>
      <c r="F3" t="s">
        <v>16</v>
      </c>
    </row>
    <row r="4" spans="1:6">
      <c r="A4">
        <v>503596</v>
      </c>
      <c r="B4">
        <v>7</v>
      </c>
      <c r="C4">
        <v>2</v>
      </c>
      <c r="D4" s="32">
        <v>43066.210914351854</v>
      </c>
      <c r="E4">
        <v>6</v>
      </c>
      <c r="F4" t="s">
        <v>16</v>
      </c>
    </row>
    <row r="5" spans="1:6">
      <c r="A5">
        <v>103648</v>
      </c>
      <c r="B5">
        <v>7</v>
      </c>
      <c r="C5">
        <v>1</v>
      </c>
      <c r="D5" s="32">
        <v>43066.336388888885</v>
      </c>
      <c r="E5">
        <v>6</v>
      </c>
      <c r="F5" t="s">
        <v>16</v>
      </c>
    </row>
    <row r="6" spans="1:6">
      <c r="A6">
        <v>479506</v>
      </c>
      <c r="B6">
        <v>7</v>
      </c>
      <c r="C6">
        <v>1</v>
      </c>
      <c r="D6" s="32">
        <v>43069.549502314818</v>
      </c>
      <c r="E6">
        <v>3</v>
      </c>
      <c r="F6" t="s">
        <v>16</v>
      </c>
    </row>
    <row r="7" spans="1:6">
      <c r="A7">
        <v>876546</v>
      </c>
      <c r="B7">
        <v>7</v>
      </c>
      <c r="C7">
        <v>1</v>
      </c>
      <c r="D7" s="32">
        <v>43067.605706018519</v>
      </c>
      <c r="E7">
        <v>5</v>
      </c>
      <c r="F7" t="s">
        <v>16</v>
      </c>
    </row>
    <row r="8" spans="1:6">
      <c r="A8">
        <v>466909</v>
      </c>
      <c r="B8">
        <v>7</v>
      </c>
      <c r="C8">
        <v>1</v>
      </c>
      <c r="D8" s="32">
        <v>43068.168726851851</v>
      </c>
      <c r="E8">
        <v>4</v>
      </c>
      <c r="F8" t="s">
        <v>16</v>
      </c>
    </row>
    <row r="9" spans="1:6">
      <c r="A9">
        <v>896538</v>
      </c>
      <c r="B9">
        <v>7</v>
      </c>
      <c r="C9">
        <v>1</v>
      </c>
      <c r="D9" s="32">
        <v>43064.678298611114</v>
      </c>
      <c r="E9">
        <v>8</v>
      </c>
      <c r="F9" t="s">
        <v>16</v>
      </c>
    </row>
    <row r="10" spans="1:6">
      <c r="A10">
        <v>273220</v>
      </c>
      <c r="B10">
        <v>7</v>
      </c>
      <c r="C10">
        <v>1</v>
      </c>
      <c r="D10" s="32">
        <v>43067.482754629629</v>
      </c>
      <c r="E10">
        <v>5</v>
      </c>
      <c r="F10" t="s">
        <v>16</v>
      </c>
    </row>
    <row r="11" spans="1:6">
      <c r="A11">
        <v>369810</v>
      </c>
      <c r="B11">
        <v>6</v>
      </c>
      <c r="C11">
        <v>1</v>
      </c>
      <c r="D11" s="32">
        <v>43068.178680555553</v>
      </c>
      <c r="E11">
        <v>4</v>
      </c>
      <c r="F11" t="s">
        <v>16</v>
      </c>
    </row>
    <row r="12" spans="1:6">
      <c r="A12">
        <v>556875</v>
      </c>
      <c r="B12">
        <v>6</v>
      </c>
      <c r="C12">
        <v>2</v>
      </c>
      <c r="D12" s="32">
        <v>43067.38212962963</v>
      </c>
      <c r="E12">
        <v>5</v>
      </c>
      <c r="F12" t="s">
        <v>16</v>
      </c>
    </row>
    <row r="13" spans="1:6">
      <c r="A13">
        <v>302575</v>
      </c>
      <c r="B13">
        <v>6</v>
      </c>
      <c r="C13">
        <v>1</v>
      </c>
      <c r="D13" s="32">
        <v>43064.697500000002</v>
      </c>
      <c r="E13">
        <v>8</v>
      </c>
      <c r="F13" t="s">
        <v>16</v>
      </c>
    </row>
    <row r="14" spans="1:6">
      <c r="A14">
        <v>170476</v>
      </c>
      <c r="B14">
        <v>6</v>
      </c>
      <c r="C14">
        <v>1</v>
      </c>
      <c r="D14" s="32">
        <v>43067.669664351852</v>
      </c>
      <c r="E14">
        <v>5</v>
      </c>
      <c r="F14" t="s">
        <v>16</v>
      </c>
    </row>
    <row r="15" spans="1:6">
      <c r="A15">
        <v>930802</v>
      </c>
      <c r="B15">
        <v>6</v>
      </c>
      <c r="C15">
        <v>1</v>
      </c>
      <c r="D15" s="32">
        <v>43064.62164351852</v>
      </c>
      <c r="E15">
        <v>8</v>
      </c>
      <c r="F15" t="s">
        <v>16</v>
      </c>
    </row>
    <row r="16" spans="1:6">
      <c r="A16">
        <v>547661</v>
      </c>
      <c r="B16">
        <v>6</v>
      </c>
      <c r="C16">
        <v>1</v>
      </c>
      <c r="D16" s="32">
        <v>43068.217673611114</v>
      </c>
      <c r="E16">
        <v>4</v>
      </c>
      <c r="F16" t="s">
        <v>16</v>
      </c>
    </row>
    <row r="17" spans="1:6">
      <c r="A17">
        <v>286764</v>
      </c>
      <c r="B17">
        <v>6</v>
      </c>
      <c r="C17">
        <v>1</v>
      </c>
      <c r="D17" s="32">
        <v>43067.580069444448</v>
      </c>
      <c r="E17">
        <v>5</v>
      </c>
      <c r="F17" t="s">
        <v>16</v>
      </c>
    </row>
    <row r="18" spans="1:6">
      <c r="A18">
        <v>80198</v>
      </c>
      <c r="B18">
        <v>6</v>
      </c>
      <c r="C18">
        <v>1</v>
      </c>
      <c r="D18" s="32">
        <v>43069.340775462966</v>
      </c>
      <c r="E18">
        <v>3</v>
      </c>
      <c r="F18" t="s">
        <v>16</v>
      </c>
    </row>
    <row r="19" spans="1:6">
      <c r="A19">
        <v>806826</v>
      </c>
      <c r="B19">
        <v>6</v>
      </c>
      <c r="C19">
        <v>1</v>
      </c>
      <c r="D19" s="32">
        <v>43064.320162037038</v>
      </c>
      <c r="E19">
        <v>8</v>
      </c>
      <c r="F19" t="s">
        <v>16</v>
      </c>
    </row>
    <row r="20" spans="1:6">
      <c r="A20">
        <v>872286</v>
      </c>
      <c r="B20">
        <v>6</v>
      </c>
      <c r="C20">
        <v>1</v>
      </c>
      <c r="D20" s="32">
        <v>43069.221597222226</v>
      </c>
      <c r="E20">
        <v>3</v>
      </c>
      <c r="F20" t="s">
        <v>16</v>
      </c>
    </row>
    <row r="21" spans="1:6">
      <c r="A21">
        <v>965299</v>
      </c>
      <c r="B21">
        <v>6</v>
      </c>
      <c r="C21">
        <v>2</v>
      </c>
      <c r="D21" s="32">
        <v>43068.577511574076</v>
      </c>
      <c r="E21">
        <v>4</v>
      </c>
      <c r="F21" t="s">
        <v>16</v>
      </c>
    </row>
    <row r="22" spans="1:6">
      <c r="A22">
        <v>705096</v>
      </c>
      <c r="B22">
        <v>6</v>
      </c>
      <c r="C22">
        <v>1</v>
      </c>
      <c r="D22" s="32">
        <v>43065.647557870368</v>
      </c>
      <c r="E22">
        <v>7</v>
      </c>
      <c r="F22" t="s">
        <v>16</v>
      </c>
    </row>
    <row r="23" spans="1:6">
      <c r="A23">
        <v>509368</v>
      </c>
      <c r="B23">
        <v>6</v>
      </c>
      <c r="C23">
        <v>1</v>
      </c>
      <c r="D23" s="32">
        <v>43067.583599537036</v>
      </c>
      <c r="E23">
        <v>5</v>
      </c>
      <c r="F23" t="s">
        <v>16</v>
      </c>
    </row>
    <row r="24" spans="1:6">
      <c r="A24">
        <v>9484</v>
      </c>
      <c r="B24">
        <v>6</v>
      </c>
      <c r="C24">
        <v>1</v>
      </c>
      <c r="D24" s="32">
        <v>43068.488055555557</v>
      </c>
      <c r="E24">
        <v>4</v>
      </c>
      <c r="F24" t="s">
        <v>16</v>
      </c>
    </row>
    <row r="25" spans="1:6">
      <c r="A25">
        <v>287150</v>
      </c>
      <c r="B25">
        <v>6</v>
      </c>
      <c r="C25">
        <v>1</v>
      </c>
      <c r="D25" s="32">
        <v>43066.558344907404</v>
      </c>
      <c r="E25">
        <v>6</v>
      </c>
      <c r="F25" t="s">
        <v>16</v>
      </c>
    </row>
    <row r="26" spans="1:6">
      <c r="A26">
        <v>36060</v>
      </c>
      <c r="B26">
        <v>6</v>
      </c>
      <c r="C26">
        <v>1</v>
      </c>
      <c r="D26" s="32">
        <v>43064.574374999997</v>
      </c>
      <c r="E26">
        <v>8</v>
      </c>
      <c r="F26" t="s">
        <v>16</v>
      </c>
    </row>
    <row r="27" spans="1:6">
      <c r="A27">
        <v>514816</v>
      </c>
      <c r="B27">
        <v>6</v>
      </c>
      <c r="C27">
        <v>1</v>
      </c>
      <c r="D27" s="32">
        <v>43064.023622685185</v>
      </c>
      <c r="E27">
        <v>8</v>
      </c>
      <c r="F27" t="s">
        <v>16</v>
      </c>
    </row>
    <row r="28" spans="1:6">
      <c r="A28">
        <v>536760</v>
      </c>
      <c r="B28">
        <v>6</v>
      </c>
      <c r="C28">
        <v>1</v>
      </c>
      <c r="D28" s="32">
        <v>43069.523495370369</v>
      </c>
      <c r="E28">
        <v>3</v>
      </c>
      <c r="F28" t="s">
        <v>16</v>
      </c>
    </row>
    <row r="29" spans="1:6">
      <c r="A29">
        <v>863365</v>
      </c>
      <c r="B29">
        <v>5</v>
      </c>
      <c r="C29">
        <v>1</v>
      </c>
      <c r="D29" s="32">
        <v>43065.554479166669</v>
      </c>
      <c r="E29">
        <v>7</v>
      </c>
      <c r="F29" t="s">
        <v>16</v>
      </c>
    </row>
    <row r="30" spans="1:6">
      <c r="A30">
        <v>34132</v>
      </c>
      <c r="B30">
        <v>5</v>
      </c>
      <c r="C30">
        <v>2</v>
      </c>
      <c r="D30" s="32">
        <v>43066.215543981481</v>
      </c>
      <c r="E30">
        <v>6</v>
      </c>
      <c r="F30" t="s">
        <v>16</v>
      </c>
    </row>
    <row r="31" spans="1:6">
      <c r="A31">
        <v>682788</v>
      </c>
      <c r="B31">
        <v>5</v>
      </c>
      <c r="C31">
        <v>1</v>
      </c>
      <c r="D31" s="32">
        <v>43068.679918981485</v>
      </c>
      <c r="E31">
        <v>4</v>
      </c>
      <c r="F31" t="s">
        <v>16</v>
      </c>
    </row>
    <row r="32" spans="1:6">
      <c r="A32">
        <v>867264</v>
      </c>
      <c r="B32">
        <v>5</v>
      </c>
      <c r="C32">
        <v>1</v>
      </c>
      <c r="D32" s="32">
        <v>43068.451192129629</v>
      </c>
      <c r="E32">
        <v>4</v>
      </c>
      <c r="F32" t="s">
        <v>16</v>
      </c>
    </row>
    <row r="33" spans="1:6">
      <c r="A33">
        <v>623259</v>
      </c>
      <c r="B33">
        <v>5</v>
      </c>
      <c r="C33">
        <v>1</v>
      </c>
      <c r="D33" s="32">
        <v>43066.589178240742</v>
      </c>
      <c r="E33">
        <v>6</v>
      </c>
      <c r="F33" t="s">
        <v>16</v>
      </c>
    </row>
    <row r="34" spans="1:6">
      <c r="A34">
        <v>74348</v>
      </c>
      <c r="B34">
        <v>5</v>
      </c>
      <c r="C34">
        <v>1</v>
      </c>
      <c r="D34" s="32">
        <v>43068.374201388891</v>
      </c>
      <c r="E34">
        <v>4</v>
      </c>
      <c r="F34" t="s">
        <v>16</v>
      </c>
    </row>
    <row r="35" spans="1:6">
      <c r="A35">
        <v>113627</v>
      </c>
      <c r="B35">
        <v>5</v>
      </c>
      <c r="C35">
        <v>1</v>
      </c>
      <c r="D35" s="32">
        <v>43069.329594907409</v>
      </c>
      <c r="E35">
        <v>3</v>
      </c>
      <c r="F35" t="s">
        <v>16</v>
      </c>
    </row>
    <row r="36" spans="1:6">
      <c r="A36">
        <v>142115</v>
      </c>
      <c r="B36">
        <v>5</v>
      </c>
      <c r="C36">
        <v>1</v>
      </c>
      <c r="D36" s="32">
        <v>43068.534618055557</v>
      </c>
      <c r="E36">
        <v>4</v>
      </c>
      <c r="F36" t="s">
        <v>16</v>
      </c>
    </row>
    <row r="37" spans="1:6">
      <c r="A37">
        <v>380807</v>
      </c>
      <c r="B37">
        <v>5</v>
      </c>
      <c r="C37">
        <v>1</v>
      </c>
      <c r="D37" s="32">
        <v>43066.716331018521</v>
      </c>
      <c r="E37">
        <v>6</v>
      </c>
      <c r="F37" t="s">
        <v>16</v>
      </c>
    </row>
    <row r="38" spans="1:6">
      <c r="A38">
        <v>212208</v>
      </c>
      <c r="B38">
        <v>5</v>
      </c>
      <c r="C38">
        <v>1</v>
      </c>
      <c r="D38" s="32">
        <v>43069.657280092593</v>
      </c>
      <c r="E38">
        <v>3</v>
      </c>
      <c r="F38" t="s">
        <v>16</v>
      </c>
    </row>
    <row r="39" spans="1:6">
      <c r="A39">
        <v>842946</v>
      </c>
      <c r="B39">
        <v>5</v>
      </c>
      <c r="C39">
        <v>1</v>
      </c>
      <c r="D39" s="32">
        <v>43067.601979166669</v>
      </c>
      <c r="E39">
        <v>5</v>
      </c>
      <c r="F39" t="s">
        <v>16</v>
      </c>
    </row>
    <row r="40" spans="1:6">
      <c r="A40">
        <v>105751</v>
      </c>
      <c r="B40">
        <v>5</v>
      </c>
      <c r="C40">
        <v>1</v>
      </c>
      <c r="D40" s="32">
        <v>43068.246018518519</v>
      </c>
      <c r="E40">
        <v>4</v>
      </c>
      <c r="F40" t="s">
        <v>16</v>
      </c>
    </row>
    <row r="41" spans="1:6">
      <c r="A41">
        <v>360598</v>
      </c>
      <c r="B41">
        <v>5</v>
      </c>
      <c r="C41">
        <v>1</v>
      </c>
      <c r="D41" s="32">
        <v>43066.387337962966</v>
      </c>
      <c r="E41">
        <v>6</v>
      </c>
      <c r="F41" t="s">
        <v>16</v>
      </c>
    </row>
    <row r="42" spans="1:6">
      <c r="A42">
        <v>72290</v>
      </c>
      <c r="B42">
        <v>5</v>
      </c>
      <c r="C42">
        <v>1</v>
      </c>
      <c r="D42" s="32">
        <v>43066.655266203707</v>
      </c>
      <c r="E42">
        <v>6</v>
      </c>
      <c r="F42" t="s">
        <v>16</v>
      </c>
    </row>
    <row r="43" spans="1:6">
      <c r="A43">
        <v>894986</v>
      </c>
      <c r="B43">
        <v>5</v>
      </c>
      <c r="C43">
        <v>1</v>
      </c>
      <c r="D43" s="32">
        <v>43065.634525462963</v>
      </c>
      <c r="E43">
        <v>7</v>
      </c>
      <c r="F43" t="s">
        <v>16</v>
      </c>
    </row>
    <row r="44" spans="1:6">
      <c r="A44">
        <v>550658</v>
      </c>
      <c r="B44">
        <v>5</v>
      </c>
      <c r="C44">
        <v>1</v>
      </c>
      <c r="D44" s="32">
        <v>43068.662187499998</v>
      </c>
      <c r="E44">
        <v>4</v>
      </c>
      <c r="F44" t="s">
        <v>16</v>
      </c>
    </row>
    <row r="45" spans="1:6">
      <c r="A45">
        <v>752275</v>
      </c>
      <c r="B45">
        <v>5</v>
      </c>
      <c r="C45">
        <v>1</v>
      </c>
      <c r="D45" s="32">
        <v>43068.015428240738</v>
      </c>
      <c r="E45">
        <v>4</v>
      </c>
      <c r="F45" t="s">
        <v>16</v>
      </c>
    </row>
    <row r="46" spans="1:6">
      <c r="A46">
        <v>633296</v>
      </c>
      <c r="B46">
        <v>5</v>
      </c>
      <c r="C46">
        <v>1</v>
      </c>
      <c r="D46" s="32">
        <v>43065.543599537035</v>
      </c>
      <c r="E46">
        <v>7</v>
      </c>
      <c r="F46" t="s">
        <v>16</v>
      </c>
    </row>
    <row r="47" spans="1:6">
      <c r="A47">
        <v>733936</v>
      </c>
      <c r="B47">
        <v>5</v>
      </c>
      <c r="C47">
        <v>1</v>
      </c>
      <c r="D47" s="32">
        <v>43069.292638888888</v>
      </c>
      <c r="E47">
        <v>3</v>
      </c>
      <c r="F47" t="s">
        <v>16</v>
      </c>
    </row>
    <row r="48" spans="1:6">
      <c r="A48">
        <v>63508</v>
      </c>
      <c r="B48">
        <v>5</v>
      </c>
      <c r="C48">
        <v>1</v>
      </c>
      <c r="D48" s="32">
        <v>43066.258506944447</v>
      </c>
      <c r="E48">
        <v>6</v>
      </c>
      <c r="F48" t="s">
        <v>16</v>
      </c>
    </row>
    <row r="49" spans="1:6">
      <c r="A49">
        <v>773065</v>
      </c>
      <c r="B49">
        <v>5</v>
      </c>
      <c r="C49">
        <v>2</v>
      </c>
      <c r="D49" s="32">
        <v>43066.363483796296</v>
      </c>
      <c r="E49">
        <v>6</v>
      </c>
      <c r="F49" t="s">
        <v>16</v>
      </c>
    </row>
    <row r="50" spans="1:6">
      <c r="A50">
        <v>328246</v>
      </c>
      <c r="B50">
        <v>5</v>
      </c>
      <c r="C50">
        <v>1</v>
      </c>
      <c r="D50" s="32">
        <v>43067.612754629627</v>
      </c>
      <c r="E50">
        <v>5</v>
      </c>
      <c r="F50" t="s">
        <v>16</v>
      </c>
    </row>
    <row r="51" spans="1:6">
      <c r="A51">
        <v>521977</v>
      </c>
      <c r="B51">
        <v>5</v>
      </c>
      <c r="C51">
        <v>1</v>
      </c>
      <c r="D51" s="32">
        <v>43069.031851851854</v>
      </c>
      <c r="E51">
        <v>3</v>
      </c>
      <c r="F51" t="s">
        <v>16</v>
      </c>
    </row>
    <row r="52" spans="1:6">
      <c r="A52">
        <v>78824</v>
      </c>
      <c r="B52">
        <v>5</v>
      </c>
      <c r="C52">
        <v>1</v>
      </c>
      <c r="D52" s="32">
        <v>43068.07402777778</v>
      </c>
      <c r="E52">
        <v>4</v>
      </c>
      <c r="F52" t="s">
        <v>16</v>
      </c>
    </row>
    <row r="53" spans="1:6">
      <c r="A53">
        <v>629453</v>
      </c>
      <c r="B53">
        <v>5</v>
      </c>
      <c r="C53">
        <v>1</v>
      </c>
      <c r="D53" s="32">
        <v>43066.600671296299</v>
      </c>
      <c r="E53">
        <v>6</v>
      </c>
      <c r="F53" t="s">
        <v>16</v>
      </c>
    </row>
    <row r="54" spans="1:6">
      <c r="A54">
        <v>619050</v>
      </c>
      <c r="B54">
        <v>5</v>
      </c>
      <c r="C54">
        <v>2</v>
      </c>
      <c r="D54" s="32">
        <v>43066.367812500001</v>
      </c>
      <c r="E54">
        <v>6</v>
      </c>
      <c r="F54" t="s">
        <v>16</v>
      </c>
    </row>
    <row r="55" spans="1:6">
      <c r="A55">
        <v>263000</v>
      </c>
      <c r="B55">
        <v>5</v>
      </c>
      <c r="C55">
        <v>1</v>
      </c>
      <c r="D55" s="32">
        <v>43065.244155092594</v>
      </c>
      <c r="E55">
        <v>7</v>
      </c>
      <c r="F55" t="s">
        <v>16</v>
      </c>
    </row>
    <row r="56" spans="1:6">
      <c r="A56">
        <v>319264</v>
      </c>
      <c r="B56">
        <v>5</v>
      </c>
      <c r="C56">
        <v>1</v>
      </c>
      <c r="D56" s="32">
        <v>43064.456064814818</v>
      </c>
      <c r="E56">
        <v>8</v>
      </c>
      <c r="F56" t="s">
        <v>16</v>
      </c>
    </row>
    <row r="57" spans="1:6">
      <c r="A57">
        <v>489226</v>
      </c>
      <c r="B57">
        <v>5</v>
      </c>
      <c r="C57">
        <v>1</v>
      </c>
      <c r="D57" s="32">
        <v>43064.10193287037</v>
      </c>
      <c r="E57">
        <v>8</v>
      </c>
      <c r="F57" t="s">
        <v>16</v>
      </c>
    </row>
    <row r="58" spans="1:6">
      <c r="A58">
        <v>433524</v>
      </c>
      <c r="B58">
        <v>5</v>
      </c>
      <c r="C58">
        <v>2</v>
      </c>
      <c r="D58" s="32">
        <v>43068.427071759259</v>
      </c>
      <c r="E58">
        <v>4</v>
      </c>
      <c r="F58" t="s">
        <v>16</v>
      </c>
    </row>
    <row r="59" spans="1:6">
      <c r="A59">
        <v>713956</v>
      </c>
      <c r="B59">
        <v>5</v>
      </c>
      <c r="C59">
        <v>3</v>
      </c>
      <c r="D59" s="32">
        <v>43069.027928240743</v>
      </c>
      <c r="E59">
        <v>3</v>
      </c>
      <c r="F59" t="s">
        <v>16</v>
      </c>
    </row>
    <row r="60" spans="1:6">
      <c r="A60">
        <v>972180</v>
      </c>
      <c r="B60">
        <v>5</v>
      </c>
      <c r="C60">
        <v>1</v>
      </c>
      <c r="D60" s="32">
        <v>43066.602280092593</v>
      </c>
      <c r="E60">
        <v>6</v>
      </c>
      <c r="F60" t="s">
        <v>16</v>
      </c>
    </row>
    <row r="61" spans="1:6">
      <c r="A61">
        <v>868580</v>
      </c>
      <c r="B61">
        <v>5</v>
      </c>
      <c r="C61">
        <v>1</v>
      </c>
      <c r="D61" s="32">
        <v>43068.100937499999</v>
      </c>
      <c r="E61">
        <v>4</v>
      </c>
      <c r="F61" t="s">
        <v>16</v>
      </c>
    </row>
    <row r="62" spans="1:6">
      <c r="A62">
        <v>822649</v>
      </c>
      <c r="B62">
        <v>5</v>
      </c>
      <c r="C62">
        <v>1</v>
      </c>
      <c r="D62" s="32">
        <v>43065.625578703701</v>
      </c>
      <c r="E62">
        <v>7</v>
      </c>
      <c r="F62" t="s">
        <v>16</v>
      </c>
    </row>
    <row r="63" spans="1:6">
      <c r="A63">
        <v>662353</v>
      </c>
      <c r="B63">
        <v>5</v>
      </c>
      <c r="C63">
        <v>1</v>
      </c>
      <c r="D63" s="32">
        <v>43064.556458333333</v>
      </c>
      <c r="E63">
        <v>8</v>
      </c>
      <c r="F63" t="s">
        <v>16</v>
      </c>
    </row>
    <row r="64" spans="1:6">
      <c r="A64">
        <v>23712</v>
      </c>
      <c r="B64">
        <v>5</v>
      </c>
      <c r="C64">
        <v>1</v>
      </c>
      <c r="D64" s="32">
        <v>43065.653124999997</v>
      </c>
      <c r="E64">
        <v>7</v>
      </c>
      <c r="F64" t="s">
        <v>16</v>
      </c>
    </row>
    <row r="65" spans="1:6">
      <c r="A65">
        <v>808475</v>
      </c>
      <c r="B65">
        <v>5</v>
      </c>
      <c r="C65">
        <v>1</v>
      </c>
      <c r="D65" s="32">
        <v>43068.251458333332</v>
      </c>
      <c r="E65">
        <v>4</v>
      </c>
      <c r="F65" t="s">
        <v>16</v>
      </c>
    </row>
    <row r="66" spans="1:6">
      <c r="A66">
        <v>760019</v>
      </c>
      <c r="B66">
        <v>5</v>
      </c>
      <c r="C66">
        <v>1</v>
      </c>
      <c r="D66" s="32">
        <v>43066.084027777775</v>
      </c>
      <c r="E66">
        <v>6</v>
      </c>
      <c r="F66" t="s">
        <v>16</v>
      </c>
    </row>
    <row r="67" spans="1:6">
      <c r="A67">
        <v>713633</v>
      </c>
      <c r="B67">
        <v>5</v>
      </c>
      <c r="C67">
        <v>1</v>
      </c>
      <c r="D67" s="32">
        <v>43066.617951388886</v>
      </c>
      <c r="E67">
        <v>6</v>
      </c>
      <c r="F67" t="s">
        <v>16</v>
      </c>
    </row>
    <row r="68" spans="1:6">
      <c r="A68">
        <v>920028</v>
      </c>
      <c r="B68">
        <v>5</v>
      </c>
      <c r="C68">
        <v>1</v>
      </c>
      <c r="D68" s="32">
        <v>43064.029016203705</v>
      </c>
      <c r="E68">
        <v>8</v>
      </c>
      <c r="F68" t="s">
        <v>16</v>
      </c>
    </row>
    <row r="69" spans="1:6">
      <c r="A69">
        <v>801848</v>
      </c>
      <c r="B69">
        <v>5</v>
      </c>
      <c r="C69">
        <v>1</v>
      </c>
      <c r="D69" s="32">
        <v>43066.647627314815</v>
      </c>
      <c r="E69">
        <v>6</v>
      </c>
      <c r="F69" t="s">
        <v>16</v>
      </c>
    </row>
    <row r="70" spans="1:6">
      <c r="A70">
        <v>886516</v>
      </c>
      <c r="B70">
        <v>5</v>
      </c>
      <c r="C70">
        <v>1</v>
      </c>
      <c r="D70" s="32">
        <v>43064.465960648151</v>
      </c>
      <c r="E70">
        <v>8</v>
      </c>
      <c r="F70" t="s">
        <v>16</v>
      </c>
    </row>
    <row r="71" spans="1:6">
      <c r="A71">
        <v>55447</v>
      </c>
      <c r="B71">
        <v>5</v>
      </c>
      <c r="C71">
        <v>1</v>
      </c>
      <c r="D71" s="32">
        <v>43065.529872685183</v>
      </c>
      <c r="E71">
        <v>7</v>
      </c>
      <c r="F71" t="s">
        <v>16</v>
      </c>
    </row>
    <row r="72" spans="1:6">
      <c r="A72">
        <v>861144</v>
      </c>
      <c r="B72">
        <v>5</v>
      </c>
      <c r="C72">
        <v>1</v>
      </c>
      <c r="D72" s="32">
        <v>43067.567372685182</v>
      </c>
      <c r="E72">
        <v>5</v>
      </c>
      <c r="F72" t="s">
        <v>16</v>
      </c>
    </row>
    <row r="73" spans="1:6">
      <c r="A73">
        <v>240558</v>
      </c>
      <c r="B73">
        <v>5</v>
      </c>
      <c r="C73">
        <v>1</v>
      </c>
      <c r="D73" s="32">
        <v>43067.463310185187</v>
      </c>
      <c r="E73">
        <v>5</v>
      </c>
      <c r="F73" t="s">
        <v>16</v>
      </c>
    </row>
    <row r="74" spans="1:6">
      <c r="A74">
        <v>569454</v>
      </c>
      <c r="B74">
        <v>5</v>
      </c>
      <c r="C74">
        <v>1</v>
      </c>
      <c r="D74" s="32">
        <v>43068.192766203705</v>
      </c>
      <c r="E74">
        <v>4</v>
      </c>
      <c r="F74" t="s">
        <v>16</v>
      </c>
    </row>
    <row r="75" spans="1:6">
      <c r="A75">
        <v>464187</v>
      </c>
      <c r="B75">
        <v>5</v>
      </c>
      <c r="C75">
        <v>2</v>
      </c>
      <c r="D75" s="32">
        <v>43064.610752314817</v>
      </c>
      <c r="E75">
        <v>8</v>
      </c>
      <c r="F75" t="s">
        <v>16</v>
      </c>
    </row>
    <row r="76" spans="1:6">
      <c r="A76">
        <v>122738</v>
      </c>
      <c r="B76">
        <v>5</v>
      </c>
      <c r="C76">
        <v>1</v>
      </c>
      <c r="D76" s="32">
        <v>43068.53328703704</v>
      </c>
      <c r="E76">
        <v>4</v>
      </c>
      <c r="F76" t="s">
        <v>16</v>
      </c>
    </row>
    <row r="77" spans="1:6">
      <c r="A77">
        <v>197765</v>
      </c>
      <c r="B77">
        <v>5</v>
      </c>
      <c r="C77">
        <v>3</v>
      </c>
      <c r="D77" s="32">
        <v>43069.219780092593</v>
      </c>
      <c r="E77">
        <v>3</v>
      </c>
      <c r="F77" t="s">
        <v>16</v>
      </c>
    </row>
    <row r="78" spans="1:6">
      <c r="A78">
        <v>71109</v>
      </c>
      <c r="B78">
        <v>5</v>
      </c>
      <c r="C78">
        <v>1</v>
      </c>
      <c r="D78" s="32">
        <v>43065.551944444444</v>
      </c>
      <c r="E78">
        <v>7</v>
      </c>
      <c r="F78" t="s">
        <v>16</v>
      </c>
    </row>
    <row r="79" spans="1:6">
      <c r="A79">
        <v>100387</v>
      </c>
      <c r="B79">
        <v>5</v>
      </c>
      <c r="C79">
        <v>1</v>
      </c>
      <c r="D79" s="32">
        <v>43067.150891203702</v>
      </c>
      <c r="E79">
        <v>5</v>
      </c>
      <c r="F79" t="s">
        <v>16</v>
      </c>
    </row>
    <row r="80" spans="1:6">
      <c r="A80">
        <v>861732</v>
      </c>
      <c r="B80">
        <v>5</v>
      </c>
      <c r="C80">
        <v>1</v>
      </c>
      <c r="D80" s="32">
        <v>43066.274456018517</v>
      </c>
      <c r="E80">
        <v>6</v>
      </c>
      <c r="F80" t="s">
        <v>16</v>
      </c>
    </row>
    <row r="81" spans="1:6">
      <c r="A81">
        <v>969007</v>
      </c>
      <c r="B81">
        <v>5</v>
      </c>
      <c r="C81">
        <v>2</v>
      </c>
      <c r="D81" s="32">
        <v>43067.125856481478</v>
      </c>
      <c r="E81">
        <v>5</v>
      </c>
      <c r="F81" t="s">
        <v>16</v>
      </c>
    </row>
    <row r="82" spans="1:6">
      <c r="A82">
        <v>15818</v>
      </c>
      <c r="B82">
        <v>5</v>
      </c>
      <c r="C82">
        <v>1</v>
      </c>
      <c r="D82" s="32">
        <v>43067.580949074072</v>
      </c>
      <c r="E82">
        <v>5</v>
      </c>
      <c r="F82" t="s">
        <v>16</v>
      </c>
    </row>
    <row r="83" spans="1:6">
      <c r="A83">
        <v>990090</v>
      </c>
      <c r="B83">
        <v>4</v>
      </c>
      <c r="C83">
        <v>1</v>
      </c>
      <c r="D83" s="32">
        <v>43067.610532407409</v>
      </c>
      <c r="E83">
        <v>5</v>
      </c>
      <c r="F83" t="s">
        <v>15</v>
      </c>
    </row>
    <row r="84" spans="1:6">
      <c r="A84">
        <v>693930</v>
      </c>
      <c r="B84">
        <v>4</v>
      </c>
      <c r="C84">
        <v>1</v>
      </c>
      <c r="D84" s="32">
        <v>43066.396828703706</v>
      </c>
      <c r="E84">
        <v>6</v>
      </c>
      <c r="F84" t="s">
        <v>15</v>
      </c>
    </row>
    <row r="85" spans="1:6">
      <c r="A85">
        <v>539321</v>
      </c>
      <c r="B85">
        <v>4</v>
      </c>
      <c r="C85">
        <v>1</v>
      </c>
      <c r="D85" s="32">
        <v>43068.261990740742</v>
      </c>
      <c r="E85">
        <v>4</v>
      </c>
      <c r="F85" t="s">
        <v>15</v>
      </c>
    </row>
    <row r="86" spans="1:6">
      <c r="A86">
        <v>861094</v>
      </c>
      <c r="B86">
        <v>4</v>
      </c>
      <c r="C86">
        <v>1</v>
      </c>
      <c r="D86" s="32">
        <v>43068.188414351855</v>
      </c>
      <c r="E86">
        <v>4</v>
      </c>
      <c r="F86" t="s">
        <v>15</v>
      </c>
    </row>
    <row r="87" spans="1:6">
      <c r="A87">
        <v>747940</v>
      </c>
      <c r="B87">
        <v>4</v>
      </c>
      <c r="C87">
        <v>1</v>
      </c>
      <c r="D87" s="32">
        <v>43069.499560185184</v>
      </c>
      <c r="E87">
        <v>3</v>
      </c>
      <c r="F87" t="s">
        <v>15</v>
      </c>
    </row>
    <row r="88" spans="1:6">
      <c r="A88">
        <v>550934</v>
      </c>
      <c r="B88">
        <v>4</v>
      </c>
      <c r="C88">
        <v>2</v>
      </c>
      <c r="D88" s="32">
        <v>43066.312800925924</v>
      </c>
      <c r="E88">
        <v>6</v>
      </c>
      <c r="F88" t="s">
        <v>15</v>
      </c>
    </row>
    <row r="89" spans="1:6">
      <c r="A89">
        <v>149036</v>
      </c>
      <c r="B89">
        <v>4</v>
      </c>
      <c r="C89">
        <v>1</v>
      </c>
      <c r="D89" s="32">
        <v>43069.265983796293</v>
      </c>
      <c r="E89">
        <v>3</v>
      </c>
      <c r="F89" t="s">
        <v>15</v>
      </c>
    </row>
    <row r="90" spans="1:6">
      <c r="A90">
        <v>682820</v>
      </c>
      <c r="B90">
        <v>4</v>
      </c>
      <c r="C90">
        <v>1</v>
      </c>
      <c r="D90" s="32">
        <v>43064.268125000002</v>
      </c>
      <c r="E90">
        <v>8</v>
      </c>
      <c r="F90" t="s">
        <v>15</v>
      </c>
    </row>
    <row r="91" spans="1:6">
      <c r="A91">
        <v>301928</v>
      </c>
      <c r="B91">
        <v>4</v>
      </c>
      <c r="C91">
        <v>1</v>
      </c>
      <c r="D91" s="32">
        <v>43068.233171296299</v>
      </c>
      <c r="E91">
        <v>4</v>
      </c>
      <c r="F91" t="s">
        <v>15</v>
      </c>
    </row>
    <row r="92" spans="1:6">
      <c r="A92">
        <v>4663</v>
      </c>
      <c r="B92">
        <v>4</v>
      </c>
      <c r="C92">
        <v>1</v>
      </c>
      <c r="D92" s="32">
        <v>43064.390196759261</v>
      </c>
      <c r="E92">
        <v>8</v>
      </c>
      <c r="F92" t="s">
        <v>15</v>
      </c>
    </row>
    <row r="93" spans="1:6">
      <c r="A93">
        <v>437469</v>
      </c>
      <c r="B93">
        <v>4</v>
      </c>
      <c r="C93">
        <v>2</v>
      </c>
      <c r="D93" s="32">
        <v>43064.986840277779</v>
      </c>
      <c r="E93">
        <v>8</v>
      </c>
      <c r="F93" t="s">
        <v>15</v>
      </c>
    </row>
    <row r="94" spans="1:6">
      <c r="A94">
        <v>382107</v>
      </c>
      <c r="B94">
        <v>4</v>
      </c>
      <c r="C94">
        <v>1</v>
      </c>
      <c r="D94" s="32">
        <v>43068.298564814817</v>
      </c>
      <c r="E94">
        <v>4</v>
      </c>
      <c r="F94" t="s">
        <v>15</v>
      </c>
    </row>
    <row r="95" spans="1:6">
      <c r="A95">
        <v>629029</v>
      </c>
      <c r="B95">
        <v>4</v>
      </c>
      <c r="C95">
        <v>1</v>
      </c>
      <c r="D95" s="32">
        <v>43065.417581018519</v>
      </c>
      <c r="E95">
        <v>7</v>
      </c>
      <c r="F95" t="s">
        <v>15</v>
      </c>
    </row>
    <row r="96" spans="1:6">
      <c r="A96">
        <v>599433</v>
      </c>
      <c r="B96">
        <v>4</v>
      </c>
      <c r="C96">
        <v>1</v>
      </c>
      <c r="D96" s="32">
        <v>43067.096990740742</v>
      </c>
      <c r="E96">
        <v>5</v>
      </c>
      <c r="F96" t="s">
        <v>15</v>
      </c>
    </row>
    <row r="97" spans="1:6">
      <c r="A97">
        <v>955078</v>
      </c>
      <c r="B97">
        <v>4</v>
      </c>
      <c r="C97">
        <v>1</v>
      </c>
      <c r="D97" s="32">
        <v>43067.090856481482</v>
      </c>
      <c r="E97">
        <v>5</v>
      </c>
      <c r="F97" t="s">
        <v>15</v>
      </c>
    </row>
    <row r="98" spans="1:6">
      <c r="A98">
        <v>341150</v>
      </c>
      <c r="B98">
        <v>4</v>
      </c>
      <c r="C98">
        <v>1</v>
      </c>
      <c r="D98" s="32">
        <v>43069.487847222219</v>
      </c>
      <c r="E98">
        <v>3</v>
      </c>
      <c r="F98" t="s">
        <v>15</v>
      </c>
    </row>
    <row r="99" spans="1:6">
      <c r="A99">
        <v>72104</v>
      </c>
      <c r="B99">
        <v>4</v>
      </c>
      <c r="C99">
        <v>3</v>
      </c>
      <c r="D99" s="32">
        <v>43068.495798611111</v>
      </c>
      <c r="E99">
        <v>4</v>
      </c>
      <c r="F99" t="s">
        <v>15</v>
      </c>
    </row>
    <row r="100" spans="1:6">
      <c r="A100">
        <v>523991</v>
      </c>
      <c r="B100">
        <v>4</v>
      </c>
      <c r="C100">
        <v>1</v>
      </c>
      <c r="D100" s="32">
        <v>43067.634745370371</v>
      </c>
      <c r="E100">
        <v>5</v>
      </c>
      <c r="F100" t="s">
        <v>15</v>
      </c>
    </row>
    <row r="101" spans="1:6">
      <c r="A101">
        <v>550407</v>
      </c>
      <c r="B101">
        <v>4</v>
      </c>
      <c r="C101">
        <v>1</v>
      </c>
      <c r="D101" s="32">
        <v>43067.467199074075</v>
      </c>
      <c r="E101">
        <v>5</v>
      </c>
      <c r="F101" t="s">
        <v>15</v>
      </c>
    </row>
    <row r="102" spans="1:6">
      <c r="A102">
        <v>220163</v>
      </c>
      <c r="B102">
        <v>4</v>
      </c>
      <c r="C102">
        <v>2</v>
      </c>
      <c r="D102" s="32">
        <v>43067.091504629629</v>
      </c>
      <c r="E102">
        <v>5</v>
      </c>
      <c r="F102" t="s">
        <v>15</v>
      </c>
    </row>
    <row r="103" spans="1:6">
      <c r="A103">
        <v>38274</v>
      </c>
      <c r="B103">
        <v>4</v>
      </c>
      <c r="C103">
        <v>2</v>
      </c>
      <c r="D103" s="32">
        <v>43069.055879629632</v>
      </c>
      <c r="E103">
        <v>3</v>
      </c>
      <c r="F103" t="s">
        <v>15</v>
      </c>
    </row>
    <row r="104" spans="1:6">
      <c r="A104">
        <v>25672</v>
      </c>
      <c r="B104">
        <v>4</v>
      </c>
      <c r="C104">
        <v>1</v>
      </c>
      <c r="D104" s="32">
        <v>43069.547662037039</v>
      </c>
      <c r="E104">
        <v>3</v>
      </c>
      <c r="F104" t="s">
        <v>15</v>
      </c>
    </row>
    <row r="105" spans="1:6">
      <c r="A105">
        <v>681358</v>
      </c>
      <c r="B105">
        <v>4</v>
      </c>
      <c r="C105">
        <v>1</v>
      </c>
      <c r="D105" s="32">
        <v>43064.560844907406</v>
      </c>
      <c r="E105">
        <v>8</v>
      </c>
      <c r="F105" t="s">
        <v>15</v>
      </c>
    </row>
    <row r="106" spans="1:6">
      <c r="A106">
        <v>328193</v>
      </c>
      <c r="B106">
        <v>4</v>
      </c>
      <c r="C106">
        <v>1</v>
      </c>
      <c r="D106" s="32">
        <v>43067.443993055553</v>
      </c>
      <c r="E106">
        <v>5</v>
      </c>
      <c r="F106" t="s">
        <v>15</v>
      </c>
    </row>
    <row r="107" spans="1:6">
      <c r="A107">
        <v>964517</v>
      </c>
      <c r="B107">
        <v>4</v>
      </c>
      <c r="C107">
        <v>3</v>
      </c>
      <c r="D107" s="32">
        <v>43065.680902777778</v>
      </c>
      <c r="E107">
        <v>7</v>
      </c>
      <c r="F107" t="s">
        <v>15</v>
      </c>
    </row>
    <row r="108" spans="1:6">
      <c r="A108">
        <v>199059</v>
      </c>
      <c r="B108">
        <v>4</v>
      </c>
      <c r="C108">
        <v>1</v>
      </c>
      <c r="D108" s="32">
        <v>43064.445416666669</v>
      </c>
      <c r="E108">
        <v>8</v>
      </c>
      <c r="F108" t="s">
        <v>15</v>
      </c>
    </row>
    <row r="109" spans="1:6">
      <c r="A109">
        <v>788023</v>
      </c>
      <c r="B109">
        <v>4</v>
      </c>
      <c r="C109">
        <v>2</v>
      </c>
      <c r="D109" s="32">
        <v>43066.283206018517</v>
      </c>
      <c r="E109">
        <v>6</v>
      </c>
      <c r="F109" t="s">
        <v>15</v>
      </c>
    </row>
    <row r="110" spans="1:6">
      <c r="A110">
        <v>494633</v>
      </c>
      <c r="B110">
        <v>4</v>
      </c>
      <c r="C110">
        <v>2</v>
      </c>
      <c r="D110" s="32">
        <v>43069.632152777776</v>
      </c>
      <c r="E110">
        <v>3</v>
      </c>
      <c r="F110" t="s">
        <v>15</v>
      </c>
    </row>
    <row r="111" spans="1:6">
      <c r="A111">
        <v>20745</v>
      </c>
      <c r="B111">
        <v>4</v>
      </c>
      <c r="C111">
        <v>1</v>
      </c>
      <c r="D111" s="32">
        <v>43064.593611111108</v>
      </c>
      <c r="E111">
        <v>8</v>
      </c>
      <c r="F111" t="s">
        <v>15</v>
      </c>
    </row>
    <row r="112" spans="1:6">
      <c r="A112">
        <v>771230</v>
      </c>
      <c r="B112">
        <v>4</v>
      </c>
      <c r="C112">
        <v>1</v>
      </c>
      <c r="D112" s="32">
        <v>43065.223634259259</v>
      </c>
      <c r="E112">
        <v>7</v>
      </c>
      <c r="F112" t="s">
        <v>15</v>
      </c>
    </row>
    <row r="113" spans="1:6">
      <c r="A113">
        <v>732482</v>
      </c>
      <c r="B113">
        <v>4</v>
      </c>
      <c r="C113">
        <v>1</v>
      </c>
      <c r="D113" s="32">
        <v>43066.742673611108</v>
      </c>
      <c r="E113">
        <v>6</v>
      </c>
      <c r="F113" t="s">
        <v>15</v>
      </c>
    </row>
    <row r="114" spans="1:6">
      <c r="A114">
        <v>417942</v>
      </c>
      <c r="B114">
        <v>4</v>
      </c>
      <c r="C114">
        <v>1</v>
      </c>
      <c r="D114" s="32">
        <v>43068.604861111111</v>
      </c>
      <c r="E114">
        <v>4</v>
      </c>
      <c r="F114" t="s">
        <v>15</v>
      </c>
    </row>
    <row r="115" spans="1:6">
      <c r="A115">
        <v>995071</v>
      </c>
      <c r="B115">
        <v>4</v>
      </c>
      <c r="C115">
        <v>1</v>
      </c>
      <c r="D115" s="32">
        <v>43068.169456018521</v>
      </c>
      <c r="E115">
        <v>4</v>
      </c>
      <c r="F115" t="s">
        <v>15</v>
      </c>
    </row>
    <row r="116" spans="1:6">
      <c r="A116">
        <v>109496</v>
      </c>
      <c r="B116">
        <v>4</v>
      </c>
      <c r="C116">
        <v>1</v>
      </c>
      <c r="D116" s="32">
        <v>43068.342557870368</v>
      </c>
      <c r="E116">
        <v>4</v>
      </c>
      <c r="F116" t="s">
        <v>15</v>
      </c>
    </row>
    <row r="117" spans="1:6">
      <c r="A117">
        <v>666099</v>
      </c>
      <c r="B117">
        <v>4</v>
      </c>
      <c r="C117">
        <v>1</v>
      </c>
      <c r="D117" s="32">
        <v>43069.501423611109</v>
      </c>
      <c r="E117">
        <v>3</v>
      </c>
      <c r="F117" t="s">
        <v>15</v>
      </c>
    </row>
    <row r="118" spans="1:6">
      <c r="A118">
        <v>826246</v>
      </c>
      <c r="B118">
        <v>4</v>
      </c>
      <c r="C118">
        <v>1</v>
      </c>
      <c r="D118" s="32">
        <v>43069.218229166669</v>
      </c>
      <c r="E118">
        <v>3</v>
      </c>
      <c r="F118" t="s">
        <v>15</v>
      </c>
    </row>
    <row r="119" spans="1:6">
      <c r="A119">
        <v>104903</v>
      </c>
      <c r="B119">
        <v>4</v>
      </c>
      <c r="C119">
        <v>1</v>
      </c>
      <c r="D119" s="32">
        <v>43068.563298611109</v>
      </c>
      <c r="E119">
        <v>4</v>
      </c>
      <c r="F119" t="s">
        <v>15</v>
      </c>
    </row>
    <row r="120" spans="1:6">
      <c r="A120">
        <v>658554</v>
      </c>
      <c r="B120">
        <v>4</v>
      </c>
      <c r="C120">
        <v>1</v>
      </c>
      <c r="D120" s="32">
        <v>43069.421770833331</v>
      </c>
      <c r="E120">
        <v>3</v>
      </c>
      <c r="F120" t="s">
        <v>15</v>
      </c>
    </row>
    <row r="121" spans="1:6">
      <c r="A121">
        <v>457351</v>
      </c>
      <c r="B121">
        <v>4</v>
      </c>
      <c r="C121">
        <v>1</v>
      </c>
      <c r="D121" s="32">
        <v>43064.595173611109</v>
      </c>
      <c r="E121">
        <v>8</v>
      </c>
      <c r="F121" t="s">
        <v>15</v>
      </c>
    </row>
    <row r="122" spans="1:6">
      <c r="A122">
        <v>55458</v>
      </c>
      <c r="B122">
        <v>4</v>
      </c>
      <c r="C122">
        <v>1</v>
      </c>
      <c r="D122" s="32">
        <v>43066.634120370371</v>
      </c>
      <c r="E122">
        <v>6</v>
      </c>
      <c r="F122" t="s">
        <v>15</v>
      </c>
    </row>
    <row r="123" spans="1:6">
      <c r="A123">
        <v>286162</v>
      </c>
      <c r="B123">
        <v>4</v>
      </c>
      <c r="C123">
        <v>1</v>
      </c>
      <c r="D123" s="32">
        <v>43069.287372685183</v>
      </c>
      <c r="E123">
        <v>3</v>
      </c>
      <c r="F123" t="s">
        <v>15</v>
      </c>
    </row>
    <row r="124" spans="1:6">
      <c r="A124">
        <v>763647</v>
      </c>
      <c r="B124">
        <v>4</v>
      </c>
      <c r="C124">
        <v>1</v>
      </c>
      <c r="D124" s="32">
        <v>43065.567037037035</v>
      </c>
      <c r="E124">
        <v>7</v>
      </c>
      <c r="F124" t="s">
        <v>15</v>
      </c>
    </row>
    <row r="125" spans="1:6">
      <c r="A125">
        <v>455474</v>
      </c>
      <c r="B125">
        <v>4</v>
      </c>
      <c r="C125">
        <v>1</v>
      </c>
      <c r="D125" s="32">
        <v>43069.530902777777</v>
      </c>
      <c r="E125">
        <v>3</v>
      </c>
      <c r="F125" t="s">
        <v>15</v>
      </c>
    </row>
    <row r="126" spans="1:6">
      <c r="A126">
        <v>988112</v>
      </c>
      <c r="B126">
        <v>4</v>
      </c>
      <c r="C126">
        <v>1</v>
      </c>
      <c r="D126" s="32">
        <v>43066.284849537034</v>
      </c>
      <c r="E126">
        <v>6</v>
      </c>
      <c r="F126" t="s">
        <v>15</v>
      </c>
    </row>
    <row r="127" spans="1:6">
      <c r="A127">
        <v>995091</v>
      </c>
      <c r="B127">
        <v>4</v>
      </c>
      <c r="C127">
        <v>1</v>
      </c>
      <c r="D127" s="32">
        <v>43064.5780787037</v>
      </c>
      <c r="E127">
        <v>8</v>
      </c>
      <c r="F127" t="s">
        <v>15</v>
      </c>
    </row>
    <row r="128" spans="1:6">
      <c r="A128">
        <v>875903</v>
      </c>
      <c r="B128">
        <v>4</v>
      </c>
      <c r="C128">
        <v>1</v>
      </c>
      <c r="D128" s="32">
        <v>43064.324826388889</v>
      </c>
      <c r="E128">
        <v>8</v>
      </c>
      <c r="F128" t="s">
        <v>15</v>
      </c>
    </row>
    <row r="129" spans="1:6">
      <c r="A129">
        <v>76791</v>
      </c>
      <c r="B129">
        <v>4</v>
      </c>
      <c r="C129">
        <v>1</v>
      </c>
      <c r="D129" s="32">
        <v>43069.220659722225</v>
      </c>
      <c r="E129">
        <v>3</v>
      </c>
      <c r="F129" t="s">
        <v>15</v>
      </c>
    </row>
    <row r="130" spans="1:6">
      <c r="A130">
        <v>804799</v>
      </c>
      <c r="B130">
        <v>4</v>
      </c>
      <c r="C130">
        <v>1</v>
      </c>
      <c r="D130" s="32">
        <v>43065.169710648152</v>
      </c>
      <c r="E130">
        <v>7</v>
      </c>
      <c r="F130" t="s">
        <v>15</v>
      </c>
    </row>
    <row r="131" spans="1:6">
      <c r="A131">
        <v>433837</v>
      </c>
      <c r="B131">
        <v>4</v>
      </c>
      <c r="C131">
        <v>1</v>
      </c>
      <c r="D131" s="32">
        <v>43068.131678240738</v>
      </c>
      <c r="E131">
        <v>4</v>
      </c>
      <c r="F131" t="s">
        <v>15</v>
      </c>
    </row>
    <row r="132" spans="1:6">
      <c r="A132">
        <v>58875</v>
      </c>
      <c r="B132">
        <v>4</v>
      </c>
      <c r="C132">
        <v>1</v>
      </c>
      <c r="D132" s="32">
        <v>43066.667187500003</v>
      </c>
      <c r="E132">
        <v>6</v>
      </c>
      <c r="F132" t="s">
        <v>15</v>
      </c>
    </row>
    <row r="133" spans="1:6">
      <c r="A133">
        <v>925602</v>
      </c>
      <c r="B133">
        <v>4</v>
      </c>
      <c r="C133">
        <v>1</v>
      </c>
      <c r="D133" s="32">
        <v>43064.517800925925</v>
      </c>
      <c r="E133">
        <v>8</v>
      </c>
      <c r="F133" t="s">
        <v>15</v>
      </c>
    </row>
    <row r="134" spans="1:6">
      <c r="A134">
        <v>314340</v>
      </c>
      <c r="B134">
        <v>4</v>
      </c>
      <c r="C134">
        <v>1</v>
      </c>
      <c r="D134" s="32">
        <v>43066.078298611108</v>
      </c>
      <c r="E134">
        <v>6</v>
      </c>
      <c r="F134" t="s">
        <v>15</v>
      </c>
    </row>
    <row r="135" spans="1:6">
      <c r="A135">
        <v>512144</v>
      </c>
      <c r="B135">
        <v>4</v>
      </c>
      <c r="C135">
        <v>1</v>
      </c>
      <c r="D135" s="32">
        <v>43068.470138888886</v>
      </c>
      <c r="E135">
        <v>4</v>
      </c>
      <c r="F135" t="s">
        <v>15</v>
      </c>
    </row>
    <row r="136" spans="1:6">
      <c r="A136">
        <v>172662</v>
      </c>
      <c r="B136">
        <v>4</v>
      </c>
      <c r="C136">
        <v>1</v>
      </c>
      <c r="D136" s="32">
        <v>43069.069293981483</v>
      </c>
      <c r="E136">
        <v>3</v>
      </c>
      <c r="F136" t="s">
        <v>15</v>
      </c>
    </row>
    <row r="137" spans="1:6">
      <c r="A137">
        <v>136217</v>
      </c>
      <c r="B137">
        <v>4</v>
      </c>
      <c r="C137">
        <v>1</v>
      </c>
      <c r="D137" s="32">
        <v>43069.236875000002</v>
      </c>
      <c r="E137">
        <v>3</v>
      </c>
      <c r="F137" t="s">
        <v>15</v>
      </c>
    </row>
    <row r="138" spans="1:6">
      <c r="A138">
        <v>426171</v>
      </c>
      <c r="B138">
        <v>4</v>
      </c>
      <c r="C138">
        <v>1</v>
      </c>
      <c r="D138" s="32">
        <v>43066.178032407406</v>
      </c>
      <c r="E138">
        <v>6</v>
      </c>
      <c r="F138" t="s">
        <v>15</v>
      </c>
    </row>
    <row r="139" spans="1:6">
      <c r="A139">
        <v>217887</v>
      </c>
      <c r="B139">
        <v>4</v>
      </c>
      <c r="C139">
        <v>1</v>
      </c>
      <c r="D139" s="32">
        <v>43064.346284722225</v>
      </c>
      <c r="E139">
        <v>8</v>
      </c>
      <c r="F139" t="s">
        <v>15</v>
      </c>
    </row>
    <row r="140" spans="1:6">
      <c r="A140">
        <v>628485</v>
      </c>
      <c r="B140">
        <v>4</v>
      </c>
      <c r="C140">
        <v>1</v>
      </c>
      <c r="D140" s="32">
        <v>43066.149629629632</v>
      </c>
      <c r="E140">
        <v>6</v>
      </c>
      <c r="F140" t="s">
        <v>15</v>
      </c>
    </row>
    <row r="141" spans="1:6">
      <c r="A141">
        <v>953274</v>
      </c>
      <c r="B141">
        <v>4</v>
      </c>
      <c r="C141">
        <v>1</v>
      </c>
      <c r="D141" s="32">
        <v>43069.545335648145</v>
      </c>
      <c r="E141">
        <v>3</v>
      </c>
      <c r="F141" t="s">
        <v>15</v>
      </c>
    </row>
    <row r="142" spans="1:6">
      <c r="A142">
        <v>685850</v>
      </c>
      <c r="B142">
        <v>4</v>
      </c>
      <c r="C142">
        <v>1</v>
      </c>
      <c r="D142" s="32">
        <v>43065.643819444442</v>
      </c>
      <c r="E142">
        <v>7</v>
      </c>
      <c r="F142" t="s">
        <v>15</v>
      </c>
    </row>
    <row r="143" spans="1:6">
      <c r="A143">
        <v>605837</v>
      </c>
      <c r="B143">
        <v>4</v>
      </c>
      <c r="C143">
        <v>1</v>
      </c>
      <c r="D143" s="32">
        <v>43069.270173611112</v>
      </c>
      <c r="E143">
        <v>3</v>
      </c>
      <c r="F143" t="s">
        <v>15</v>
      </c>
    </row>
    <row r="144" spans="1:6">
      <c r="A144">
        <v>283851</v>
      </c>
      <c r="B144">
        <v>4</v>
      </c>
      <c r="C144">
        <v>1</v>
      </c>
      <c r="D144" s="32">
        <v>43066.291597222225</v>
      </c>
      <c r="E144">
        <v>6</v>
      </c>
      <c r="F144" t="s">
        <v>15</v>
      </c>
    </row>
    <row r="145" spans="1:6">
      <c r="A145">
        <v>354559</v>
      </c>
      <c r="B145">
        <v>4</v>
      </c>
      <c r="C145">
        <v>1</v>
      </c>
      <c r="D145" s="32">
        <v>43069.529409722221</v>
      </c>
      <c r="E145">
        <v>3</v>
      </c>
      <c r="F145" t="s">
        <v>15</v>
      </c>
    </row>
    <row r="146" spans="1:6">
      <c r="A146">
        <v>258155</v>
      </c>
      <c r="B146">
        <v>4</v>
      </c>
      <c r="C146">
        <v>1</v>
      </c>
      <c r="D146" s="32">
        <v>43066.557569444441</v>
      </c>
      <c r="E146">
        <v>6</v>
      </c>
      <c r="F146" t="s">
        <v>15</v>
      </c>
    </row>
    <row r="147" spans="1:6">
      <c r="A147">
        <v>542459</v>
      </c>
      <c r="B147">
        <v>4</v>
      </c>
      <c r="C147">
        <v>1</v>
      </c>
      <c r="D147" s="32">
        <v>43065.122881944444</v>
      </c>
      <c r="E147">
        <v>7</v>
      </c>
      <c r="F147" t="s">
        <v>15</v>
      </c>
    </row>
    <row r="148" spans="1:6">
      <c r="A148">
        <v>437429</v>
      </c>
      <c r="B148">
        <v>4</v>
      </c>
      <c r="C148">
        <v>1</v>
      </c>
      <c r="D148" s="32">
        <v>43066.229432870372</v>
      </c>
      <c r="E148">
        <v>6</v>
      </c>
      <c r="F148" t="s">
        <v>15</v>
      </c>
    </row>
    <row r="149" spans="1:6">
      <c r="A149">
        <v>781868</v>
      </c>
      <c r="B149">
        <v>4</v>
      </c>
      <c r="C149">
        <v>1</v>
      </c>
      <c r="D149" s="32">
        <v>43068.248124999998</v>
      </c>
      <c r="E149">
        <v>4</v>
      </c>
      <c r="F149" t="s">
        <v>15</v>
      </c>
    </row>
    <row r="150" spans="1:6">
      <c r="A150">
        <v>950807</v>
      </c>
      <c r="B150">
        <v>4</v>
      </c>
      <c r="C150">
        <v>1</v>
      </c>
      <c r="D150" s="32">
        <v>43065.724409722221</v>
      </c>
      <c r="E150">
        <v>7</v>
      </c>
      <c r="F150" t="s">
        <v>15</v>
      </c>
    </row>
    <row r="151" spans="1:6">
      <c r="A151">
        <v>783327</v>
      </c>
      <c r="B151">
        <v>4</v>
      </c>
      <c r="C151">
        <v>1</v>
      </c>
      <c r="D151" s="32">
        <v>43068.032604166663</v>
      </c>
      <c r="E151">
        <v>4</v>
      </c>
      <c r="F151" t="s">
        <v>15</v>
      </c>
    </row>
    <row r="152" spans="1:6">
      <c r="A152">
        <v>679478</v>
      </c>
      <c r="B152">
        <v>4</v>
      </c>
      <c r="C152">
        <v>2</v>
      </c>
      <c r="D152" s="32">
        <v>43065.324884259258</v>
      </c>
      <c r="E152">
        <v>7</v>
      </c>
      <c r="F152" t="s">
        <v>15</v>
      </c>
    </row>
    <row r="153" spans="1:6">
      <c r="A153">
        <v>456844</v>
      </c>
      <c r="B153">
        <v>4</v>
      </c>
      <c r="C153">
        <v>1</v>
      </c>
      <c r="D153" s="32">
        <v>43065.361550925925</v>
      </c>
      <c r="E153">
        <v>7</v>
      </c>
      <c r="F153" t="s">
        <v>15</v>
      </c>
    </row>
    <row r="154" spans="1:6">
      <c r="A154">
        <v>799689</v>
      </c>
      <c r="B154">
        <v>4</v>
      </c>
      <c r="C154">
        <v>1</v>
      </c>
      <c r="D154" s="32">
        <v>43065.632962962962</v>
      </c>
      <c r="E154">
        <v>7</v>
      </c>
      <c r="F154" t="s">
        <v>15</v>
      </c>
    </row>
    <row r="155" spans="1:6">
      <c r="A155">
        <v>925318</v>
      </c>
      <c r="B155">
        <v>4</v>
      </c>
      <c r="C155">
        <v>1</v>
      </c>
      <c r="D155" s="32">
        <v>43064.4612037037</v>
      </c>
      <c r="E155">
        <v>8</v>
      </c>
      <c r="F155" t="s">
        <v>15</v>
      </c>
    </row>
    <row r="156" spans="1:6">
      <c r="A156">
        <v>504063</v>
      </c>
      <c r="B156">
        <v>4</v>
      </c>
      <c r="C156">
        <v>1</v>
      </c>
      <c r="D156" s="32">
        <v>43067.519062500003</v>
      </c>
      <c r="E156">
        <v>5</v>
      </c>
      <c r="F156" t="s">
        <v>15</v>
      </c>
    </row>
    <row r="157" spans="1:6">
      <c r="A157">
        <v>629446</v>
      </c>
      <c r="B157">
        <v>4</v>
      </c>
      <c r="C157">
        <v>1</v>
      </c>
      <c r="D157" s="32">
        <v>43068.070625</v>
      </c>
      <c r="E157">
        <v>4</v>
      </c>
      <c r="F157" t="s">
        <v>15</v>
      </c>
    </row>
    <row r="158" spans="1:6">
      <c r="A158">
        <v>563308</v>
      </c>
      <c r="B158">
        <v>4</v>
      </c>
      <c r="C158">
        <v>1</v>
      </c>
      <c r="D158" s="32">
        <v>43067.257256944446</v>
      </c>
      <c r="E158">
        <v>5</v>
      </c>
      <c r="F158" t="s">
        <v>15</v>
      </c>
    </row>
    <row r="159" spans="1:6">
      <c r="A159">
        <v>380731</v>
      </c>
      <c r="B159">
        <v>4</v>
      </c>
      <c r="C159">
        <v>1</v>
      </c>
      <c r="D159" s="32">
        <v>43064.049363425926</v>
      </c>
      <c r="E159">
        <v>8</v>
      </c>
      <c r="F159" t="s">
        <v>15</v>
      </c>
    </row>
    <row r="160" spans="1:6">
      <c r="A160">
        <v>681737</v>
      </c>
      <c r="B160">
        <v>4</v>
      </c>
      <c r="C160">
        <v>1</v>
      </c>
      <c r="D160" s="32">
        <v>43066.232766203706</v>
      </c>
      <c r="E160">
        <v>6</v>
      </c>
      <c r="F160" t="s">
        <v>15</v>
      </c>
    </row>
    <row r="161" spans="1:6">
      <c r="A161">
        <v>614583</v>
      </c>
      <c r="B161">
        <v>4</v>
      </c>
      <c r="C161">
        <v>1</v>
      </c>
      <c r="D161" s="32">
        <v>43069.655474537038</v>
      </c>
      <c r="E161">
        <v>3</v>
      </c>
      <c r="F161" t="s">
        <v>15</v>
      </c>
    </row>
    <row r="162" spans="1:6">
      <c r="A162">
        <v>658281</v>
      </c>
      <c r="B162">
        <v>4</v>
      </c>
      <c r="C162">
        <v>1</v>
      </c>
      <c r="D162" s="32">
        <v>43066.526331018518</v>
      </c>
      <c r="E162">
        <v>6</v>
      </c>
      <c r="F162" t="s">
        <v>15</v>
      </c>
    </row>
    <row r="163" spans="1:6">
      <c r="A163">
        <v>860168</v>
      </c>
      <c r="B163">
        <v>4</v>
      </c>
      <c r="C163">
        <v>1</v>
      </c>
      <c r="D163" s="32">
        <v>43069.768912037034</v>
      </c>
      <c r="E163">
        <v>3</v>
      </c>
      <c r="F163" t="s">
        <v>15</v>
      </c>
    </row>
    <row r="164" spans="1:6">
      <c r="A164">
        <v>680143</v>
      </c>
      <c r="B164">
        <v>4</v>
      </c>
      <c r="C164">
        <v>1</v>
      </c>
      <c r="D164" s="32">
        <v>43065.458807870367</v>
      </c>
      <c r="E164">
        <v>7</v>
      </c>
      <c r="F164" t="s">
        <v>15</v>
      </c>
    </row>
    <row r="165" spans="1:6">
      <c r="A165">
        <v>882744</v>
      </c>
      <c r="B165">
        <v>4</v>
      </c>
      <c r="C165">
        <v>1</v>
      </c>
      <c r="D165" s="32">
        <v>43068.265717592592</v>
      </c>
      <c r="E165">
        <v>4</v>
      </c>
      <c r="F165" t="s">
        <v>15</v>
      </c>
    </row>
    <row r="166" spans="1:6">
      <c r="A166">
        <v>186387</v>
      </c>
      <c r="B166">
        <v>4</v>
      </c>
      <c r="C166">
        <v>1</v>
      </c>
      <c r="D166" s="32">
        <v>43068.222962962966</v>
      </c>
      <c r="E166">
        <v>4</v>
      </c>
      <c r="F166" t="s">
        <v>15</v>
      </c>
    </row>
    <row r="167" spans="1:6">
      <c r="A167">
        <v>867674</v>
      </c>
      <c r="B167">
        <v>4</v>
      </c>
      <c r="C167">
        <v>1</v>
      </c>
      <c r="D167" s="32">
        <v>43068.04515046296</v>
      </c>
      <c r="E167">
        <v>4</v>
      </c>
      <c r="F167" t="s">
        <v>15</v>
      </c>
    </row>
    <row r="168" spans="1:6">
      <c r="A168">
        <v>23745</v>
      </c>
      <c r="B168">
        <v>4</v>
      </c>
      <c r="C168">
        <v>2</v>
      </c>
      <c r="D168" s="32">
        <v>43066.158402777779</v>
      </c>
      <c r="E168">
        <v>6</v>
      </c>
      <c r="F168" t="s">
        <v>15</v>
      </c>
    </row>
    <row r="169" spans="1:6">
      <c r="A169">
        <v>162414</v>
      </c>
      <c r="B169">
        <v>4</v>
      </c>
      <c r="C169">
        <v>1</v>
      </c>
      <c r="D169" s="32">
        <v>43064.803738425922</v>
      </c>
      <c r="E169">
        <v>8</v>
      </c>
      <c r="F169" t="s">
        <v>15</v>
      </c>
    </row>
    <row r="170" spans="1:6">
      <c r="A170">
        <v>811115</v>
      </c>
      <c r="B170">
        <v>4</v>
      </c>
      <c r="C170">
        <v>1</v>
      </c>
      <c r="D170" s="32">
        <v>43067.039548611108</v>
      </c>
      <c r="E170">
        <v>5</v>
      </c>
      <c r="F170" t="s">
        <v>15</v>
      </c>
    </row>
    <row r="171" spans="1:6">
      <c r="A171">
        <v>251285</v>
      </c>
      <c r="B171">
        <v>4</v>
      </c>
      <c r="C171">
        <v>2</v>
      </c>
      <c r="D171" s="32">
        <v>43067.156805555554</v>
      </c>
      <c r="E171">
        <v>5</v>
      </c>
      <c r="F171" t="s">
        <v>15</v>
      </c>
    </row>
    <row r="172" spans="1:6">
      <c r="A172">
        <v>818355</v>
      </c>
      <c r="B172">
        <v>4</v>
      </c>
      <c r="C172">
        <v>1</v>
      </c>
      <c r="D172" s="32">
        <v>43064.564432870371</v>
      </c>
      <c r="E172">
        <v>8</v>
      </c>
      <c r="F172" t="s">
        <v>15</v>
      </c>
    </row>
    <row r="173" spans="1:6">
      <c r="A173">
        <v>122397</v>
      </c>
      <c r="B173">
        <v>4</v>
      </c>
      <c r="C173">
        <v>1</v>
      </c>
      <c r="D173" s="32">
        <v>43068.355486111112</v>
      </c>
      <c r="E173">
        <v>4</v>
      </c>
      <c r="F173" t="s">
        <v>15</v>
      </c>
    </row>
    <row r="174" spans="1:6">
      <c r="A174">
        <v>815474</v>
      </c>
      <c r="B174">
        <v>4</v>
      </c>
      <c r="C174">
        <v>1</v>
      </c>
      <c r="D174" s="32">
        <v>43064.643020833333</v>
      </c>
      <c r="E174">
        <v>8</v>
      </c>
      <c r="F174" t="s">
        <v>15</v>
      </c>
    </row>
    <row r="175" spans="1:6">
      <c r="A175">
        <v>654924</v>
      </c>
      <c r="B175">
        <v>4</v>
      </c>
      <c r="C175">
        <v>1</v>
      </c>
      <c r="D175" s="32">
        <v>43068.318819444445</v>
      </c>
      <c r="E175">
        <v>4</v>
      </c>
      <c r="F175" t="s">
        <v>15</v>
      </c>
    </row>
    <row r="176" spans="1:6">
      <c r="A176">
        <v>46575</v>
      </c>
      <c r="B176">
        <v>4</v>
      </c>
      <c r="C176">
        <v>1</v>
      </c>
      <c r="D176" s="32">
        <v>43068.083310185182</v>
      </c>
      <c r="E176">
        <v>4</v>
      </c>
      <c r="F176" t="s">
        <v>15</v>
      </c>
    </row>
    <row r="177" spans="1:6">
      <c r="A177">
        <v>529800</v>
      </c>
      <c r="B177">
        <v>4</v>
      </c>
      <c r="C177">
        <v>2</v>
      </c>
      <c r="D177" s="32">
        <v>43067.046226851853</v>
      </c>
      <c r="E177">
        <v>5</v>
      </c>
      <c r="F177" t="s">
        <v>15</v>
      </c>
    </row>
    <row r="178" spans="1:6">
      <c r="A178">
        <v>3184</v>
      </c>
      <c r="B178">
        <v>4</v>
      </c>
      <c r="C178">
        <v>1</v>
      </c>
      <c r="D178" s="32">
        <v>43067.519155092596</v>
      </c>
      <c r="E178">
        <v>5</v>
      </c>
      <c r="F178" t="s">
        <v>15</v>
      </c>
    </row>
    <row r="179" spans="1:6">
      <c r="A179">
        <v>184987</v>
      </c>
      <c r="B179">
        <v>4</v>
      </c>
      <c r="C179">
        <v>1</v>
      </c>
      <c r="D179" s="32">
        <v>43069.169710648152</v>
      </c>
      <c r="E179">
        <v>3</v>
      </c>
      <c r="F179" t="s">
        <v>15</v>
      </c>
    </row>
    <row r="180" spans="1:6">
      <c r="A180">
        <v>656395</v>
      </c>
      <c r="B180">
        <v>4</v>
      </c>
      <c r="C180">
        <v>1</v>
      </c>
      <c r="D180" s="32">
        <v>43067.733229166668</v>
      </c>
      <c r="E180">
        <v>5</v>
      </c>
      <c r="F180" t="s">
        <v>15</v>
      </c>
    </row>
    <row r="181" spans="1:6">
      <c r="A181">
        <v>644528</v>
      </c>
      <c r="B181">
        <v>4</v>
      </c>
      <c r="C181">
        <v>1</v>
      </c>
      <c r="D181" s="32">
        <v>43069.544108796297</v>
      </c>
      <c r="E181">
        <v>3</v>
      </c>
      <c r="F181" t="s">
        <v>15</v>
      </c>
    </row>
    <row r="182" spans="1:6">
      <c r="A182">
        <v>33581</v>
      </c>
      <c r="B182">
        <v>4</v>
      </c>
      <c r="C182">
        <v>1</v>
      </c>
      <c r="D182" s="32">
        <v>43066.635740740741</v>
      </c>
      <c r="E182">
        <v>6</v>
      </c>
      <c r="F182" t="s">
        <v>15</v>
      </c>
    </row>
    <row r="183" spans="1:6">
      <c r="A183">
        <v>152122</v>
      </c>
      <c r="B183">
        <v>4</v>
      </c>
      <c r="C183">
        <v>1</v>
      </c>
      <c r="D183" s="32">
        <v>43064.607615740744</v>
      </c>
      <c r="E183">
        <v>8</v>
      </c>
      <c r="F183" t="s">
        <v>15</v>
      </c>
    </row>
    <row r="184" spans="1:6">
      <c r="A184">
        <v>62869</v>
      </c>
      <c r="B184">
        <v>4</v>
      </c>
      <c r="C184">
        <v>1</v>
      </c>
      <c r="D184" s="32">
        <v>43066.090810185182</v>
      </c>
      <c r="E184">
        <v>6</v>
      </c>
      <c r="F184" t="s">
        <v>15</v>
      </c>
    </row>
    <row r="185" spans="1:6">
      <c r="A185">
        <v>65051</v>
      </c>
      <c r="B185">
        <v>4</v>
      </c>
      <c r="C185">
        <v>1</v>
      </c>
      <c r="D185" s="32">
        <v>43066.164363425924</v>
      </c>
      <c r="E185">
        <v>6</v>
      </c>
      <c r="F185" t="s">
        <v>15</v>
      </c>
    </row>
    <row r="186" spans="1:6">
      <c r="A186">
        <v>722049</v>
      </c>
      <c r="B186">
        <v>4</v>
      </c>
      <c r="C186">
        <v>1</v>
      </c>
      <c r="D186" s="32">
        <v>43067.649363425924</v>
      </c>
      <c r="E186">
        <v>5</v>
      </c>
      <c r="F186" t="s">
        <v>15</v>
      </c>
    </row>
    <row r="187" spans="1:6">
      <c r="A187">
        <v>679774</v>
      </c>
      <c r="B187">
        <v>4</v>
      </c>
      <c r="C187">
        <v>1</v>
      </c>
      <c r="D187" s="32">
        <v>43065.108460648145</v>
      </c>
      <c r="E187">
        <v>7</v>
      </c>
      <c r="F187" t="s">
        <v>15</v>
      </c>
    </row>
    <row r="188" spans="1:6">
      <c r="A188">
        <v>540479</v>
      </c>
      <c r="B188">
        <v>4</v>
      </c>
      <c r="C188">
        <v>1</v>
      </c>
      <c r="D188" s="32">
        <v>43067.339745370373</v>
      </c>
      <c r="E188">
        <v>5</v>
      </c>
      <c r="F188" t="s">
        <v>15</v>
      </c>
    </row>
    <row r="189" spans="1:6">
      <c r="A189">
        <v>599171</v>
      </c>
      <c r="B189">
        <v>4</v>
      </c>
      <c r="C189">
        <v>1</v>
      </c>
      <c r="D189" s="32">
        <v>43065.591157407405</v>
      </c>
      <c r="E189">
        <v>7</v>
      </c>
      <c r="F189" t="s">
        <v>15</v>
      </c>
    </row>
    <row r="190" spans="1:6">
      <c r="A190">
        <v>697436</v>
      </c>
      <c r="B190">
        <v>4</v>
      </c>
      <c r="C190">
        <v>1</v>
      </c>
      <c r="D190" s="32">
        <v>43068.745335648149</v>
      </c>
      <c r="E190">
        <v>4</v>
      </c>
      <c r="F190" t="s">
        <v>15</v>
      </c>
    </row>
    <row r="191" spans="1:6">
      <c r="A191">
        <v>673520</v>
      </c>
      <c r="B191">
        <v>4</v>
      </c>
      <c r="C191">
        <v>1</v>
      </c>
      <c r="D191" s="32">
        <v>43065.142974537041</v>
      </c>
      <c r="E191">
        <v>7</v>
      </c>
      <c r="F191" t="s">
        <v>15</v>
      </c>
    </row>
    <row r="192" spans="1:6">
      <c r="A192">
        <v>722560</v>
      </c>
      <c r="B192">
        <v>4</v>
      </c>
      <c r="C192">
        <v>1</v>
      </c>
      <c r="D192" s="32">
        <v>43064.607199074075</v>
      </c>
      <c r="E192">
        <v>8</v>
      </c>
      <c r="F192" t="s">
        <v>15</v>
      </c>
    </row>
    <row r="193" spans="1:6">
      <c r="A193">
        <v>1001566</v>
      </c>
      <c r="B193">
        <v>4</v>
      </c>
      <c r="C193">
        <v>1</v>
      </c>
      <c r="D193" s="32">
        <v>43067.369050925925</v>
      </c>
      <c r="E193">
        <v>5</v>
      </c>
      <c r="F193" t="s">
        <v>15</v>
      </c>
    </row>
    <row r="194" spans="1:6">
      <c r="A194">
        <v>429319</v>
      </c>
      <c r="B194">
        <v>4</v>
      </c>
      <c r="C194">
        <v>2</v>
      </c>
      <c r="D194" s="32">
        <v>43064.72314814815</v>
      </c>
      <c r="E194">
        <v>8</v>
      </c>
      <c r="F194" t="s">
        <v>15</v>
      </c>
    </row>
    <row r="195" spans="1:6">
      <c r="A195">
        <v>824513</v>
      </c>
      <c r="B195">
        <v>4</v>
      </c>
      <c r="C195">
        <v>1</v>
      </c>
      <c r="D195" s="32">
        <v>43069.623263888891</v>
      </c>
      <c r="E195">
        <v>3</v>
      </c>
      <c r="F195" t="s">
        <v>15</v>
      </c>
    </row>
    <row r="196" spans="1:6">
      <c r="A196">
        <v>536740</v>
      </c>
      <c r="B196">
        <v>4</v>
      </c>
      <c r="C196">
        <v>1</v>
      </c>
      <c r="D196" s="32">
        <v>43068.557256944441</v>
      </c>
      <c r="E196">
        <v>4</v>
      </c>
      <c r="F196" t="s">
        <v>15</v>
      </c>
    </row>
    <row r="197" spans="1:6">
      <c r="A197">
        <v>304390</v>
      </c>
      <c r="B197">
        <v>4</v>
      </c>
      <c r="C197">
        <v>1</v>
      </c>
      <c r="D197" s="32">
        <v>43067.099363425928</v>
      </c>
      <c r="E197">
        <v>5</v>
      </c>
      <c r="F197" t="s">
        <v>15</v>
      </c>
    </row>
    <row r="198" spans="1:6">
      <c r="A198">
        <v>413238</v>
      </c>
      <c r="B198">
        <v>4</v>
      </c>
      <c r="C198">
        <v>1</v>
      </c>
      <c r="D198" s="32">
        <v>43064.090057870373</v>
      </c>
      <c r="E198">
        <v>8</v>
      </c>
      <c r="F198" t="s">
        <v>15</v>
      </c>
    </row>
    <row r="199" spans="1:6">
      <c r="A199">
        <v>740922</v>
      </c>
      <c r="B199">
        <v>4</v>
      </c>
      <c r="C199">
        <v>1</v>
      </c>
      <c r="D199" s="32">
        <v>43069.331956018519</v>
      </c>
      <c r="E199">
        <v>3</v>
      </c>
      <c r="F199" t="s">
        <v>15</v>
      </c>
    </row>
    <row r="200" spans="1:6">
      <c r="A200">
        <v>804542</v>
      </c>
      <c r="B200">
        <v>4</v>
      </c>
      <c r="C200">
        <v>1</v>
      </c>
      <c r="D200" s="32">
        <v>43067.982129629629</v>
      </c>
      <c r="E200">
        <v>5</v>
      </c>
      <c r="F200" t="s">
        <v>15</v>
      </c>
    </row>
    <row r="201" spans="1:6">
      <c r="A201">
        <v>314777</v>
      </c>
      <c r="B201">
        <v>4</v>
      </c>
      <c r="C201">
        <v>1</v>
      </c>
      <c r="D201" s="32">
        <v>43069.169039351851</v>
      </c>
      <c r="E201">
        <v>3</v>
      </c>
      <c r="F201" t="s">
        <v>15</v>
      </c>
    </row>
    <row r="202" spans="1:6">
      <c r="A202">
        <v>385528</v>
      </c>
      <c r="B202">
        <v>4</v>
      </c>
      <c r="C202">
        <v>1</v>
      </c>
      <c r="D202" s="32">
        <v>43069.434965277775</v>
      </c>
      <c r="E202">
        <v>3</v>
      </c>
      <c r="F202" t="s">
        <v>15</v>
      </c>
    </row>
    <row r="203" spans="1:6">
      <c r="A203">
        <v>170051</v>
      </c>
      <c r="B203">
        <v>4</v>
      </c>
      <c r="C203">
        <v>1</v>
      </c>
      <c r="D203" s="32">
        <v>43068.244467592594</v>
      </c>
      <c r="E203">
        <v>4</v>
      </c>
      <c r="F203" t="s">
        <v>15</v>
      </c>
    </row>
    <row r="204" spans="1:6">
      <c r="A204">
        <v>39575</v>
      </c>
      <c r="B204">
        <v>4</v>
      </c>
      <c r="C204">
        <v>1</v>
      </c>
      <c r="D204" s="32">
        <v>43068.627511574072</v>
      </c>
      <c r="E204">
        <v>4</v>
      </c>
      <c r="F204" t="s">
        <v>15</v>
      </c>
    </row>
    <row r="205" spans="1:6">
      <c r="A205">
        <v>929420</v>
      </c>
      <c r="B205">
        <v>4</v>
      </c>
      <c r="C205">
        <v>1</v>
      </c>
      <c r="D205" s="32">
        <v>43064.117025462961</v>
      </c>
      <c r="E205">
        <v>8</v>
      </c>
      <c r="F205" t="s">
        <v>15</v>
      </c>
    </row>
    <row r="206" spans="1:6">
      <c r="A206">
        <v>893266</v>
      </c>
      <c r="B206">
        <v>4</v>
      </c>
      <c r="C206">
        <v>1</v>
      </c>
      <c r="D206" s="32">
        <v>43066.182893518519</v>
      </c>
      <c r="E206">
        <v>6</v>
      </c>
      <c r="F206" t="s">
        <v>15</v>
      </c>
    </row>
    <row r="207" spans="1:6">
      <c r="A207">
        <v>110097</v>
      </c>
      <c r="B207">
        <v>4</v>
      </c>
      <c r="C207">
        <v>1</v>
      </c>
      <c r="D207" s="32">
        <v>43068.19840277778</v>
      </c>
      <c r="E207">
        <v>4</v>
      </c>
      <c r="F207" t="s">
        <v>15</v>
      </c>
    </row>
    <row r="208" spans="1:6">
      <c r="A208">
        <v>239090</v>
      </c>
      <c r="B208">
        <v>4</v>
      </c>
      <c r="C208">
        <v>1</v>
      </c>
      <c r="D208" s="32">
        <v>43066.418622685182</v>
      </c>
      <c r="E208">
        <v>6</v>
      </c>
      <c r="F208" t="s">
        <v>15</v>
      </c>
    </row>
    <row r="209" spans="1:6">
      <c r="A209">
        <v>382623</v>
      </c>
      <c r="B209">
        <v>4</v>
      </c>
      <c r="C209">
        <v>1</v>
      </c>
      <c r="D209" s="32">
        <v>43066.137997685182</v>
      </c>
      <c r="E209">
        <v>6</v>
      </c>
      <c r="F209" t="s">
        <v>15</v>
      </c>
    </row>
    <row r="210" spans="1:6">
      <c r="A210">
        <v>463289</v>
      </c>
      <c r="B210">
        <v>4</v>
      </c>
      <c r="C210">
        <v>1</v>
      </c>
      <c r="D210" s="32">
        <v>43066.628344907411</v>
      </c>
      <c r="E210">
        <v>6</v>
      </c>
      <c r="F210" t="s">
        <v>15</v>
      </c>
    </row>
    <row r="211" spans="1:6">
      <c r="A211">
        <v>482360</v>
      </c>
      <c r="B211">
        <v>4</v>
      </c>
      <c r="C211">
        <v>2</v>
      </c>
      <c r="D211" s="32">
        <v>43069.318854166668</v>
      </c>
      <c r="E211">
        <v>3</v>
      </c>
      <c r="F211" t="s">
        <v>15</v>
      </c>
    </row>
    <row r="212" spans="1:6">
      <c r="A212">
        <v>542037</v>
      </c>
      <c r="B212">
        <v>4</v>
      </c>
      <c r="C212">
        <v>2</v>
      </c>
      <c r="D212" s="32">
        <v>43066.323148148149</v>
      </c>
      <c r="E212">
        <v>6</v>
      </c>
      <c r="F212" t="s">
        <v>15</v>
      </c>
    </row>
    <row r="213" spans="1:6">
      <c r="A213">
        <v>275057</v>
      </c>
      <c r="B213">
        <v>4</v>
      </c>
      <c r="C213">
        <v>1</v>
      </c>
      <c r="D213" s="32">
        <v>43066.644629629627</v>
      </c>
      <c r="E213">
        <v>6</v>
      </c>
      <c r="F213" t="s">
        <v>15</v>
      </c>
    </row>
    <row r="214" spans="1:6">
      <c r="A214">
        <v>269955</v>
      </c>
      <c r="B214">
        <v>4</v>
      </c>
      <c r="C214">
        <v>1</v>
      </c>
      <c r="D214" s="32">
        <v>43064.577164351853</v>
      </c>
      <c r="E214">
        <v>8</v>
      </c>
      <c r="F214" t="s">
        <v>15</v>
      </c>
    </row>
    <row r="215" spans="1:6">
      <c r="A215">
        <v>856980</v>
      </c>
      <c r="B215">
        <v>4</v>
      </c>
      <c r="C215">
        <v>1</v>
      </c>
      <c r="D215" s="32">
        <v>43067.580138888887</v>
      </c>
      <c r="E215">
        <v>5</v>
      </c>
      <c r="F215" t="s">
        <v>15</v>
      </c>
    </row>
    <row r="216" spans="1:6">
      <c r="A216">
        <v>847883</v>
      </c>
      <c r="B216">
        <v>4</v>
      </c>
      <c r="C216">
        <v>1</v>
      </c>
      <c r="D216" s="32">
        <v>43066.361157407409</v>
      </c>
      <c r="E216">
        <v>6</v>
      </c>
      <c r="F216" t="s">
        <v>15</v>
      </c>
    </row>
    <row r="217" spans="1:6">
      <c r="A217">
        <v>293569</v>
      </c>
      <c r="B217">
        <v>4</v>
      </c>
      <c r="C217">
        <v>1</v>
      </c>
      <c r="D217" s="32">
        <v>43067.587800925925</v>
      </c>
      <c r="E217">
        <v>5</v>
      </c>
      <c r="F217" t="s">
        <v>15</v>
      </c>
    </row>
    <row r="218" spans="1:6">
      <c r="A218">
        <v>668873</v>
      </c>
      <c r="B218">
        <v>4</v>
      </c>
      <c r="C218">
        <v>1</v>
      </c>
      <c r="D218" s="32">
        <v>43066.068333333336</v>
      </c>
      <c r="E218">
        <v>6</v>
      </c>
      <c r="F218" t="s">
        <v>15</v>
      </c>
    </row>
    <row r="219" spans="1:6">
      <c r="A219">
        <v>365972</v>
      </c>
      <c r="B219">
        <v>4</v>
      </c>
      <c r="C219">
        <v>1</v>
      </c>
      <c r="D219" s="32">
        <v>43065.170613425929</v>
      </c>
      <c r="E219">
        <v>7</v>
      </c>
      <c r="F219" t="s">
        <v>15</v>
      </c>
    </row>
    <row r="220" spans="1:6">
      <c r="A220">
        <v>50837</v>
      </c>
      <c r="B220">
        <v>4</v>
      </c>
      <c r="C220">
        <v>1</v>
      </c>
      <c r="D220" s="32">
        <v>43069.618518518517</v>
      </c>
      <c r="E220">
        <v>3</v>
      </c>
      <c r="F220" t="s">
        <v>15</v>
      </c>
    </row>
    <row r="221" spans="1:6">
      <c r="A221">
        <v>679062</v>
      </c>
      <c r="B221">
        <v>4</v>
      </c>
      <c r="C221">
        <v>1</v>
      </c>
      <c r="D221" s="32">
        <v>43067.701423611114</v>
      </c>
      <c r="E221">
        <v>5</v>
      </c>
      <c r="F221" t="s">
        <v>15</v>
      </c>
    </row>
    <row r="222" spans="1:6">
      <c r="A222">
        <v>245127</v>
      </c>
      <c r="B222">
        <v>4</v>
      </c>
      <c r="C222">
        <v>1</v>
      </c>
      <c r="D222" s="32">
        <v>43065.571550925924</v>
      </c>
      <c r="E222">
        <v>7</v>
      </c>
      <c r="F222" t="s">
        <v>15</v>
      </c>
    </row>
    <row r="223" spans="1:6">
      <c r="A223">
        <v>604941</v>
      </c>
      <c r="B223">
        <v>4</v>
      </c>
      <c r="C223">
        <v>1</v>
      </c>
      <c r="D223" s="32">
        <v>43067.276678240742</v>
      </c>
      <c r="E223">
        <v>5</v>
      </c>
      <c r="F223" t="s">
        <v>15</v>
      </c>
    </row>
    <row r="224" spans="1:6">
      <c r="A224">
        <v>688149</v>
      </c>
      <c r="B224">
        <v>4</v>
      </c>
      <c r="C224">
        <v>1</v>
      </c>
      <c r="D224" s="32">
        <v>43065.722268518519</v>
      </c>
      <c r="E224">
        <v>7</v>
      </c>
      <c r="F224" t="s">
        <v>15</v>
      </c>
    </row>
    <row r="225" spans="1:6">
      <c r="A225">
        <v>966058</v>
      </c>
      <c r="B225">
        <v>4</v>
      </c>
      <c r="C225">
        <v>1</v>
      </c>
      <c r="D225" s="32">
        <v>43064.456979166665</v>
      </c>
      <c r="E225">
        <v>8</v>
      </c>
      <c r="F225" t="s">
        <v>15</v>
      </c>
    </row>
    <row r="226" spans="1:6">
      <c r="A226">
        <v>238604</v>
      </c>
      <c r="B226">
        <v>4</v>
      </c>
      <c r="C226">
        <v>1</v>
      </c>
      <c r="D226" s="32">
        <v>43065.05127314815</v>
      </c>
      <c r="E226">
        <v>7</v>
      </c>
      <c r="F226" t="s">
        <v>15</v>
      </c>
    </row>
    <row r="227" spans="1:6">
      <c r="A227">
        <v>559289</v>
      </c>
      <c r="B227">
        <v>4</v>
      </c>
      <c r="C227">
        <v>1</v>
      </c>
      <c r="D227" s="32">
        <v>43065.028020833335</v>
      </c>
      <c r="E227">
        <v>7</v>
      </c>
      <c r="F227" t="s">
        <v>15</v>
      </c>
    </row>
    <row r="228" spans="1:6">
      <c r="A228">
        <v>109752</v>
      </c>
      <c r="B228">
        <v>4</v>
      </c>
      <c r="C228">
        <v>2</v>
      </c>
      <c r="D228" s="32">
        <v>43067.606226851851</v>
      </c>
      <c r="E228">
        <v>5</v>
      </c>
      <c r="F228" t="s">
        <v>15</v>
      </c>
    </row>
    <row r="229" spans="1:6">
      <c r="A229">
        <v>961579</v>
      </c>
      <c r="B229">
        <v>4</v>
      </c>
      <c r="C229">
        <v>1</v>
      </c>
      <c r="D229" s="32">
        <v>43067.808877314812</v>
      </c>
      <c r="E229">
        <v>5</v>
      </c>
      <c r="F229" t="s">
        <v>15</v>
      </c>
    </row>
    <row r="230" spans="1:6">
      <c r="A230">
        <v>274943</v>
      </c>
      <c r="B230">
        <v>4</v>
      </c>
      <c r="C230">
        <v>1</v>
      </c>
      <c r="D230" s="32">
        <v>43064.646215277775</v>
      </c>
      <c r="E230">
        <v>8</v>
      </c>
      <c r="F230" t="s">
        <v>15</v>
      </c>
    </row>
    <row r="231" spans="1:6">
      <c r="A231">
        <v>291814</v>
      </c>
      <c r="B231">
        <v>4</v>
      </c>
      <c r="C231">
        <v>1</v>
      </c>
      <c r="D231" s="32">
        <v>43064.600127314814</v>
      </c>
      <c r="E231">
        <v>8</v>
      </c>
      <c r="F231" t="s">
        <v>15</v>
      </c>
    </row>
    <row r="232" spans="1:6">
      <c r="A232">
        <v>982820</v>
      </c>
      <c r="B232">
        <v>4</v>
      </c>
      <c r="C232">
        <v>1</v>
      </c>
      <c r="D232" s="32">
        <v>43067.545717592591</v>
      </c>
      <c r="E232">
        <v>5</v>
      </c>
      <c r="F232" t="s">
        <v>15</v>
      </c>
    </row>
    <row r="233" spans="1:6">
      <c r="A233">
        <v>466414</v>
      </c>
      <c r="B233">
        <v>4</v>
      </c>
      <c r="C233">
        <v>1</v>
      </c>
      <c r="D233" s="32">
        <v>43064.965844907405</v>
      </c>
      <c r="E233">
        <v>8</v>
      </c>
      <c r="F233" t="s">
        <v>15</v>
      </c>
    </row>
    <row r="234" spans="1:6">
      <c r="A234">
        <v>305126</v>
      </c>
      <c r="B234">
        <v>4</v>
      </c>
      <c r="C234">
        <v>1</v>
      </c>
      <c r="D234" s="32">
        <v>43066.338009259256</v>
      </c>
      <c r="E234">
        <v>6</v>
      </c>
      <c r="F234" t="s">
        <v>15</v>
      </c>
    </row>
    <row r="235" spans="1:6">
      <c r="A235">
        <v>707058</v>
      </c>
      <c r="B235">
        <v>4</v>
      </c>
      <c r="C235">
        <v>2</v>
      </c>
      <c r="D235" s="32">
        <v>43064.391747685186</v>
      </c>
      <c r="E235">
        <v>8</v>
      </c>
      <c r="F235" t="s">
        <v>15</v>
      </c>
    </row>
    <row r="236" spans="1:6">
      <c r="A236">
        <v>284121</v>
      </c>
      <c r="B236">
        <v>4</v>
      </c>
      <c r="C236">
        <v>1</v>
      </c>
      <c r="D236" s="32">
        <v>43067.050034722219</v>
      </c>
      <c r="E236">
        <v>5</v>
      </c>
      <c r="F236" t="s">
        <v>15</v>
      </c>
    </row>
    <row r="237" spans="1:6">
      <c r="A237">
        <v>207534</v>
      </c>
      <c r="B237">
        <v>4</v>
      </c>
      <c r="C237">
        <v>1</v>
      </c>
      <c r="D237" s="32">
        <v>43069.343541666669</v>
      </c>
      <c r="E237">
        <v>3</v>
      </c>
      <c r="F237" t="s">
        <v>15</v>
      </c>
    </row>
    <row r="238" spans="1:6">
      <c r="A238">
        <v>863823</v>
      </c>
      <c r="B238">
        <v>3</v>
      </c>
      <c r="C238">
        <v>1</v>
      </c>
      <c r="D238" s="32">
        <v>43067.657951388886</v>
      </c>
      <c r="E238">
        <v>5</v>
      </c>
      <c r="F238" t="s">
        <v>15</v>
      </c>
    </row>
    <row r="239" spans="1:6">
      <c r="A239">
        <v>539763</v>
      </c>
      <c r="B239">
        <v>3</v>
      </c>
      <c r="C239">
        <v>1</v>
      </c>
      <c r="D239" s="32">
        <v>43065.483935185184</v>
      </c>
      <c r="E239">
        <v>7</v>
      </c>
      <c r="F239" t="s">
        <v>15</v>
      </c>
    </row>
    <row r="240" spans="1:6">
      <c r="A240">
        <v>788199</v>
      </c>
      <c r="B240">
        <v>3</v>
      </c>
      <c r="C240">
        <v>1</v>
      </c>
      <c r="D240" s="32">
        <v>43064.696296296293</v>
      </c>
      <c r="E240">
        <v>8</v>
      </c>
      <c r="F240" t="s">
        <v>15</v>
      </c>
    </row>
    <row r="241" spans="1:6">
      <c r="A241">
        <v>925593</v>
      </c>
      <c r="B241">
        <v>3</v>
      </c>
      <c r="C241">
        <v>1</v>
      </c>
      <c r="D241" s="32">
        <v>43065.550891203704</v>
      </c>
      <c r="E241">
        <v>7</v>
      </c>
      <c r="F241" t="s">
        <v>15</v>
      </c>
    </row>
    <row r="242" spans="1:6">
      <c r="A242">
        <v>225937</v>
      </c>
      <c r="B242">
        <v>3</v>
      </c>
      <c r="C242">
        <v>1</v>
      </c>
      <c r="D242" s="32">
        <v>43069.335034722222</v>
      </c>
      <c r="E242">
        <v>3</v>
      </c>
      <c r="F242" t="s">
        <v>15</v>
      </c>
    </row>
    <row r="243" spans="1:6">
      <c r="A243">
        <v>265025</v>
      </c>
      <c r="B243">
        <v>3</v>
      </c>
      <c r="C243">
        <v>1</v>
      </c>
      <c r="D243" s="32">
        <v>43064.362337962964</v>
      </c>
      <c r="E243">
        <v>8</v>
      </c>
      <c r="F243" t="s">
        <v>15</v>
      </c>
    </row>
    <row r="244" spans="1:6">
      <c r="A244">
        <v>695041</v>
      </c>
      <c r="B244">
        <v>3</v>
      </c>
      <c r="C244">
        <v>1</v>
      </c>
      <c r="D244" s="32">
        <v>43068.01667824074</v>
      </c>
      <c r="E244">
        <v>4</v>
      </c>
      <c r="F244" t="s">
        <v>15</v>
      </c>
    </row>
    <row r="245" spans="1:6">
      <c r="A245">
        <v>424149</v>
      </c>
      <c r="B245">
        <v>3</v>
      </c>
      <c r="C245">
        <v>1</v>
      </c>
      <c r="D245" s="32">
        <v>43067.450428240743</v>
      </c>
      <c r="E245">
        <v>5</v>
      </c>
      <c r="F245" t="s">
        <v>15</v>
      </c>
    </row>
    <row r="246" spans="1:6">
      <c r="A246">
        <v>175566</v>
      </c>
      <c r="B246">
        <v>3</v>
      </c>
      <c r="C246">
        <v>1</v>
      </c>
      <c r="D246" s="32">
        <v>43066.168761574074</v>
      </c>
      <c r="E246">
        <v>6</v>
      </c>
      <c r="F246" t="s">
        <v>15</v>
      </c>
    </row>
    <row r="247" spans="1:6">
      <c r="A247">
        <v>357619</v>
      </c>
      <c r="B247">
        <v>3</v>
      </c>
      <c r="C247">
        <v>1</v>
      </c>
      <c r="D247" s="32">
        <v>43069.58625</v>
      </c>
      <c r="E247">
        <v>3</v>
      </c>
      <c r="F247" t="s">
        <v>15</v>
      </c>
    </row>
    <row r="248" spans="1:6">
      <c r="A248">
        <v>767041</v>
      </c>
      <c r="B248">
        <v>3</v>
      </c>
      <c r="C248">
        <v>1</v>
      </c>
      <c r="D248" s="32">
        <v>43065.194421296299</v>
      </c>
      <c r="E248">
        <v>7</v>
      </c>
      <c r="F248" t="s">
        <v>15</v>
      </c>
    </row>
    <row r="249" spans="1:6">
      <c r="A249">
        <v>561783</v>
      </c>
      <c r="B249">
        <v>3</v>
      </c>
      <c r="C249">
        <v>1</v>
      </c>
      <c r="D249" s="32">
        <v>43069.20826388889</v>
      </c>
      <c r="E249">
        <v>3</v>
      </c>
      <c r="F249" t="s">
        <v>15</v>
      </c>
    </row>
    <row r="250" spans="1:6">
      <c r="A250">
        <v>824878</v>
      </c>
      <c r="B250">
        <v>3</v>
      </c>
      <c r="C250">
        <v>2</v>
      </c>
      <c r="D250" s="32">
        <v>43068.078101851854</v>
      </c>
      <c r="E250">
        <v>4</v>
      </c>
      <c r="F250" t="s">
        <v>15</v>
      </c>
    </row>
    <row r="251" spans="1:6">
      <c r="A251">
        <v>765846</v>
      </c>
      <c r="B251">
        <v>3</v>
      </c>
      <c r="C251">
        <v>1</v>
      </c>
      <c r="D251" s="32">
        <v>43067.140092592592</v>
      </c>
      <c r="E251">
        <v>5</v>
      </c>
      <c r="F251" t="s">
        <v>15</v>
      </c>
    </row>
    <row r="252" spans="1:6">
      <c r="A252">
        <v>892839</v>
      </c>
      <c r="B252">
        <v>3</v>
      </c>
      <c r="C252">
        <v>1</v>
      </c>
      <c r="D252" s="32">
        <v>43069.036261574074</v>
      </c>
      <c r="E252">
        <v>3</v>
      </c>
      <c r="F252" t="s">
        <v>15</v>
      </c>
    </row>
    <row r="253" spans="1:6">
      <c r="A253">
        <v>106291</v>
      </c>
      <c r="B253">
        <v>3</v>
      </c>
      <c r="C253">
        <v>1</v>
      </c>
      <c r="D253" s="32">
        <v>43066.515694444446</v>
      </c>
      <c r="E253">
        <v>6</v>
      </c>
      <c r="F253" t="s">
        <v>15</v>
      </c>
    </row>
    <row r="254" spans="1:6">
      <c r="A254">
        <v>247212</v>
      </c>
      <c r="B254">
        <v>3</v>
      </c>
      <c r="C254">
        <v>1</v>
      </c>
      <c r="D254" s="32">
        <v>43069.49800925926</v>
      </c>
      <c r="E254">
        <v>3</v>
      </c>
      <c r="F254" t="s">
        <v>15</v>
      </c>
    </row>
    <row r="255" spans="1:6">
      <c r="A255">
        <v>228644</v>
      </c>
      <c r="B255">
        <v>3</v>
      </c>
      <c r="C255">
        <v>1</v>
      </c>
      <c r="D255" s="32">
        <v>43069.521319444444</v>
      </c>
      <c r="E255">
        <v>3</v>
      </c>
      <c r="F255" t="s">
        <v>15</v>
      </c>
    </row>
    <row r="256" spans="1:6">
      <c r="A256">
        <v>116677</v>
      </c>
      <c r="B256">
        <v>3</v>
      </c>
      <c r="C256">
        <v>1</v>
      </c>
      <c r="D256" s="32">
        <v>43064.923229166663</v>
      </c>
      <c r="E256">
        <v>8</v>
      </c>
      <c r="F256" t="s">
        <v>15</v>
      </c>
    </row>
    <row r="257" spans="1:6">
      <c r="A257">
        <v>976111</v>
      </c>
      <c r="B257">
        <v>3</v>
      </c>
      <c r="C257">
        <v>1</v>
      </c>
      <c r="D257" s="32">
        <v>43065.039571759262</v>
      </c>
      <c r="E257">
        <v>7</v>
      </c>
      <c r="F257" t="s">
        <v>15</v>
      </c>
    </row>
    <row r="258" spans="1:6">
      <c r="A258">
        <v>111532</v>
      </c>
      <c r="B258">
        <v>3</v>
      </c>
      <c r="C258">
        <v>1</v>
      </c>
      <c r="D258" s="32">
        <v>43068.271006944444</v>
      </c>
      <c r="E258">
        <v>4</v>
      </c>
      <c r="F258" t="s">
        <v>15</v>
      </c>
    </row>
    <row r="259" spans="1:6">
      <c r="A259">
        <v>1005695</v>
      </c>
      <c r="B259">
        <v>3</v>
      </c>
      <c r="C259">
        <v>1</v>
      </c>
      <c r="D259" s="32">
        <v>43064.538182870368</v>
      </c>
      <c r="E259">
        <v>8</v>
      </c>
      <c r="F259" t="s">
        <v>15</v>
      </c>
    </row>
    <row r="260" spans="1:6">
      <c r="A260">
        <v>879606</v>
      </c>
      <c r="B260">
        <v>3</v>
      </c>
      <c r="C260">
        <v>1</v>
      </c>
      <c r="D260" s="32">
        <v>43067.621446759258</v>
      </c>
      <c r="E260">
        <v>5</v>
      </c>
      <c r="F260" t="s">
        <v>15</v>
      </c>
    </row>
    <row r="261" spans="1:6">
      <c r="A261">
        <v>161885</v>
      </c>
      <c r="B261">
        <v>3</v>
      </c>
      <c r="C261">
        <v>1</v>
      </c>
      <c r="D261" s="32">
        <v>43066.627199074072</v>
      </c>
      <c r="E261">
        <v>6</v>
      </c>
      <c r="F261" t="s">
        <v>15</v>
      </c>
    </row>
    <row r="262" spans="1:6">
      <c r="A262">
        <v>221479</v>
      </c>
      <c r="B262">
        <v>3</v>
      </c>
      <c r="C262">
        <v>1</v>
      </c>
      <c r="D262" s="32">
        <v>43069.251087962963</v>
      </c>
      <c r="E262">
        <v>3</v>
      </c>
      <c r="F262" t="s">
        <v>15</v>
      </c>
    </row>
    <row r="263" spans="1:6">
      <c r="A263">
        <v>534378</v>
      </c>
      <c r="B263">
        <v>3</v>
      </c>
      <c r="C263">
        <v>1</v>
      </c>
      <c r="D263" s="32">
        <v>43066.27175925926</v>
      </c>
      <c r="E263">
        <v>6</v>
      </c>
      <c r="F263" t="s">
        <v>15</v>
      </c>
    </row>
    <row r="264" spans="1:6">
      <c r="A264">
        <v>426313</v>
      </c>
      <c r="B264">
        <v>3</v>
      </c>
      <c r="C264">
        <v>1</v>
      </c>
      <c r="D264" s="32">
        <v>43066.590671296297</v>
      </c>
      <c r="E264">
        <v>6</v>
      </c>
      <c r="F264" t="s">
        <v>15</v>
      </c>
    </row>
    <row r="265" spans="1:6">
      <c r="A265">
        <v>7720</v>
      </c>
      <c r="B265">
        <v>3</v>
      </c>
      <c r="C265">
        <v>1</v>
      </c>
      <c r="D265" s="32">
        <v>43064.360289351855</v>
      </c>
      <c r="E265">
        <v>8</v>
      </c>
      <c r="F265" t="s">
        <v>15</v>
      </c>
    </row>
    <row r="266" spans="1:6">
      <c r="A266">
        <v>808198</v>
      </c>
      <c r="B266">
        <v>3</v>
      </c>
      <c r="C266">
        <v>1</v>
      </c>
      <c r="D266" s="32">
        <v>43064.537152777775</v>
      </c>
      <c r="E266">
        <v>8</v>
      </c>
      <c r="F266" t="s">
        <v>15</v>
      </c>
    </row>
    <row r="267" spans="1:6">
      <c r="A267">
        <v>419426</v>
      </c>
      <c r="B267">
        <v>3</v>
      </c>
      <c r="C267">
        <v>1</v>
      </c>
      <c r="D267" s="32">
        <v>43067.665983796294</v>
      </c>
      <c r="E267">
        <v>5</v>
      </c>
      <c r="F267" t="s">
        <v>15</v>
      </c>
    </row>
    <row r="268" spans="1:6">
      <c r="A268">
        <v>458374</v>
      </c>
      <c r="B268">
        <v>3</v>
      </c>
      <c r="C268">
        <v>1</v>
      </c>
      <c r="D268" s="32">
        <v>43068.506145833337</v>
      </c>
      <c r="E268">
        <v>4</v>
      </c>
      <c r="F268" t="s">
        <v>15</v>
      </c>
    </row>
    <row r="269" spans="1:6">
      <c r="A269">
        <v>565291</v>
      </c>
      <c r="B269">
        <v>3</v>
      </c>
      <c r="C269">
        <v>1</v>
      </c>
      <c r="D269" s="32">
        <v>43064.258240740739</v>
      </c>
      <c r="E269">
        <v>8</v>
      </c>
      <c r="F269" t="s">
        <v>15</v>
      </c>
    </row>
    <row r="270" spans="1:6">
      <c r="A270">
        <v>824727</v>
      </c>
      <c r="B270">
        <v>3</v>
      </c>
      <c r="C270">
        <v>1</v>
      </c>
      <c r="D270" s="32">
        <v>43066.536249999997</v>
      </c>
      <c r="E270">
        <v>6</v>
      </c>
      <c r="F270" t="s">
        <v>15</v>
      </c>
    </row>
    <row r="271" spans="1:6">
      <c r="A271">
        <v>503675</v>
      </c>
      <c r="B271">
        <v>3</v>
      </c>
      <c r="C271">
        <v>1</v>
      </c>
      <c r="D271" s="32">
        <v>43064.090231481481</v>
      </c>
      <c r="E271">
        <v>8</v>
      </c>
      <c r="F271" t="s">
        <v>15</v>
      </c>
    </row>
    <row r="272" spans="1:6">
      <c r="A272">
        <v>244690</v>
      </c>
      <c r="B272">
        <v>3</v>
      </c>
      <c r="C272">
        <v>1</v>
      </c>
      <c r="D272" s="32">
        <v>43066.43545138889</v>
      </c>
      <c r="E272">
        <v>6</v>
      </c>
      <c r="F272" t="s">
        <v>15</v>
      </c>
    </row>
    <row r="273" spans="1:6">
      <c r="A273">
        <v>356507</v>
      </c>
      <c r="B273">
        <v>3</v>
      </c>
      <c r="C273">
        <v>1</v>
      </c>
      <c r="D273" s="32">
        <v>43064.050324074073</v>
      </c>
      <c r="E273">
        <v>8</v>
      </c>
      <c r="F273" t="s">
        <v>15</v>
      </c>
    </row>
    <row r="274" spans="1:6">
      <c r="A274">
        <v>491995</v>
      </c>
      <c r="B274">
        <v>3</v>
      </c>
      <c r="C274">
        <v>1</v>
      </c>
      <c r="D274" s="32">
        <v>43065.281365740739</v>
      </c>
      <c r="E274">
        <v>7</v>
      </c>
      <c r="F274" t="s">
        <v>15</v>
      </c>
    </row>
    <row r="275" spans="1:6">
      <c r="A275">
        <v>567076</v>
      </c>
      <c r="B275">
        <v>3</v>
      </c>
      <c r="C275">
        <v>1</v>
      </c>
      <c r="D275" s="32">
        <v>43068.210138888891</v>
      </c>
      <c r="E275">
        <v>4</v>
      </c>
      <c r="F275" t="s">
        <v>15</v>
      </c>
    </row>
    <row r="276" spans="1:6">
      <c r="A276">
        <v>343472</v>
      </c>
      <c r="B276">
        <v>3</v>
      </c>
      <c r="C276">
        <v>2</v>
      </c>
      <c r="D276" s="32">
        <v>43068.646597222221</v>
      </c>
      <c r="E276">
        <v>4</v>
      </c>
      <c r="F276" t="s">
        <v>15</v>
      </c>
    </row>
    <row r="277" spans="1:6">
      <c r="A277">
        <v>755953</v>
      </c>
      <c r="B277">
        <v>3</v>
      </c>
      <c r="C277">
        <v>1</v>
      </c>
      <c r="D277" s="32">
        <v>43067.606087962966</v>
      </c>
      <c r="E277">
        <v>5</v>
      </c>
      <c r="F277" t="s">
        <v>15</v>
      </c>
    </row>
    <row r="278" spans="1:6">
      <c r="A278">
        <v>948587</v>
      </c>
      <c r="B278">
        <v>3</v>
      </c>
      <c r="C278">
        <v>1</v>
      </c>
      <c r="D278" s="32">
        <v>43065.191689814812</v>
      </c>
      <c r="E278">
        <v>7</v>
      </c>
      <c r="F278" t="s">
        <v>15</v>
      </c>
    </row>
    <row r="279" spans="1:6">
      <c r="A279">
        <v>608810</v>
      </c>
      <c r="B279">
        <v>3</v>
      </c>
      <c r="C279">
        <v>1</v>
      </c>
      <c r="D279" s="32">
        <v>43068.403229166666</v>
      </c>
      <c r="E279">
        <v>4</v>
      </c>
      <c r="F279" t="s">
        <v>15</v>
      </c>
    </row>
    <row r="280" spans="1:6">
      <c r="A280">
        <v>1004584</v>
      </c>
      <c r="B280">
        <v>3</v>
      </c>
      <c r="C280">
        <v>1</v>
      </c>
      <c r="D280" s="32">
        <v>43065.153379629628</v>
      </c>
      <c r="E280">
        <v>7</v>
      </c>
      <c r="F280" t="s">
        <v>15</v>
      </c>
    </row>
    <row r="281" spans="1:6">
      <c r="A281">
        <v>540463</v>
      </c>
      <c r="B281">
        <v>3</v>
      </c>
      <c r="C281">
        <v>1</v>
      </c>
      <c r="D281" s="32">
        <v>43065.825567129628</v>
      </c>
      <c r="E281">
        <v>7</v>
      </c>
      <c r="F281" t="s">
        <v>15</v>
      </c>
    </row>
    <row r="282" spans="1:6">
      <c r="A282">
        <v>784871</v>
      </c>
      <c r="B282">
        <v>3</v>
      </c>
      <c r="C282">
        <v>1</v>
      </c>
      <c r="D282" s="32">
        <v>43064.664074074077</v>
      </c>
      <c r="E282">
        <v>8</v>
      </c>
      <c r="F282" t="s">
        <v>15</v>
      </c>
    </row>
    <row r="283" spans="1:6">
      <c r="A283">
        <v>68917</v>
      </c>
      <c r="B283">
        <v>3</v>
      </c>
      <c r="C283">
        <v>1</v>
      </c>
      <c r="D283" s="32">
        <v>43068.537372685183</v>
      </c>
      <c r="E283">
        <v>4</v>
      </c>
      <c r="F283" t="s">
        <v>15</v>
      </c>
    </row>
    <row r="284" spans="1:6">
      <c r="A284">
        <v>24712</v>
      </c>
      <c r="B284">
        <v>3</v>
      </c>
      <c r="C284">
        <v>1</v>
      </c>
      <c r="D284" s="32">
        <v>43067.459178240744</v>
      </c>
      <c r="E284">
        <v>5</v>
      </c>
      <c r="F284" t="s">
        <v>15</v>
      </c>
    </row>
    <row r="285" spans="1:6">
      <c r="A285">
        <v>48517</v>
      </c>
      <c r="B285">
        <v>3</v>
      </c>
      <c r="C285">
        <v>1</v>
      </c>
      <c r="D285" s="32">
        <v>43066.340983796297</v>
      </c>
      <c r="E285">
        <v>6</v>
      </c>
      <c r="F285" t="s">
        <v>15</v>
      </c>
    </row>
    <row r="286" spans="1:6">
      <c r="A286">
        <v>793124</v>
      </c>
      <c r="B286">
        <v>3</v>
      </c>
      <c r="C286">
        <v>1</v>
      </c>
      <c r="D286" s="32">
        <v>43064.603252314817</v>
      </c>
      <c r="E286">
        <v>8</v>
      </c>
      <c r="F286" t="s">
        <v>15</v>
      </c>
    </row>
    <row r="287" spans="1:6">
      <c r="A287">
        <v>949782</v>
      </c>
      <c r="B287">
        <v>3</v>
      </c>
      <c r="C287">
        <v>1</v>
      </c>
      <c r="D287" s="32">
        <v>43067.47016203704</v>
      </c>
      <c r="E287">
        <v>5</v>
      </c>
      <c r="F287" t="s">
        <v>15</v>
      </c>
    </row>
    <row r="288" spans="1:6">
      <c r="A288">
        <v>151072</v>
      </c>
      <c r="B288">
        <v>3</v>
      </c>
      <c r="C288">
        <v>2</v>
      </c>
      <c r="D288" s="32">
        <v>43068.578472222223</v>
      </c>
      <c r="E288">
        <v>4</v>
      </c>
      <c r="F288" t="s">
        <v>15</v>
      </c>
    </row>
    <row r="289" spans="1:6">
      <c r="A289">
        <v>762214</v>
      </c>
      <c r="B289">
        <v>3</v>
      </c>
      <c r="C289">
        <v>1</v>
      </c>
      <c r="D289" s="32">
        <v>43065.589930555558</v>
      </c>
      <c r="E289">
        <v>7</v>
      </c>
      <c r="F289" t="s">
        <v>15</v>
      </c>
    </row>
    <row r="290" spans="1:6">
      <c r="A290">
        <v>724861</v>
      </c>
      <c r="B290">
        <v>3</v>
      </c>
      <c r="C290">
        <v>1</v>
      </c>
      <c r="D290" s="32">
        <v>43068.63177083333</v>
      </c>
      <c r="E290">
        <v>4</v>
      </c>
      <c r="F290" t="s">
        <v>15</v>
      </c>
    </row>
    <row r="291" spans="1:6">
      <c r="A291">
        <v>732120</v>
      </c>
      <c r="B291">
        <v>3</v>
      </c>
      <c r="C291">
        <v>1</v>
      </c>
      <c r="D291" s="32">
        <v>43067.428726851853</v>
      </c>
      <c r="E291">
        <v>5</v>
      </c>
      <c r="F291" t="s">
        <v>15</v>
      </c>
    </row>
    <row r="292" spans="1:6">
      <c r="A292">
        <v>36027</v>
      </c>
      <c r="B292">
        <v>3</v>
      </c>
      <c r="C292">
        <v>1</v>
      </c>
      <c r="D292" s="32">
        <v>43067.289479166669</v>
      </c>
      <c r="E292">
        <v>5</v>
      </c>
      <c r="F292" t="s">
        <v>15</v>
      </c>
    </row>
    <row r="293" spans="1:6">
      <c r="A293">
        <v>135584</v>
      </c>
      <c r="B293">
        <v>3</v>
      </c>
      <c r="C293">
        <v>1</v>
      </c>
      <c r="D293" s="32">
        <v>43069.280185185184</v>
      </c>
      <c r="E293">
        <v>3</v>
      </c>
      <c r="F293" t="s">
        <v>15</v>
      </c>
    </row>
    <row r="294" spans="1:6">
      <c r="A294">
        <v>443151</v>
      </c>
      <c r="B294">
        <v>3</v>
      </c>
      <c r="C294">
        <v>1</v>
      </c>
      <c r="D294" s="32">
        <v>43065.460914351854</v>
      </c>
      <c r="E294">
        <v>7</v>
      </c>
      <c r="F294" t="s">
        <v>15</v>
      </c>
    </row>
    <row r="295" spans="1:6">
      <c r="A295">
        <v>873341</v>
      </c>
      <c r="B295">
        <v>3</v>
      </c>
      <c r="C295">
        <v>1</v>
      </c>
      <c r="D295" s="32">
        <v>43069.40247685185</v>
      </c>
      <c r="E295">
        <v>3</v>
      </c>
      <c r="F295" t="s">
        <v>15</v>
      </c>
    </row>
    <row r="296" spans="1:6">
      <c r="A296">
        <v>647976</v>
      </c>
      <c r="B296">
        <v>3</v>
      </c>
      <c r="C296">
        <v>2</v>
      </c>
      <c r="D296" s="32">
        <v>43067.137453703705</v>
      </c>
      <c r="E296">
        <v>5</v>
      </c>
      <c r="F296" t="s">
        <v>15</v>
      </c>
    </row>
    <row r="297" spans="1:6">
      <c r="A297">
        <v>678163</v>
      </c>
      <c r="B297">
        <v>3</v>
      </c>
      <c r="C297">
        <v>2</v>
      </c>
      <c r="D297" s="32">
        <v>43065.608391203707</v>
      </c>
      <c r="E297">
        <v>7</v>
      </c>
      <c r="F297" t="s">
        <v>15</v>
      </c>
    </row>
    <row r="298" spans="1:6">
      <c r="A298">
        <v>789069</v>
      </c>
      <c r="B298">
        <v>3</v>
      </c>
      <c r="C298">
        <v>1</v>
      </c>
      <c r="D298" s="32">
        <v>43066.554976851854</v>
      </c>
      <c r="E298">
        <v>6</v>
      </c>
      <c r="F298" t="s">
        <v>15</v>
      </c>
    </row>
    <row r="299" spans="1:6">
      <c r="A299">
        <v>856848</v>
      </c>
      <c r="B299">
        <v>3</v>
      </c>
      <c r="C299">
        <v>1</v>
      </c>
      <c r="D299" s="32">
        <v>43068.557118055556</v>
      </c>
      <c r="E299">
        <v>4</v>
      </c>
      <c r="F299" t="s">
        <v>15</v>
      </c>
    </row>
    <row r="300" spans="1:6">
      <c r="A300">
        <v>519083</v>
      </c>
      <c r="B300">
        <v>3</v>
      </c>
      <c r="C300">
        <v>2</v>
      </c>
      <c r="D300" s="32">
        <v>43065.4296875</v>
      </c>
      <c r="E300">
        <v>7</v>
      </c>
      <c r="F300" t="s">
        <v>15</v>
      </c>
    </row>
    <row r="301" spans="1:6">
      <c r="A301">
        <v>430955</v>
      </c>
      <c r="B301">
        <v>3</v>
      </c>
      <c r="C301">
        <v>2</v>
      </c>
      <c r="D301" s="32">
        <v>43069.03707175926</v>
      </c>
      <c r="E301">
        <v>3</v>
      </c>
      <c r="F301" t="s">
        <v>15</v>
      </c>
    </row>
    <row r="302" spans="1:6">
      <c r="A302">
        <v>725062</v>
      </c>
      <c r="B302">
        <v>3</v>
      </c>
      <c r="C302">
        <v>1</v>
      </c>
      <c r="D302" s="32">
        <v>43069.313206018516</v>
      </c>
      <c r="E302">
        <v>3</v>
      </c>
      <c r="F302" t="s">
        <v>15</v>
      </c>
    </row>
    <row r="303" spans="1:6">
      <c r="A303">
        <v>586203</v>
      </c>
      <c r="B303">
        <v>3</v>
      </c>
      <c r="C303">
        <v>1</v>
      </c>
      <c r="D303" s="32">
        <v>43068.500543981485</v>
      </c>
      <c r="E303">
        <v>4</v>
      </c>
      <c r="F303" t="s">
        <v>15</v>
      </c>
    </row>
    <row r="304" spans="1:6">
      <c r="A304">
        <v>272976</v>
      </c>
      <c r="B304">
        <v>3</v>
      </c>
      <c r="C304">
        <v>1</v>
      </c>
      <c r="D304" s="32">
        <v>43065.149247685185</v>
      </c>
      <c r="E304">
        <v>7</v>
      </c>
      <c r="F304" t="s">
        <v>15</v>
      </c>
    </row>
    <row r="305" spans="1:6">
      <c r="A305">
        <v>334949</v>
      </c>
      <c r="B305">
        <v>3</v>
      </c>
      <c r="C305">
        <v>1</v>
      </c>
      <c r="D305" s="32">
        <v>43067.075219907405</v>
      </c>
      <c r="E305">
        <v>5</v>
      </c>
      <c r="F305" t="s">
        <v>15</v>
      </c>
    </row>
    <row r="306" spans="1:6">
      <c r="A306">
        <v>25849</v>
      </c>
      <c r="B306">
        <v>3</v>
      </c>
      <c r="C306">
        <v>1</v>
      </c>
      <c r="D306" s="32">
        <v>43067.007465277777</v>
      </c>
      <c r="E306">
        <v>5</v>
      </c>
      <c r="F306" t="s">
        <v>15</v>
      </c>
    </row>
    <row r="307" spans="1:6">
      <c r="A307">
        <v>649310</v>
      </c>
      <c r="B307">
        <v>3</v>
      </c>
      <c r="C307">
        <v>1</v>
      </c>
      <c r="D307" s="32">
        <v>43065.669282407405</v>
      </c>
      <c r="E307">
        <v>7</v>
      </c>
      <c r="F307" t="s">
        <v>15</v>
      </c>
    </row>
    <row r="308" spans="1:6">
      <c r="A308">
        <v>220761</v>
      </c>
      <c r="B308">
        <v>3</v>
      </c>
      <c r="C308">
        <v>1</v>
      </c>
      <c r="D308" s="32">
        <v>43064.588275462964</v>
      </c>
      <c r="E308">
        <v>8</v>
      </c>
      <c r="F308" t="s">
        <v>15</v>
      </c>
    </row>
    <row r="309" spans="1:6">
      <c r="A309">
        <v>529878</v>
      </c>
      <c r="B309">
        <v>3</v>
      </c>
      <c r="C309">
        <v>1</v>
      </c>
      <c r="D309" s="32">
        <v>43067.118344907409</v>
      </c>
      <c r="E309">
        <v>5</v>
      </c>
      <c r="F309" t="s">
        <v>15</v>
      </c>
    </row>
    <row r="310" spans="1:6">
      <c r="A310">
        <v>514589</v>
      </c>
      <c r="B310">
        <v>3</v>
      </c>
      <c r="C310">
        <v>2</v>
      </c>
      <c r="D310" s="32">
        <v>43064.502893518518</v>
      </c>
      <c r="E310">
        <v>8</v>
      </c>
      <c r="F310" t="s">
        <v>15</v>
      </c>
    </row>
    <row r="311" spans="1:6">
      <c r="A311">
        <v>87540</v>
      </c>
      <c r="B311">
        <v>3</v>
      </c>
      <c r="C311">
        <v>1</v>
      </c>
      <c r="D311" s="32">
        <v>43065.382523148146</v>
      </c>
      <c r="E311">
        <v>7</v>
      </c>
      <c r="F311" t="s">
        <v>15</v>
      </c>
    </row>
    <row r="312" spans="1:6">
      <c r="A312">
        <v>493230</v>
      </c>
      <c r="B312">
        <v>3</v>
      </c>
      <c r="C312">
        <v>1</v>
      </c>
      <c r="D312" s="32">
        <v>43064.118379629632</v>
      </c>
      <c r="E312">
        <v>8</v>
      </c>
      <c r="F312" t="s">
        <v>15</v>
      </c>
    </row>
    <row r="313" spans="1:6">
      <c r="A313">
        <v>347447</v>
      </c>
      <c r="B313">
        <v>3</v>
      </c>
      <c r="C313">
        <v>1</v>
      </c>
      <c r="D313" s="32">
        <v>43065.096041666664</v>
      </c>
      <c r="E313">
        <v>7</v>
      </c>
      <c r="F313" t="s">
        <v>15</v>
      </c>
    </row>
    <row r="314" spans="1:6">
      <c r="A314">
        <v>706948</v>
      </c>
      <c r="B314">
        <v>3</v>
      </c>
      <c r="C314">
        <v>1</v>
      </c>
      <c r="D314" s="32">
        <v>43067.142199074071</v>
      </c>
      <c r="E314">
        <v>5</v>
      </c>
      <c r="F314" t="s">
        <v>15</v>
      </c>
    </row>
    <row r="315" spans="1:6">
      <c r="A315">
        <v>887927</v>
      </c>
      <c r="B315">
        <v>3</v>
      </c>
      <c r="C315">
        <v>1</v>
      </c>
      <c r="D315" s="32">
        <v>43068.060046296298</v>
      </c>
      <c r="E315">
        <v>4</v>
      </c>
      <c r="F315" t="s">
        <v>15</v>
      </c>
    </row>
    <row r="316" spans="1:6">
      <c r="A316">
        <v>137122</v>
      </c>
      <c r="B316">
        <v>3</v>
      </c>
      <c r="C316">
        <v>2</v>
      </c>
      <c r="D316" s="32">
        <v>43067.171712962961</v>
      </c>
      <c r="E316">
        <v>5</v>
      </c>
      <c r="F316" t="s">
        <v>15</v>
      </c>
    </row>
    <row r="317" spans="1:6">
      <c r="A317">
        <v>704491</v>
      </c>
      <c r="B317">
        <v>3</v>
      </c>
      <c r="C317">
        <v>2</v>
      </c>
      <c r="D317" s="32">
        <v>43067.243645833332</v>
      </c>
      <c r="E317">
        <v>5</v>
      </c>
      <c r="F317" t="s">
        <v>15</v>
      </c>
    </row>
    <row r="318" spans="1:6">
      <c r="A318">
        <v>711081</v>
      </c>
      <c r="B318">
        <v>3</v>
      </c>
      <c r="C318">
        <v>1</v>
      </c>
      <c r="D318" s="32">
        <v>43065.332303240742</v>
      </c>
      <c r="E318">
        <v>7</v>
      </c>
      <c r="F318" t="s">
        <v>15</v>
      </c>
    </row>
    <row r="319" spans="1:6">
      <c r="A319">
        <v>580096</v>
      </c>
      <c r="B319">
        <v>3</v>
      </c>
      <c r="C319">
        <v>1</v>
      </c>
      <c r="D319" s="32">
        <v>43066.163935185185</v>
      </c>
      <c r="E319">
        <v>6</v>
      </c>
      <c r="F319" t="s">
        <v>15</v>
      </c>
    </row>
    <row r="320" spans="1:6">
      <c r="A320">
        <v>237332</v>
      </c>
      <c r="B320">
        <v>3</v>
      </c>
      <c r="C320">
        <v>1</v>
      </c>
      <c r="D320" s="32">
        <v>43067.379317129627</v>
      </c>
      <c r="E320">
        <v>5</v>
      </c>
      <c r="F320" t="s">
        <v>15</v>
      </c>
    </row>
    <row r="321" spans="1:6">
      <c r="A321">
        <v>991480</v>
      </c>
      <c r="B321">
        <v>3</v>
      </c>
      <c r="C321">
        <v>2</v>
      </c>
      <c r="D321" s="32">
        <v>43068.091793981483</v>
      </c>
      <c r="E321">
        <v>4</v>
      </c>
      <c r="F321" t="s">
        <v>15</v>
      </c>
    </row>
    <row r="322" spans="1:6">
      <c r="A322">
        <v>746462</v>
      </c>
      <c r="B322">
        <v>3</v>
      </c>
      <c r="C322">
        <v>1</v>
      </c>
      <c r="D322" s="32">
        <v>43066.027384259258</v>
      </c>
      <c r="E322">
        <v>6</v>
      </c>
      <c r="F322" t="s">
        <v>15</v>
      </c>
    </row>
    <row r="323" spans="1:6">
      <c r="A323">
        <v>238015</v>
      </c>
      <c r="B323">
        <v>3</v>
      </c>
      <c r="C323">
        <v>1</v>
      </c>
      <c r="D323" s="32">
        <v>43066.999398148146</v>
      </c>
      <c r="E323">
        <v>6</v>
      </c>
      <c r="F323" t="s">
        <v>15</v>
      </c>
    </row>
    <row r="324" spans="1:6">
      <c r="A324">
        <v>96536</v>
      </c>
      <c r="B324">
        <v>3</v>
      </c>
      <c r="C324">
        <v>1</v>
      </c>
      <c r="D324" s="32">
        <v>43064.092256944445</v>
      </c>
      <c r="E324">
        <v>8</v>
      </c>
      <c r="F324" t="s">
        <v>15</v>
      </c>
    </row>
    <row r="325" spans="1:6">
      <c r="A325">
        <v>186856</v>
      </c>
      <c r="B325">
        <v>3</v>
      </c>
      <c r="C325">
        <v>2</v>
      </c>
      <c r="D325" s="32">
        <v>43065.306273148148</v>
      </c>
      <c r="E325">
        <v>7</v>
      </c>
      <c r="F325" t="s">
        <v>15</v>
      </c>
    </row>
    <row r="326" spans="1:6">
      <c r="A326">
        <v>665568</v>
      </c>
      <c r="B326">
        <v>3</v>
      </c>
      <c r="C326">
        <v>1</v>
      </c>
      <c r="D326" s="32">
        <v>43066.635393518518</v>
      </c>
      <c r="E326">
        <v>6</v>
      </c>
      <c r="F326" t="s">
        <v>15</v>
      </c>
    </row>
    <row r="327" spans="1:6">
      <c r="A327">
        <v>680712</v>
      </c>
      <c r="B327">
        <v>3</v>
      </c>
      <c r="C327">
        <v>2</v>
      </c>
      <c r="D327" s="32">
        <v>43068.164710648147</v>
      </c>
      <c r="E327">
        <v>4</v>
      </c>
      <c r="F327" t="s">
        <v>15</v>
      </c>
    </row>
    <row r="328" spans="1:6">
      <c r="A328">
        <v>514776</v>
      </c>
      <c r="B328">
        <v>3</v>
      </c>
      <c r="C328">
        <v>1</v>
      </c>
      <c r="D328" s="32">
        <v>43064.679386574076</v>
      </c>
      <c r="E328">
        <v>8</v>
      </c>
      <c r="F328" t="s">
        <v>15</v>
      </c>
    </row>
    <row r="329" spans="1:6">
      <c r="A329">
        <v>935047</v>
      </c>
      <c r="B329">
        <v>3</v>
      </c>
      <c r="C329">
        <v>1</v>
      </c>
      <c r="D329" s="32">
        <v>43067.331099537034</v>
      </c>
      <c r="E329">
        <v>5</v>
      </c>
      <c r="F329" t="s">
        <v>15</v>
      </c>
    </row>
    <row r="330" spans="1:6">
      <c r="A330">
        <v>538763</v>
      </c>
      <c r="B330">
        <v>3</v>
      </c>
      <c r="C330">
        <v>1</v>
      </c>
      <c r="D330" s="32">
        <v>43067.304085648146</v>
      </c>
      <c r="E330">
        <v>5</v>
      </c>
      <c r="F330" t="s">
        <v>15</v>
      </c>
    </row>
    <row r="331" spans="1:6">
      <c r="A331">
        <v>57201</v>
      </c>
      <c r="B331">
        <v>3</v>
      </c>
      <c r="C331">
        <v>1</v>
      </c>
      <c r="D331" s="32">
        <v>43069.632824074077</v>
      </c>
      <c r="E331">
        <v>3</v>
      </c>
      <c r="F331" t="s">
        <v>15</v>
      </c>
    </row>
    <row r="332" spans="1:6">
      <c r="A332">
        <v>148991</v>
      </c>
      <c r="B332">
        <v>3</v>
      </c>
      <c r="C332">
        <v>1</v>
      </c>
      <c r="D332" s="32">
        <v>43068.429502314815</v>
      </c>
      <c r="E332">
        <v>4</v>
      </c>
      <c r="F332" t="s">
        <v>15</v>
      </c>
    </row>
    <row r="333" spans="1:6">
      <c r="A333">
        <v>742176</v>
      </c>
      <c r="B333">
        <v>3</v>
      </c>
      <c r="C333">
        <v>1</v>
      </c>
      <c r="D333" s="32">
        <v>43066.557893518519</v>
      </c>
      <c r="E333">
        <v>6</v>
      </c>
      <c r="F333" t="s">
        <v>15</v>
      </c>
    </row>
    <row r="334" spans="1:6">
      <c r="A334">
        <v>157647</v>
      </c>
      <c r="B334">
        <v>3</v>
      </c>
      <c r="C334">
        <v>1</v>
      </c>
      <c r="D334" s="32">
        <v>43065.130706018521</v>
      </c>
      <c r="E334">
        <v>7</v>
      </c>
      <c r="F334" t="s">
        <v>15</v>
      </c>
    </row>
    <row r="335" spans="1:6">
      <c r="A335">
        <v>436774</v>
      </c>
      <c r="B335">
        <v>3</v>
      </c>
      <c r="C335">
        <v>1</v>
      </c>
      <c r="D335" s="32">
        <v>43064.642094907409</v>
      </c>
      <c r="E335">
        <v>8</v>
      </c>
      <c r="F335" t="s">
        <v>15</v>
      </c>
    </row>
    <row r="336" spans="1:6">
      <c r="A336">
        <v>56775</v>
      </c>
      <c r="B336">
        <v>3</v>
      </c>
      <c r="C336">
        <v>1</v>
      </c>
      <c r="D336" s="32">
        <v>43069.542824074073</v>
      </c>
      <c r="E336">
        <v>3</v>
      </c>
      <c r="F336" t="s">
        <v>15</v>
      </c>
    </row>
    <row r="337" spans="1:6">
      <c r="A337">
        <v>335051</v>
      </c>
      <c r="B337">
        <v>3</v>
      </c>
      <c r="C337">
        <v>1</v>
      </c>
      <c r="D337" s="32">
        <v>43064.269641203704</v>
      </c>
      <c r="E337">
        <v>8</v>
      </c>
      <c r="F337" t="s">
        <v>15</v>
      </c>
    </row>
    <row r="338" spans="1:6">
      <c r="A338">
        <v>199956</v>
      </c>
      <c r="B338">
        <v>3</v>
      </c>
      <c r="C338">
        <v>1</v>
      </c>
      <c r="D338" s="32">
        <v>43067.12908564815</v>
      </c>
      <c r="E338">
        <v>5</v>
      </c>
      <c r="F338" t="s">
        <v>15</v>
      </c>
    </row>
    <row r="339" spans="1:6">
      <c r="A339">
        <v>970251</v>
      </c>
      <c r="B339">
        <v>3</v>
      </c>
      <c r="C339">
        <v>1</v>
      </c>
      <c r="D339" s="32">
        <v>43064.354444444441</v>
      </c>
      <c r="E339">
        <v>8</v>
      </c>
      <c r="F339" t="s">
        <v>15</v>
      </c>
    </row>
    <row r="340" spans="1:6">
      <c r="A340">
        <v>969558</v>
      </c>
      <c r="B340">
        <v>3</v>
      </c>
      <c r="C340">
        <v>1</v>
      </c>
      <c r="D340" s="32">
        <v>43069.496712962966</v>
      </c>
      <c r="E340">
        <v>3</v>
      </c>
      <c r="F340" t="s">
        <v>15</v>
      </c>
    </row>
    <row r="341" spans="1:6">
      <c r="A341">
        <v>594737</v>
      </c>
      <c r="B341">
        <v>3</v>
      </c>
      <c r="C341">
        <v>2</v>
      </c>
      <c r="D341" s="32">
        <v>43066.325983796298</v>
      </c>
      <c r="E341">
        <v>6</v>
      </c>
      <c r="F341" t="s">
        <v>15</v>
      </c>
    </row>
    <row r="342" spans="1:6">
      <c r="A342">
        <v>982672</v>
      </c>
      <c r="B342">
        <v>3</v>
      </c>
      <c r="C342">
        <v>1</v>
      </c>
      <c r="D342" s="32">
        <v>43065.354849537034</v>
      </c>
      <c r="E342">
        <v>7</v>
      </c>
      <c r="F342" t="s">
        <v>15</v>
      </c>
    </row>
    <row r="343" spans="1:6">
      <c r="A343">
        <v>808518</v>
      </c>
      <c r="B343">
        <v>3</v>
      </c>
      <c r="C343">
        <v>1</v>
      </c>
      <c r="D343" s="32">
        <v>43069.245972222219</v>
      </c>
      <c r="E343">
        <v>3</v>
      </c>
      <c r="F343" t="s">
        <v>15</v>
      </c>
    </row>
    <row r="344" spans="1:6">
      <c r="A344">
        <v>949668</v>
      </c>
      <c r="B344">
        <v>3</v>
      </c>
      <c r="C344">
        <v>2</v>
      </c>
      <c r="D344" s="32">
        <v>43064.130428240744</v>
      </c>
      <c r="E344">
        <v>8</v>
      </c>
      <c r="F344" t="s">
        <v>15</v>
      </c>
    </row>
    <row r="345" spans="1:6">
      <c r="A345">
        <v>447536</v>
      </c>
      <c r="B345">
        <v>3</v>
      </c>
      <c r="C345">
        <v>1</v>
      </c>
      <c r="D345" s="32">
        <v>43068.622847222221</v>
      </c>
      <c r="E345">
        <v>4</v>
      </c>
      <c r="F345" t="s">
        <v>15</v>
      </c>
    </row>
    <row r="346" spans="1:6">
      <c r="A346">
        <v>978955</v>
      </c>
      <c r="B346">
        <v>3</v>
      </c>
      <c r="C346">
        <v>1</v>
      </c>
      <c r="D346" s="32">
        <v>43067.520011574074</v>
      </c>
      <c r="E346">
        <v>5</v>
      </c>
      <c r="F346" t="s">
        <v>15</v>
      </c>
    </row>
    <row r="347" spans="1:6">
      <c r="A347">
        <v>730043</v>
      </c>
      <c r="B347">
        <v>3</v>
      </c>
      <c r="C347">
        <v>1</v>
      </c>
      <c r="D347" s="32">
        <v>43064.38177083333</v>
      </c>
      <c r="E347">
        <v>8</v>
      </c>
      <c r="F347" t="s">
        <v>15</v>
      </c>
    </row>
    <row r="348" spans="1:6">
      <c r="A348">
        <v>850317</v>
      </c>
      <c r="B348">
        <v>3</v>
      </c>
      <c r="C348">
        <v>2</v>
      </c>
      <c r="D348" s="32">
        <v>43068.549386574072</v>
      </c>
      <c r="E348">
        <v>4</v>
      </c>
      <c r="F348" t="s">
        <v>15</v>
      </c>
    </row>
    <row r="349" spans="1:6">
      <c r="A349">
        <v>379933</v>
      </c>
      <c r="B349">
        <v>3</v>
      </c>
      <c r="C349">
        <v>1</v>
      </c>
      <c r="D349" s="32">
        <v>43069.465312499997</v>
      </c>
      <c r="E349">
        <v>3</v>
      </c>
      <c r="F349" t="s">
        <v>15</v>
      </c>
    </row>
    <row r="350" spans="1:6">
      <c r="A350">
        <v>612439</v>
      </c>
      <c r="B350">
        <v>3</v>
      </c>
      <c r="C350">
        <v>1</v>
      </c>
      <c r="D350" s="32">
        <v>43066.531736111108</v>
      </c>
      <c r="E350">
        <v>6</v>
      </c>
      <c r="F350" t="s">
        <v>15</v>
      </c>
    </row>
    <row r="351" spans="1:6">
      <c r="A351">
        <v>794481</v>
      </c>
      <c r="B351">
        <v>3</v>
      </c>
      <c r="C351">
        <v>2</v>
      </c>
      <c r="D351" s="32">
        <v>43066.612557870372</v>
      </c>
      <c r="E351">
        <v>6</v>
      </c>
      <c r="F351" t="s">
        <v>15</v>
      </c>
    </row>
    <row r="352" spans="1:6">
      <c r="A352">
        <v>672566</v>
      </c>
      <c r="B352">
        <v>3</v>
      </c>
      <c r="C352">
        <v>1</v>
      </c>
      <c r="D352" s="32">
        <v>43067.14099537037</v>
      </c>
      <c r="E352">
        <v>5</v>
      </c>
      <c r="F352" t="s">
        <v>15</v>
      </c>
    </row>
    <row r="353" spans="1:6">
      <c r="A353">
        <v>766092</v>
      </c>
      <c r="B353">
        <v>3</v>
      </c>
      <c r="C353">
        <v>1</v>
      </c>
      <c r="D353" s="32">
        <v>43069.658553240741</v>
      </c>
      <c r="E353">
        <v>3</v>
      </c>
      <c r="F353" t="s">
        <v>15</v>
      </c>
    </row>
    <row r="354" spans="1:6">
      <c r="A354">
        <v>31255</v>
      </c>
      <c r="B354">
        <v>3</v>
      </c>
      <c r="C354">
        <v>1</v>
      </c>
      <c r="D354" s="32">
        <v>43065.614583333336</v>
      </c>
      <c r="E354">
        <v>7</v>
      </c>
      <c r="F354" t="s">
        <v>15</v>
      </c>
    </row>
    <row r="355" spans="1:6">
      <c r="A355">
        <v>271140</v>
      </c>
      <c r="B355">
        <v>3</v>
      </c>
      <c r="C355">
        <v>2</v>
      </c>
      <c r="D355" s="32">
        <v>43066.629803240743</v>
      </c>
      <c r="E355">
        <v>6</v>
      </c>
      <c r="F355" t="s">
        <v>15</v>
      </c>
    </row>
    <row r="356" spans="1:6">
      <c r="A356">
        <v>439274</v>
      </c>
      <c r="B356">
        <v>3</v>
      </c>
      <c r="C356">
        <v>1</v>
      </c>
      <c r="D356" s="32">
        <v>43067.606076388889</v>
      </c>
      <c r="E356">
        <v>5</v>
      </c>
      <c r="F356" t="s">
        <v>15</v>
      </c>
    </row>
    <row r="357" spans="1:6">
      <c r="A357">
        <v>741884</v>
      </c>
      <c r="B357">
        <v>3</v>
      </c>
      <c r="C357">
        <v>1</v>
      </c>
      <c r="D357" s="32">
        <v>43068.069490740738</v>
      </c>
      <c r="E357">
        <v>4</v>
      </c>
      <c r="F357" t="s">
        <v>15</v>
      </c>
    </row>
    <row r="358" spans="1:6">
      <c r="A358">
        <v>81941</v>
      </c>
      <c r="B358">
        <v>3</v>
      </c>
      <c r="C358">
        <v>1</v>
      </c>
      <c r="D358" s="32">
        <v>43065.362546296295</v>
      </c>
      <c r="E358">
        <v>7</v>
      </c>
      <c r="F358" t="s">
        <v>15</v>
      </c>
    </row>
    <row r="359" spans="1:6">
      <c r="A359">
        <v>58745</v>
      </c>
      <c r="B359">
        <v>3</v>
      </c>
      <c r="C359">
        <v>1</v>
      </c>
      <c r="D359" s="32">
        <v>43067.127372685187</v>
      </c>
      <c r="E359">
        <v>5</v>
      </c>
      <c r="F359" t="s">
        <v>15</v>
      </c>
    </row>
    <row r="360" spans="1:6">
      <c r="A360">
        <v>476759</v>
      </c>
      <c r="B360">
        <v>3</v>
      </c>
      <c r="C360">
        <v>1</v>
      </c>
      <c r="D360" s="32">
        <v>43068.314004629632</v>
      </c>
      <c r="E360">
        <v>4</v>
      </c>
      <c r="F360" t="s">
        <v>15</v>
      </c>
    </row>
    <row r="361" spans="1:6">
      <c r="A361">
        <v>499990</v>
      </c>
      <c r="B361">
        <v>3</v>
      </c>
      <c r="C361">
        <v>2</v>
      </c>
      <c r="D361" s="32">
        <v>43068.934131944443</v>
      </c>
      <c r="E361">
        <v>4</v>
      </c>
      <c r="F361" t="s">
        <v>15</v>
      </c>
    </row>
    <row r="362" spans="1:6">
      <c r="A362">
        <v>713223</v>
      </c>
      <c r="B362">
        <v>3</v>
      </c>
      <c r="C362">
        <v>1</v>
      </c>
      <c r="D362" s="32">
        <v>43069.406053240738</v>
      </c>
      <c r="E362">
        <v>3</v>
      </c>
      <c r="F362" t="s">
        <v>15</v>
      </c>
    </row>
    <row r="363" spans="1:6">
      <c r="A363">
        <v>21482</v>
      </c>
      <c r="B363">
        <v>3</v>
      </c>
      <c r="C363">
        <v>1</v>
      </c>
      <c r="D363" s="32">
        <v>43069.133599537039</v>
      </c>
      <c r="E363">
        <v>3</v>
      </c>
      <c r="F363" t="s">
        <v>15</v>
      </c>
    </row>
    <row r="364" spans="1:6">
      <c r="A364">
        <v>221615</v>
      </c>
      <c r="B364">
        <v>3</v>
      </c>
      <c r="C364">
        <v>1</v>
      </c>
      <c r="D364" s="32">
        <v>43067.539363425924</v>
      </c>
      <c r="E364">
        <v>5</v>
      </c>
      <c r="F364" t="s">
        <v>15</v>
      </c>
    </row>
    <row r="365" spans="1:6">
      <c r="A365">
        <v>271457</v>
      </c>
      <c r="B365">
        <v>3</v>
      </c>
      <c r="C365">
        <v>1</v>
      </c>
      <c r="D365" s="32">
        <v>43069.278587962966</v>
      </c>
      <c r="E365">
        <v>3</v>
      </c>
      <c r="F365" t="s">
        <v>15</v>
      </c>
    </row>
    <row r="366" spans="1:6">
      <c r="A366">
        <v>729146</v>
      </c>
      <c r="B366">
        <v>3</v>
      </c>
      <c r="C366">
        <v>1</v>
      </c>
      <c r="D366" s="32">
        <v>43068.598090277781</v>
      </c>
      <c r="E366">
        <v>4</v>
      </c>
      <c r="F366" t="s">
        <v>15</v>
      </c>
    </row>
    <row r="367" spans="1:6">
      <c r="A367">
        <v>811385</v>
      </c>
      <c r="B367">
        <v>3</v>
      </c>
      <c r="C367">
        <v>1</v>
      </c>
      <c r="D367" s="32">
        <v>43066.641712962963</v>
      </c>
      <c r="E367">
        <v>6</v>
      </c>
      <c r="F367" t="s">
        <v>15</v>
      </c>
    </row>
    <row r="368" spans="1:6">
      <c r="A368">
        <v>755532</v>
      </c>
      <c r="B368">
        <v>3</v>
      </c>
      <c r="C368">
        <v>1</v>
      </c>
      <c r="D368" s="32">
        <v>43065.564305555556</v>
      </c>
      <c r="E368">
        <v>7</v>
      </c>
      <c r="F368" t="s">
        <v>15</v>
      </c>
    </row>
    <row r="369" spans="1:6">
      <c r="A369">
        <v>247612</v>
      </c>
      <c r="B369">
        <v>3</v>
      </c>
      <c r="C369">
        <v>1</v>
      </c>
      <c r="D369" s="32">
        <v>43065.62903935185</v>
      </c>
      <c r="E369">
        <v>7</v>
      </c>
      <c r="F369" t="s">
        <v>15</v>
      </c>
    </row>
    <row r="370" spans="1:6">
      <c r="A370">
        <v>858080</v>
      </c>
      <c r="B370">
        <v>3</v>
      </c>
      <c r="C370">
        <v>1</v>
      </c>
      <c r="D370" s="32">
        <v>43068.134930555556</v>
      </c>
      <c r="E370">
        <v>4</v>
      </c>
      <c r="F370" t="s">
        <v>15</v>
      </c>
    </row>
    <row r="371" spans="1:6">
      <c r="A371">
        <v>273949</v>
      </c>
      <c r="B371">
        <v>3</v>
      </c>
      <c r="C371">
        <v>1</v>
      </c>
      <c r="D371" s="32">
        <v>43066.575636574074</v>
      </c>
      <c r="E371">
        <v>6</v>
      </c>
      <c r="F371" t="s">
        <v>15</v>
      </c>
    </row>
    <row r="372" spans="1:6">
      <c r="A372">
        <v>359385</v>
      </c>
      <c r="B372">
        <v>3</v>
      </c>
      <c r="C372">
        <v>1</v>
      </c>
      <c r="D372" s="32">
        <v>43064.100763888891</v>
      </c>
      <c r="E372">
        <v>8</v>
      </c>
      <c r="F372" t="s">
        <v>15</v>
      </c>
    </row>
    <row r="373" spans="1:6">
      <c r="A373">
        <v>930967</v>
      </c>
      <c r="B373">
        <v>3</v>
      </c>
      <c r="C373">
        <v>2</v>
      </c>
      <c r="D373" s="32">
        <v>43069.533113425925</v>
      </c>
      <c r="E373">
        <v>3</v>
      </c>
      <c r="F373" t="s">
        <v>15</v>
      </c>
    </row>
    <row r="374" spans="1:6">
      <c r="A374">
        <v>291365</v>
      </c>
      <c r="B374">
        <v>3</v>
      </c>
      <c r="C374">
        <v>1</v>
      </c>
      <c r="D374" s="32">
        <v>43068.553611111114</v>
      </c>
      <c r="E374">
        <v>4</v>
      </c>
      <c r="F374" t="s">
        <v>15</v>
      </c>
    </row>
    <row r="375" spans="1:6">
      <c r="A375">
        <v>809095</v>
      </c>
      <c r="B375">
        <v>3</v>
      </c>
      <c r="C375">
        <v>2</v>
      </c>
      <c r="D375" s="32">
        <v>43066.534085648149</v>
      </c>
      <c r="E375">
        <v>6</v>
      </c>
      <c r="F375" t="s">
        <v>15</v>
      </c>
    </row>
    <row r="376" spans="1:6">
      <c r="A376">
        <v>65300</v>
      </c>
      <c r="B376">
        <v>3</v>
      </c>
      <c r="C376">
        <v>1</v>
      </c>
      <c r="D376" s="32">
        <v>43068.345381944448</v>
      </c>
      <c r="E376">
        <v>4</v>
      </c>
      <c r="F376" t="s">
        <v>15</v>
      </c>
    </row>
    <row r="377" spans="1:6">
      <c r="A377">
        <v>458202</v>
      </c>
      <c r="B377">
        <v>3</v>
      </c>
      <c r="C377">
        <v>1</v>
      </c>
      <c r="D377" s="32">
        <v>43066.089641203704</v>
      </c>
      <c r="E377">
        <v>6</v>
      </c>
      <c r="F377" t="s">
        <v>15</v>
      </c>
    </row>
    <row r="378" spans="1:6">
      <c r="A378">
        <v>755929</v>
      </c>
      <c r="B378">
        <v>3</v>
      </c>
      <c r="C378">
        <v>2</v>
      </c>
      <c r="D378" s="32">
        <v>43068.064583333333</v>
      </c>
      <c r="E378">
        <v>4</v>
      </c>
      <c r="F378" t="s">
        <v>15</v>
      </c>
    </row>
    <row r="379" spans="1:6">
      <c r="A379">
        <v>435736</v>
      </c>
      <c r="B379">
        <v>3</v>
      </c>
      <c r="C379">
        <v>1</v>
      </c>
      <c r="D379" s="32">
        <v>43066.492592592593</v>
      </c>
      <c r="E379">
        <v>6</v>
      </c>
      <c r="F379" t="s">
        <v>15</v>
      </c>
    </row>
    <row r="380" spans="1:6">
      <c r="A380">
        <v>215703</v>
      </c>
      <c r="B380">
        <v>3</v>
      </c>
      <c r="C380">
        <v>1</v>
      </c>
      <c r="D380" s="32">
        <v>43065.642847222225</v>
      </c>
      <c r="E380">
        <v>7</v>
      </c>
      <c r="F380" t="s">
        <v>15</v>
      </c>
    </row>
    <row r="381" spans="1:6">
      <c r="A381">
        <v>94573</v>
      </c>
      <c r="B381">
        <v>3</v>
      </c>
      <c r="C381">
        <v>1</v>
      </c>
      <c r="D381" s="32">
        <v>43069.204409722224</v>
      </c>
      <c r="E381">
        <v>3</v>
      </c>
      <c r="F381" t="s">
        <v>15</v>
      </c>
    </row>
    <row r="382" spans="1:6">
      <c r="A382">
        <v>393926</v>
      </c>
      <c r="B382">
        <v>3</v>
      </c>
      <c r="C382">
        <v>1</v>
      </c>
      <c r="D382" s="32">
        <v>43069.400879629633</v>
      </c>
      <c r="E382">
        <v>3</v>
      </c>
      <c r="F382" t="s">
        <v>15</v>
      </c>
    </row>
    <row r="383" spans="1:6">
      <c r="A383">
        <v>595001</v>
      </c>
      <c r="B383">
        <v>3</v>
      </c>
      <c r="C383">
        <v>1</v>
      </c>
      <c r="D383" s="32">
        <v>43067.540613425925</v>
      </c>
      <c r="E383">
        <v>5</v>
      </c>
      <c r="F383" t="s">
        <v>15</v>
      </c>
    </row>
    <row r="384" spans="1:6">
      <c r="A384">
        <v>410485</v>
      </c>
      <c r="B384">
        <v>3</v>
      </c>
      <c r="C384">
        <v>1</v>
      </c>
      <c r="D384" s="32">
        <v>43064.016701388886</v>
      </c>
      <c r="E384">
        <v>8</v>
      </c>
      <c r="F384" t="s">
        <v>15</v>
      </c>
    </row>
    <row r="385" spans="1:6">
      <c r="A385">
        <v>751816</v>
      </c>
      <c r="B385">
        <v>3</v>
      </c>
      <c r="C385">
        <v>1</v>
      </c>
      <c r="D385" s="32">
        <v>43067.423680555556</v>
      </c>
      <c r="E385">
        <v>5</v>
      </c>
      <c r="F385" t="s">
        <v>15</v>
      </c>
    </row>
    <row r="386" spans="1:6">
      <c r="A386">
        <v>877972</v>
      </c>
      <c r="B386">
        <v>3</v>
      </c>
      <c r="C386">
        <v>1</v>
      </c>
      <c r="D386" s="32">
        <v>43066.534699074073</v>
      </c>
      <c r="E386">
        <v>6</v>
      </c>
      <c r="F386" t="s">
        <v>15</v>
      </c>
    </row>
    <row r="387" spans="1:6">
      <c r="A387">
        <v>906319</v>
      </c>
      <c r="B387">
        <v>3</v>
      </c>
      <c r="C387">
        <v>1</v>
      </c>
      <c r="D387" s="32">
        <v>43065.296493055554</v>
      </c>
      <c r="E387">
        <v>7</v>
      </c>
      <c r="F387" t="s">
        <v>15</v>
      </c>
    </row>
    <row r="388" spans="1:6">
      <c r="A388">
        <v>29335</v>
      </c>
      <c r="B388">
        <v>3</v>
      </c>
      <c r="C388">
        <v>1</v>
      </c>
      <c r="D388" s="32">
        <v>43069.489004629628</v>
      </c>
      <c r="E388">
        <v>3</v>
      </c>
      <c r="F388" t="s">
        <v>15</v>
      </c>
    </row>
    <row r="389" spans="1:6">
      <c r="A389">
        <v>450491</v>
      </c>
      <c r="B389">
        <v>3</v>
      </c>
      <c r="C389">
        <v>1</v>
      </c>
      <c r="D389" s="32">
        <v>43064.281365740739</v>
      </c>
      <c r="E389">
        <v>8</v>
      </c>
      <c r="F389" t="s">
        <v>15</v>
      </c>
    </row>
    <row r="390" spans="1:6">
      <c r="A390">
        <v>170465</v>
      </c>
      <c r="B390">
        <v>3</v>
      </c>
      <c r="C390">
        <v>1</v>
      </c>
      <c r="D390" s="32">
        <v>43069.620694444442</v>
      </c>
      <c r="E390">
        <v>3</v>
      </c>
      <c r="F390" t="s">
        <v>15</v>
      </c>
    </row>
    <row r="391" spans="1:6">
      <c r="A391">
        <v>292438</v>
      </c>
      <c r="B391">
        <v>3</v>
      </c>
      <c r="C391">
        <v>1</v>
      </c>
      <c r="D391" s="32">
        <v>43068.198125000003</v>
      </c>
      <c r="E391">
        <v>4</v>
      </c>
      <c r="F391" t="s">
        <v>15</v>
      </c>
    </row>
    <row r="392" spans="1:6">
      <c r="A392">
        <v>275148</v>
      </c>
      <c r="B392">
        <v>3</v>
      </c>
      <c r="C392">
        <v>1</v>
      </c>
      <c r="D392" s="32">
        <v>43069.654108796298</v>
      </c>
      <c r="E392">
        <v>3</v>
      </c>
      <c r="F392" t="s">
        <v>15</v>
      </c>
    </row>
    <row r="393" spans="1:6">
      <c r="A393">
        <v>411565</v>
      </c>
      <c r="B393">
        <v>3</v>
      </c>
      <c r="C393">
        <v>1</v>
      </c>
      <c r="D393" s="32">
        <v>43069.322175925925</v>
      </c>
      <c r="E393">
        <v>3</v>
      </c>
      <c r="F393" t="s">
        <v>15</v>
      </c>
    </row>
    <row r="394" spans="1:6">
      <c r="A394">
        <v>611723</v>
      </c>
      <c r="B394">
        <v>3</v>
      </c>
      <c r="C394">
        <v>1</v>
      </c>
      <c r="D394" s="32">
        <v>43066.192407407405</v>
      </c>
      <c r="E394">
        <v>6</v>
      </c>
      <c r="F394" t="s">
        <v>15</v>
      </c>
    </row>
    <row r="395" spans="1:6">
      <c r="A395">
        <v>965245</v>
      </c>
      <c r="B395">
        <v>3</v>
      </c>
      <c r="C395">
        <v>1</v>
      </c>
      <c r="D395" s="32">
        <v>43065.575833333336</v>
      </c>
      <c r="E395">
        <v>7</v>
      </c>
      <c r="F395" t="s">
        <v>15</v>
      </c>
    </row>
    <row r="396" spans="1:6">
      <c r="A396">
        <v>190116</v>
      </c>
      <c r="B396">
        <v>3</v>
      </c>
      <c r="C396">
        <v>1</v>
      </c>
      <c r="D396" s="32">
        <v>43065.349120370367</v>
      </c>
      <c r="E396">
        <v>7</v>
      </c>
      <c r="F396" t="s">
        <v>15</v>
      </c>
    </row>
    <row r="397" spans="1:6">
      <c r="A397">
        <v>420790</v>
      </c>
      <c r="B397">
        <v>3</v>
      </c>
      <c r="C397">
        <v>1</v>
      </c>
      <c r="D397" s="32">
        <v>43064.234872685185</v>
      </c>
      <c r="E397">
        <v>8</v>
      </c>
      <c r="F397" t="s">
        <v>15</v>
      </c>
    </row>
    <row r="398" spans="1:6">
      <c r="A398">
        <v>269431</v>
      </c>
      <c r="B398">
        <v>3</v>
      </c>
      <c r="C398">
        <v>1</v>
      </c>
      <c r="D398" s="32">
        <v>43066.618252314816</v>
      </c>
      <c r="E398">
        <v>6</v>
      </c>
      <c r="F398" t="s">
        <v>15</v>
      </c>
    </row>
    <row r="399" spans="1:6">
      <c r="A399">
        <v>718662</v>
      </c>
      <c r="B399">
        <v>3</v>
      </c>
      <c r="C399">
        <v>3</v>
      </c>
      <c r="D399" s="32">
        <v>43066.247974537036</v>
      </c>
      <c r="E399">
        <v>6</v>
      </c>
      <c r="F399" t="s">
        <v>15</v>
      </c>
    </row>
    <row r="400" spans="1:6">
      <c r="A400">
        <v>947188</v>
      </c>
      <c r="B400">
        <v>3</v>
      </c>
      <c r="C400">
        <v>1</v>
      </c>
      <c r="D400" s="32">
        <v>43068.549618055556</v>
      </c>
      <c r="E400">
        <v>4</v>
      </c>
      <c r="F400" t="s">
        <v>15</v>
      </c>
    </row>
    <row r="401" spans="1:6">
      <c r="A401">
        <v>169381</v>
      </c>
      <c r="B401">
        <v>3</v>
      </c>
      <c r="C401">
        <v>1</v>
      </c>
      <c r="D401" s="32">
        <v>43069.212199074071</v>
      </c>
      <c r="E401">
        <v>3</v>
      </c>
      <c r="F401" t="s">
        <v>15</v>
      </c>
    </row>
    <row r="402" spans="1:6">
      <c r="A402">
        <v>175341</v>
      </c>
      <c r="B402">
        <v>3</v>
      </c>
      <c r="C402">
        <v>1</v>
      </c>
      <c r="D402" s="32">
        <v>43064.104791666665</v>
      </c>
      <c r="E402">
        <v>8</v>
      </c>
      <c r="F402" t="s">
        <v>15</v>
      </c>
    </row>
    <row r="403" spans="1:6">
      <c r="A403">
        <v>865378</v>
      </c>
      <c r="B403">
        <v>3</v>
      </c>
      <c r="C403">
        <v>1</v>
      </c>
      <c r="D403" s="32">
        <v>43068.609444444446</v>
      </c>
      <c r="E403">
        <v>4</v>
      </c>
      <c r="F403" t="s">
        <v>15</v>
      </c>
    </row>
    <row r="404" spans="1:6">
      <c r="A404">
        <v>63620</v>
      </c>
      <c r="B404">
        <v>3</v>
      </c>
      <c r="C404">
        <v>1</v>
      </c>
      <c r="D404" s="32">
        <v>43066.226111111115</v>
      </c>
      <c r="E404">
        <v>6</v>
      </c>
      <c r="F404" t="s">
        <v>15</v>
      </c>
    </row>
    <row r="405" spans="1:6">
      <c r="A405">
        <v>520100</v>
      </c>
      <c r="B405">
        <v>3</v>
      </c>
      <c r="C405">
        <v>1</v>
      </c>
      <c r="D405" s="32">
        <v>43068.540208333332</v>
      </c>
      <c r="E405">
        <v>4</v>
      </c>
      <c r="F405" t="s">
        <v>15</v>
      </c>
    </row>
    <row r="406" spans="1:6">
      <c r="A406">
        <v>641563</v>
      </c>
      <c r="B406">
        <v>3</v>
      </c>
      <c r="C406">
        <v>1</v>
      </c>
      <c r="D406" s="32">
        <v>43068.635983796295</v>
      </c>
      <c r="E406">
        <v>4</v>
      </c>
      <c r="F406" t="s">
        <v>15</v>
      </c>
    </row>
    <row r="407" spans="1:6">
      <c r="A407">
        <v>951886</v>
      </c>
      <c r="B407">
        <v>3</v>
      </c>
      <c r="C407">
        <v>1</v>
      </c>
      <c r="D407" s="32">
        <v>43066.620023148149</v>
      </c>
      <c r="E407">
        <v>6</v>
      </c>
      <c r="F407" t="s">
        <v>15</v>
      </c>
    </row>
    <row r="408" spans="1:6">
      <c r="A408">
        <v>994162</v>
      </c>
      <c r="B408">
        <v>3</v>
      </c>
      <c r="C408">
        <v>1</v>
      </c>
      <c r="D408" s="32">
        <v>43067.002465277779</v>
      </c>
      <c r="E408">
        <v>5</v>
      </c>
      <c r="F408" t="s">
        <v>15</v>
      </c>
    </row>
    <row r="409" spans="1:6">
      <c r="A409">
        <v>561159</v>
      </c>
      <c r="B409">
        <v>3</v>
      </c>
      <c r="C409">
        <v>2</v>
      </c>
      <c r="D409" s="32">
        <v>43065.713645833333</v>
      </c>
      <c r="E409">
        <v>7</v>
      </c>
      <c r="F409" t="s">
        <v>15</v>
      </c>
    </row>
    <row r="410" spans="1:6">
      <c r="A410">
        <v>356438</v>
      </c>
      <c r="B410">
        <v>3</v>
      </c>
      <c r="C410">
        <v>1</v>
      </c>
      <c r="D410" s="32">
        <v>43067.213530092595</v>
      </c>
      <c r="E410">
        <v>5</v>
      </c>
      <c r="F410" t="s">
        <v>15</v>
      </c>
    </row>
    <row r="411" spans="1:6">
      <c r="A411">
        <v>980662</v>
      </c>
      <c r="B411">
        <v>3</v>
      </c>
      <c r="C411">
        <v>1</v>
      </c>
      <c r="D411" s="32">
        <v>43067.203206018516</v>
      </c>
      <c r="E411">
        <v>5</v>
      </c>
      <c r="F411" t="s">
        <v>15</v>
      </c>
    </row>
    <row r="412" spans="1:6">
      <c r="A412">
        <v>622290</v>
      </c>
      <c r="B412">
        <v>3</v>
      </c>
      <c r="C412">
        <v>1</v>
      </c>
      <c r="D412" s="32">
        <v>43069.30976851852</v>
      </c>
      <c r="E412">
        <v>3</v>
      </c>
      <c r="F412" t="s">
        <v>15</v>
      </c>
    </row>
    <row r="413" spans="1:6">
      <c r="A413">
        <v>605536</v>
      </c>
      <c r="B413">
        <v>3</v>
      </c>
      <c r="C413">
        <v>1</v>
      </c>
      <c r="D413" s="32">
        <v>43068.403912037036</v>
      </c>
      <c r="E413">
        <v>4</v>
      </c>
      <c r="F413" t="s">
        <v>15</v>
      </c>
    </row>
    <row r="414" spans="1:6">
      <c r="A414">
        <v>632205</v>
      </c>
      <c r="B414">
        <v>3</v>
      </c>
      <c r="C414">
        <v>1</v>
      </c>
      <c r="D414" s="32">
        <v>43068.775312500002</v>
      </c>
      <c r="E414">
        <v>4</v>
      </c>
      <c r="F414" t="s">
        <v>15</v>
      </c>
    </row>
    <row r="415" spans="1:6">
      <c r="A415">
        <v>909049</v>
      </c>
      <c r="B415">
        <v>3</v>
      </c>
      <c r="C415">
        <v>1</v>
      </c>
      <c r="D415" s="32">
        <v>43068.259594907409</v>
      </c>
      <c r="E415">
        <v>4</v>
      </c>
      <c r="F415" t="s">
        <v>15</v>
      </c>
    </row>
    <row r="416" spans="1:6">
      <c r="A416">
        <v>979976</v>
      </c>
      <c r="B416">
        <v>3</v>
      </c>
      <c r="C416">
        <v>1</v>
      </c>
      <c r="D416" s="32">
        <v>43064.299687500003</v>
      </c>
      <c r="E416">
        <v>8</v>
      </c>
      <c r="F416" t="s">
        <v>15</v>
      </c>
    </row>
    <row r="417" spans="1:6">
      <c r="A417">
        <v>496510</v>
      </c>
      <c r="B417">
        <v>3</v>
      </c>
      <c r="C417">
        <v>2</v>
      </c>
      <c r="D417" s="32">
        <v>43065.583067129628</v>
      </c>
      <c r="E417">
        <v>7</v>
      </c>
      <c r="F417" t="s">
        <v>15</v>
      </c>
    </row>
    <row r="418" spans="1:6">
      <c r="A418">
        <v>387439</v>
      </c>
      <c r="B418">
        <v>3</v>
      </c>
      <c r="C418">
        <v>1</v>
      </c>
      <c r="D418" s="32">
        <v>43069.387488425928</v>
      </c>
      <c r="E418">
        <v>3</v>
      </c>
      <c r="F418" t="s">
        <v>15</v>
      </c>
    </row>
    <row r="419" spans="1:6">
      <c r="A419">
        <v>55210</v>
      </c>
      <c r="B419">
        <v>3</v>
      </c>
      <c r="C419">
        <v>1</v>
      </c>
      <c r="D419" s="32">
        <v>43068.570925925924</v>
      </c>
      <c r="E419">
        <v>4</v>
      </c>
      <c r="F419" t="s">
        <v>15</v>
      </c>
    </row>
    <row r="420" spans="1:6">
      <c r="A420">
        <v>304666</v>
      </c>
      <c r="B420">
        <v>3</v>
      </c>
      <c r="C420">
        <v>1</v>
      </c>
      <c r="D420" s="32">
        <v>43068.067986111113</v>
      </c>
      <c r="E420">
        <v>4</v>
      </c>
      <c r="F420" t="s">
        <v>15</v>
      </c>
    </row>
    <row r="421" spans="1:6">
      <c r="A421">
        <v>938804</v>
      </c>
      <c r="B421">
        <v>3</v>
      </c>
      <c r="C421">
        <v>1</v>
      </c>
      <c r="D421" s="32">
        <v>43065.558344907404</v>
      </c>
      <c r="E421">
        <v>7</v>
      </c>
      <c r="F421" t="s">
        <v>15</v>
      </c>
    </row>
    <row r="422" spans="1:6">
      <c r="A422">
        <v>58415</v>
      </c>
      <c r="B422">
        <v>3</v>
      </c>
      <c r="C422">
        <v>1</v>
      </c>
      <c r="D422" s="32">
        <v>43064.09480324074</v>
      </c>
      <c r="E422">
        <v>8</v>
      </c>
      <c r="F422" t="s">
        <v>15</v>
      </c>
    </row>
    <row r="423" spans="1:6">
      <c r="A423">
        <v>351048</v>
      </c>
      <c r="B423">
        <v>3</v>
      </c>
      <c r="C423">
        <v>1</v>
      </c>
      <c r="D423" s="32">
        <v>43065.666724537034</v>
      </c>
      <c r="E423">
        <v>7</v>
      </c>
      <c r="F423" t="s">
        <v>15</v>
      </c>
    </row>
    <row r="424" spans="1:6">
      <c r="A424">
        <v>291917</v>
      </c>
      <c r="B424">
        <v>3</v>
      </c>
      <c r="C424">
        <v>1</v>
      </c>
      <c r="D424" s="32">
        <v>43067.189733796295</v>
      </c>
      <c r="E424">
        <v>5</v>
      </c>
      <c r="F424" t="s">
        <v>15</v>
      </c>
    </row>
    <row r="425" spans="1:6">
      <c r="A425">
        <v>616606</v>
      </c>
      <c r="B425">
        <v>3</v>
      </c>
      <c r="C425">
        <v>2</v>
      </c>
      <c r="D425" s="32">
        <v>43065.475590277776</v>
      </c>
      <c r="E425">
        <v>7</v>
      </c>
      <c r="F425" t="s">
        <v>15</v>
      </c>
    </row>
    <row r="426" spans="1:6">
      <c r="A426">
        <v>937568</v>
      </c>
      <c r="B426">
        <v>3</v>
      </c>
      <c r="C426">
        <v>2</v>
      </c>
      <c r="D426" s="32">
        <v>43067.377905092595</v>
      </c>
      <c r="E426">
        <v>5</v>
      </c>
      <c r="F426" t="s">
        <v>15</v>
      </c>
    </row>
    <row r="427" spans="1:6">
      <c r="A427">
        <v>773315</v>
      </c>
      <c r="B427">
        <v>3</v>
      </c>
      <c r="C427">
        <v>1</v>
      </c>
      <c r="D427" s="32">
        <v>43066.381620370368</v>
      </c>
      <c r="E427">
        <v>6</v>
      </c>
      <c r="F427" t="s">
        <v>15</v>
      </c>
    </row>
    <row r="428" spans="1:6">
      <c r="A428">
        <v>735528</v>
      </c>
      <c r="B428">
        <v>3</v>
      </c>
      <c r="C428">
        <v>1</v>
      </c>
      <c r="D428" s="32">
        <v>43067.242465277777</v>
      </c>
      <c r="E428">
        <v>5</v>
      </c>
      <c r="F428" t="s">
        <v>15</v>
      </c>
    </row>
    <row r="429" spans="1:6">
      <c r="A429">
        <v>492133</v>
      </c>
      <c r="B429">
        <v>3</v>
      </c>
      <c r="C429">
        <v>1</v>
      </c>
      <c r="D429" s="32">
        <v>43067.31417824074</v>
      </c>
      <c r="E429">
        <v>5</v>
      </c>
      <c r="F429" t="s">
        <v>15</v>
      </c>
    </row>
    <row r="430" spans="1:6">
      <c r="A430">
        <v>348254</v>
      </c>
      <c r="B430">
        <v>3</v>
      </c>
      <c r="C430">
        <v>1</v>
      </c>
      <c r="D430" s="32">
        <v>43067.458993055552</v>
      </c>
      <c r="E430">
        <v>5</v>
      </c>
      <c r="F430" t="s">
        <v>15</v>
      </c>
    </row>
    <row r="431" spans="1:6">
      <c r="A431">
        <v>193691</v>
      </c>
      <c r="B431">
        <v>3</v>
      </c>
      <c r="C431">
        <v>1</v>
      </c>
      <c r="D431" s="32">
        <v>43064.110347222224</v>
      </c>
      <c r="E431">
        <v>8</v>
      </c>
      <c r="F431" t="s">
        <v>15</v>
      </c>
    </row>
    <row r="432" spans="1:6">
      <c r="A432">
        <v>345447</v>
      </c>
      <c r="B432">
        <v>3</v>
      </c>
      <c r="C432">
        <v>1</v>
      </c>
      <c r="D432" s="32">
        <v>43066.181516203702</v>
      </c>
      <c r="E432">
        <v>6</v>
      </c>
      <c r="F432" t="s">
        <v>15</v>
      </c>
    </row>
    <row r="433" spans="1:6">
      <c r="A433">
        <v>511846</v>
      </c>
      <c r="B433">
        <v>3</v>
      </c>
      <c r="C433">
        <v>1</v>
      </c>
      <c r="D433" s="32">
        <v>43064.558252314811</v>
      </c>
      <c r="E433">
        <v>8</v>
      </c>
      <c r="F433" t="s">
        <v>15</v>
      </c>
    </row>
    <row r="434" spans="1:6">
      <c r="A434">
        <v>518871</v>
      </c>
      <c r="B434">
        <v>3</v>
      </c>
      <c r="C434">
        <v>1</v>
      </c>
      <c r="D434" s="32">
        <v>43068.291701388887</v>
      </c>
      <c r="E434">
        <v>4</v>
      </c>
      <c r="F434" t="s">
        <v>15</v>
      </c>
    </row>
    <row r="435" spans="1:6">
      <c r="A435">
        <v>467876</v>
      </c>
      <c r="B435">
        <v>3</v>
      </c>
      <c r="C435">
        <v>1</v>
      </c>
      <c r="D435" s="32">
        <v>43067.479108796295</v>
      </c>
      <c r="E435">
        <v>5</v>
      </c>
      <c r="F435" t="s">
        <v>15</v>
      </c>
    </row>
    <row r="436" spans="1:6">
      <c r="A436">
        <v>150964</v>
      </c>
      <c r="B436">
        <v>3</v>
      </c>
      <c r="C436">
        <v>1</v>
      </c>
      <c r="D436" s="32">
        <v>43067.364374999997</v>
      </c>
      <c r="E436">
        <v>5</v>
      </c>
      <c r="F436" t="s">
        <v>15</v>
      </c>
    </row>
    <row r="437" spans="1:6">
      <c r="A437">
        <v>896075</v>
      </c>
      <c r="B437">
        <v>3</v>
      </c>
      <c r="C437">
        <v>1</v>
      </c>
      <c r="D437" s="32">
        <v>43068.627928240741</v>
      </c>
      <c r="E437">
        <v>4</v>
      </c>
      <c r="F437" t="s">
        <v>15</v>
      </c>
    </row>
    <row r="438" spans="1:6">
      <c r="A438">
        <v>39038</v>
      </c>
      <c r="B438">
        <v>3</v>
      </c>
      <c r="C438">
        <v>1</v>
      </c>
      <c r="D438" s="32">
        <v>43064.556238425925</v>
      </c>
      <c r="E438">
        <v>8</v>
      </c>
      <c r="F438" t="s">
        <v>15</v>
      </c>
    </row>
    <row r="439" spans="1:6">
      <c r="A439">
        <v>890863</v>
      </c>
      <c r="B439">
        <v>3</v>
      </c>
      <c r="C439">
        <v>2</v>
      </c>
      <c r="D439" s="32">
        <v>43064.641539351855</v>
      </c>
      <c r="E439">
        <v>8</v>
      </c>
      <c r="F439" t="s">
        <v>15</v>
      </c>
    </row>
    <row r="440" spans="1:6">
      <c r="A440">
        <v>765506</v>
      </c>
      <c r="B440">
        <v>3</v>
      </c>
      <c r="C440">
        <v>1</v>
      </c>
      <c r="D440" s="32">
        <v>43064.622361111113</v>
      </c>
      <c r="E440">
        <v>8</v>
      </c>
      <c r="F440" t="s">
        <v>15</v>
      </c>
    </row>
    <row r="441" spans="1:6">
      <c r="A441">
        <v>423361</v>
      </c>
      <c r="B441">
        <v>3</v>
      </c>
      <c r="C441">
        <v>1</v>
      </c>
      <c r="D441" s="32">
        <v>43069.506550925929</v>
      </c>
      <c r="E441">
        <v>3</v>
      </c>
      <c r="F441" t="s">
        <v>15</v>
      </c>
    </row>
    <row r="442" spans="1:6">
      <c r="A442">
        <v>886628</v>
      </c>
      <c r="B442">
        <v>3</v>
      </c>
      <c r="C442">
        <v>1</v>
      </c>
      <c r="D442" s="32">
        <v>43068.560543981483</v>
      </c>
      <c r="E442">
        <v>4</v>
      </c>
      <c r="F442" t="s">
        <v>15</v>
      </c>
    </row>
    <row r="443" spans="1:6">
      <c r="A443">
        <v>696859</v>
      </c>
      <c r="B443">
        <v>3</v>
      </c>
      <c r="C443">
        <v>1</v>
      </c>
      <c r="D443" s="32">
        <v>43068.480266203704</v>
      </c>
      <c r="E443">
        <v>4</v>
      </c>
      <c r="F443" t="s">
        <v>15</v>
      </c>
    </row>
    <row r="444" spans="1:6">
      <c r="A444">
        <v>768403</v>
      </c>
      <c r="B444">
        <v>3</v>
      </c>
      <c r="C444">
        <v>1</v>
      </c>
      <c r="D444" s="32">
        <v>43064.660555555558</v>
      </c>
      <c r="E444">
        <v>8</v>
      </c>
      <c r="F444" t="s">
        <v>15</v>
      </c>
    </row>
    <row r="445" spans="1:6">
      <c r="A445">
        <v>528306</v>
      </c>
      <c r="B445">
        <v>3</v>
      </c>
      <c r="C445">
        <v>2</v>
      </c>
      <c r="D445" s="32">
        <v>43068.491724537038</v>
      </c>
      <c r="E445">
        <v>4</v>
      </c>
      <c r="F445" t="s">
        <v>15</v>
      </c>
    </row>
    <row r="446" spans="1:6">
      <c r="A446">
        <v>544852</v>
      </c>
      <c r="B446">
        <v>3</v>
      </c>
      <c r="C446">
        <v>1</v>
      </c>
      <c r="D446" s="32">
        <v>43069.50105324074</v>
      </c>
      <c r="E446">
        <v>3</v>
      </c>
      <c r="F446" t="s">
        <v>15</v>
      </c>
    </row>
    <row r="447" spans="1:6">
      <c r="A447">
        <v>559916</v>
      </c>
      <c r="B447">
        <v>3</v>
      </c>
      <c r="C447">
        <v>1</v>
      </c>
      <c r="D447" s="32">
        <v>43067.153923611113</v>
      </c>
      <c r="E447">
        <v>5</v>
      </c>
      <c r="F447" t="s">
        <v>15</v>
      </c>
    </row>
    <row r="448" spans="1:6">
      <c r="A448">
        <v>746343</v>
      </c>
      <c r="B448">
        <v>3</v>
      </c>
      <c r="C448">
        <v>1</v>
      </c>
      <c r="D448" s="32">
        <v>43069.143611111111</v>
      </c>
      <c r="E448">
        <v>3</v>
      </c>
      <c r="F448" t="s">
        <v>15</v>
      </c>
    </row>
    <row r="449" spans="1:6">
      <c r="A449">
        <v>28355</v>
      </c>
      <c r="B449">
        <v>3</v>
      </c>
      <c r="C449">
        <v>1</v>
      </c>
      <c r="D449" s="32">
        <v>43069.316736111112</v>
      </c>
      <c r="E449">
        <v>3</v>
      </c>
      <c r="F449" t="s">
        <v>15</v>
      </c>
    </row>
    <row r="450" spans="1:6">
      <c r="A450">
        <v>338475</v>
      </c>
      <c r="B450">
        <v>3</v>
      </c>
      <c r="C450">
        <v>1</v>
      </c>
      <c r="D450" s="32">
        <v>43065.24759259259</v>
      </c>
      <c r="E450">
        <v>7</v>
      </c>
      <c r="F450" t="s">
        <v>15</v>
      </c>
    </row>
    <row r="451" spans="1:6">
      <c r="A451">
        <v>865660</v>
      </c>
      <c r="B451">
        <v>3</v>
      </c>
      <c r="C451">
        <v>1</v>
      </c>
      <c r="D451" s="32">
        <v>43066.51353009259</v>
      </c>
      <c r="E451">
        <v>6</v>
      </c>
      <c r="F451" t="s">
        <v>15</v>
      </c>
    </row>
    <row r="452" spans="1:6">
      <c r="A452">
        <v>897777</v>
      </c>
      <c r="B452">
        <v>3</v>
      </c>
      <c r="C452">
        <v>2</v>
      </c>
      <c r="D452" s="32">
        <v>43064.495358796295</v>
      </c>
      <c r="E452">
        <v>8</v>
      </c>
      <c r="F452" t="s">
        <v>15</v>
      </c>
    </row>
    <row r="453" spans="1:6">
      <c r="A453">
        <v>640638</v>
      </c>
      <c r="B453">
        <v>3</v>
      </c>
      <c r="C453">
        <v>1</v>
      </c>
      <c r="D453" s="32">
        <v>43069.56449074074</v>
      </c>
      <c r="E453">
        <v>3</v>
      </c>
      <c r="F453" t="s">
        <v>15</v>
      </c>
    </row>
    <row r="454" spans="1:6">
      <c r="A454">
        <v>368161</v>
      </c>
      <c r="B454">
        <v>3</v>
      </c>
      <c r="C454">
        <v>1</v>
      </c>
      <c r="D454" s="32">
        <v>43064.43346064815</v>
      </c>
      <c r="E454">
        <v>8</v>
      </c>
      <c r="F454" t="s">
        <v>15</v>
      </c>
    </row>
    <row r="455" spans="1:6">
      <c r="A455">
        <v>310339</v>
      </c>
      <c r="B455">
        <v>3</v>
      </c>
      <c r="C455">
        <v>1</v>
      </c>
      <c r="D455" s="32">
        <v>43069.547951388886</v>
      </c>
      <c r="E455">
        <v>3</v>
      </c>
      <c r="F455" t="s">
        <v>15</v>
      </c>
    </row>
    <row r="456" spans="1:6">
      <c r="A456">
        <v>390795</v>
      </c>
      <c r="B456">
        <v>3</v>
      </c>
      <c r="C456">
        <v>1</v>
      </c>
      <c r="D456" s="32">
        <v>43066.251064814816</v>
      </c>
      <c r="E456">
        <v>6</v>
      </c>
      <c r="F456" t="s">
        <v>15</v>
      </c>
    </row>
    <row r="457" spans="1:6">
      <c r="A457">
        <v>476835</v>
      </c>
      <c r="B457">
        <v>3</v>
      </c>
      <c r="C457">
        <v>2</v>
      </c>
      <c r="D457" s="32">
        <v>43064.301851851851</v>
      </c>
      <c r="E457">
        <v>8</v>
      </c>
      <c r="F457" t="s">
        <v>15</v>
      </c>
    </row>
    <row r="458" spans="1:6">
      <c r="A458">
        <v>325908</v>
      </c>
      <c r="B458">
        <v>3</v>
      </c>
      <c r="C458">
        <v>1</v>
      </c>
      <c r="D458" s="32">
        <v>43066.315983796296</v>
      </c>
      <c r="E458">
        <v>6</v>
      </c>
      <c r="F458" t="s">
        <v>15</v>
      </c>
    </row>
    <row r="459" spans="1:6">
      <c r="A459">
        <v>661697</v>
      </c>
      <c r="B459">
        <v>3</v>
      </c>
      <c r="C459">
        <v>1</v>
      </c>
      <c r="D459" s="32">
        <v>43067.317048611112</v>
      </c>
      <c r="E459">
        <v>5</v>
      </c>
      <c r="F459" t="s">
        <v>15</v>
      </c>
    </row>
    <row r="460" spans="1:6">
      <c r="A460">
        <v>34793</v>
      </c>
      <c r="B460">
        <v>3</v>
      </c>
      <c r="C460">
        <v>1</v>
      </c>
      <c r="D460" s="32">
        <v>43064.583460648151</v>
      </c>
      <c r="E460">
        <v>8</v>
      </c>
      <c r="F460" t="s">
        <v>15</v>
      </c>
    </row>
    <row r="461" spans="1:6">
      <c r="A461">
        <v>46659</v>
      </c>
      <c r="B461">
        <v>3</v>
      </c>
      <c r="C461">
        <v>1</v>
      </c>
      <c r="D461" s="32">
        <v>43069.626932870371</v>
      </c>
      <c r="E461">
        <v>3</v>
      </c>
      <c r="F461" t="s">
        <v>15</v>
      </c>
    </row>
    <row r="462" spans="1:6">
      <c r="A462">
        <v>470428</v>
      </c>
      <c r="B462">
        <v>3</v>
      </c>
      <c r="C462">
        <v>2</v>
      </c>
      <c r="D462" s="32">
        <v>43064.15384259259</v>
      </c>
      <c r="E462">
        <v>8</v>
      </c>
      <c r="F462" t="s">
        <v>15</v>
      </c>
    </row>
    <row r="463" spans="1:6">
      <c r="A463">
        <v>56673</v>
      </c>
      <c r="B463">
        <v>3</v>
      </c>
      <c r="C463">
        <v>1</v>
      </c>
      <c r="D463" s="32">
        <v>43065.606874999998</v>
      </c>
      <c r="E463">
        <v>7</v>
      </c>
      <c r="F463" t="s">
        <v>15</v>
      </c>
    </row>
    <row r="464" spans="1:6">
      <c r="A464">
        <v>503958</v>
      </c>
      <c r="B464">
        <v>3</v>
      </c>
      <c r="C464">
        <v>1</v>
      </c>
      <c r="D464" s="32">
        <v>43069.490416666667</v>
      </c>
      <c r="E464">
        <v>3</v>
      </c>
      <c r="F464" t="s">
        <v>15</v>
      </c>
    </row>
    <row r="465" spans="1:6">
      <c r="A465">
        <v>251857</v>
      </c>
      <c r="B465">
        <v>3</v>
      </c>
      <c r="C465">
        <v>1</v>
      </c>
      <c r="D465" s="32">
        <v>43067.098460648151</v>
      </c>
      <c r="E465">
        <v>5</v>
      </c>
      <c r="F465" t="s">
        <v>15</v>
      </c>
    </row>
    <row r="466" spans="1:6">
      <c r="A466">
        <v>824457</v>
      </c>
      <c r="B466">
        <v>3</v>
      </c>
      <c r="C466">
        <v>1</v>
      </c>
      <c r="D466" s="32">
        <v>43069.404293981483</v>
      </c>
      <c r="E466">
        <v>3</v>
      </c>
      <c r="F466" t="s">
        <v>15</v>
      </c>
    </row>
    <row r="467" spans="1:6">
      <c r="A467">
        <v>584443</v>
      </c>
      <c r="B467">
        <v>3</v>
      </c>
      <c r="C467">
        <v>1</v>
      </c>
      <c r="D467" s="32">
        <v>43064.511932870373</v>
      </c>
      <c r="E467">
        <v>8</v>
      </c>
      <c r="F467" t="s">
        <v>15</v>
      </c>
    </row>
    <row r="468" spans="1:6">
      <c r="A468">
        <v>391524</v>
      </c>
      <c r="B468">
        <v>3</v>
      </c>
      <c r="C468">
        <v>1</v>
      </c>
      <c r="D468" s="32">
        <v>43068.290717592594</v>
      </c>
      <c r="E468">
        <v>4</v>
      </c>
      <c r="F468" t="s">
        <v>15</v>
      </c>
    </row>
    <row r="469" spans="1:6">
      <c r="A469">
        <v>969135</v>
      </c>
      <c r="B469">
        <v>3</v>
      </c>
      <c r="C469">
        <v>2</v>
      </c>
      <c r="D469" s="32">
        <v>43067.58803240741</v>
      </c>
      <c r="E469">
        <v>5</v>
      </c>
      <c r="F469" t="s">
        <v>15</v>
      </c>
    </row>
    <row r="470" spans="1:6">
      <c r="A470">
        <v>551574</v>
      </c>
      <c r="B470">
        <v>3</v>
      </c>
      <c r="C470">
        <v>1</v>
      </c>
      <c r="D470" s="32">
        <v>43065.145219907405</v>
      </c>
      <c r="E470">
        <v>7</v>
      </c>
      <c r="F470" t="s">
        <v>15</v>
      </c>
    </row>
    <row r="471" spans="1:6">
      <c r="A471">
        <v>506017</v>
      </c>
      <c r="B471">
        <v>3</v>
      </c>
      <c r="C471">
        <v>1</v>
      </c>
      <c r="D471" s="32">
        <v>43064.151354166665</v>
      </c>
      <c r="E471">
        <v>8</v>
      </c>
      <c r="F471" t="s">
        <v>15</v>
      </c>
    </row>
    <row r="472" spans="1:6">
      <c r="A472">
        <v>663401</v>
      </c>
      <c r="B472">
        <v>3</v>
      </c>
      <c r="C472">
        <v>1</v>
      </c>
      <c r="D472" s="32">
        <v>43065.323981481481</v>
      </c>
      <c r="E472">
        <v>7</v>
      </c>
      <c r="F472" t="s">
        <v>15</v>
      </c>
    </row>
    <row r="473" spans="1:6">
      <c r="A473">
        <v>647077</v>
      </c>
      <c r="B473">
        <v>3</v>
      </c>
      <c r="C473">
        <v>1</v>
      </c>
      <c r="D473" s="32">
        <v>43066.253622685188</v>
      </c>
      <c r="E473">
        <v>6</v>
      </c>
      <c r="F473" t="s">
        <v>15</v>
      </c>
    </row>
    <row r="474" spans="1:6">
      <c r="A474">
        <v>121711</v>
      </c>
      <c r="B474">
        <v>3</v>
      </c>
      <c r="C474">
        <v>1</v>
      </c>
      <c r="D474" s="32">
        <v>43067.147337962961</v>
      </c>
      <c r="E474">
        <v>5</v>
      </c>
      <c r="F474" t="s">
        <v>15</v>
      </c>
    </row>
    <row r="475" spans="1:6">
      <c r="A475">
        <v>710040</v>
      </c>
      <c r="B475">
        <v>3</v>
      </c>
      <c r="C475">
        <v>1</v>
      </c>
      <c r="D475" s="32">
        <v>43069.576238425929</v>
      </c>
      <c r="E475">
        <v>3</v>
      </c>
      <c r="F475" t="s">
        <v>15</v>
      </c>
    </row>
    <row r="476" spans="1:6">
      <c r="A476">
        <v>547037</v>
      </c>
      <c r="B476">
        <v>3</v>
      </c>
      <c r="C476">
        <v>1</v>
      </c>
      <c r="D476" s="32">
        <v>43068.891273148147</v>
      </c>
      <c r="E476">
        <v>4</v>
      </c>
      <c r="F476" t="s">
        <v>15</v>
      </c>
    </row>
    <row r="477" spans="1:6">
      <c r="A477">
        <v>13345</v>
      </c>
      <c r="B477">
        <v>3</v>
      </c>
      <c r="C477">
        <v>1</v>
      </c>
      <c r="D477" s="32">
        <v>43067.607534722221</v>
      </c>
      <c r="E477">
        <v>5</v>
      </c>
      <c r="F477" t="s">
        <v>15</v>
      </c>
    </row>
    <row r="478" spans="1:6">
      <c r="A478">
        <v>423508</v>
      </c>
      <c r="B478">
        <v>3</v>
      </c>
      <c r="C478">
        <v>1</v>
      </c>
      <c r="D478" s="32">
        <v>43068.459456018521</v>
      </c>
      <c r="E478">
        <v>4</v>
      </c>
      <c r="F478" t="s">
        <v>15</v>
      </c>
    </row>
    <row r="479" spans="1:6">
      <c r="A479">
        <v>508526</v>
      </c>
      <c r="B479">
        <v>3</v>
      </c>
      <c r="C479">
        <v>1</v>
      </c>
      <c r="D479" s="32">
        <v>43067.920173611114</v>
      </c>
      <c r="E479">
        <v>5</v>
      </c>
      <c r="F479" t="s">
        <v>15</v>
      </c>
    </row>
    <row r="480" spans="1:6">
      <c r="A480">
        <v>808852</v>
      </c>
      <c r="B480">
        <v>3</v>
      </c>
      <c r="C480">
        <v>1</v>
      </c>
      <c r="D480" s="32">
        <v>43064.379189814812</v>
      </c>
      <c r="E480">
        <v>8</v>
      </c>
      <c r="F480" t="s">
        <v>15</v>
      </c>
    </row>
    <row r="481" spans="1:6">
      <c r="A481">
        <v>464949</v>
      </c>
      <c r="B481">
        <v>3</v>
      </c>
      <c r="C481">
        <v>1</v>
      </c>
      <c r="D481" s="32">
        <v>43065.565752314818</v>
      </c>
      <c r="E481">
        <v>7</v>
      </c>
      <c r="F481" t="s">
        <v>15</v>
      </c>
    </row>
    <row r="482" spans="1:6">
      <c r="A482">
        <v>289470</v>
      </c>
      <c r="B482">
        <v>3</v>
      </c>
      <c r="C482">
        <v>1</v>
      </c>
      <c r="D482" s="32">
        <v>43064.400266203702</v>
      </c>
      <c r="E482">
        <v>8</v>
      </c>
      <c r="F482" t="s">
        <v>15</v>
      </c>
    </row>
    <row r="483" spans="1:6">
      <c r="A483">
        <v>368666</v>
      </c>
      <c r="B483">
        <v>3</v>
      </c>
      <c r="C483">
        <v>1</v>
      </c>
      <c r="D483" s="32">
        <v>43066.458067129628</v>
      </c>
      <c r="E483">
        <v>6</v>
      </c>
      <c r="F483" t="s">
        <v>15</v>
      </c>
    </row>
    <row r="484" spans="1:6">
      <c r="A484">
        <v>831228</v>
      </c>
      <c r="B484">
        <v>3</v>
      </c>
      <c r="C484">
        <v>1</v>
      </c>
      <c r="D484" s="32">
        <v>43064.493449074071</v>
      </c>
      <c r="E484">
        <v>8</v>
      </c>
      <c r="F484" t="s">
        <v>15</v>
      </c>
    </row>
    <row r="485" spans="1:6">
      <c r="A485">
        <v>931268</v>
      </c>
      <c r="B485">
        <v>3</v>
      </c>
      <c r="C485">
        <v>1</v>
      </c>
      <c r="D485" s="32">
        <v>43064.462245370371</v>
      </c>
      <c r="E485">
        <v>8</v>
      </c>
      <c r="F485" t="s">
        <v>15</v>
      </c>
    </row>
    <row r="486" spans="1:6">
      <c r="A486">
        <v>699800</v>
      </c>
      <c r="B486">
        <v>3</v>
      </c>
      <c r="C486">
        <v>1</v>
      </c>
      <c r="D486" s="32">
        <v>43065.660162037035</v>
      </c>
      <c r="E486">
        <v>7</v>
      </c>
      <c r="F486" t="s">
        <v>15</v>
      </c>
    </row>
    <row r="487" spans="1:6">
      <c r="A487">
        <v>12793</v>
      </c>
      <c r="B487">
        <v>3</v>
      </c>
      <c r="C487">
        <v>1</v>
      </c>
      <c r="D487" s="32">
        <v>43068.128576388888</v>
      </c>
      <c r="E487">
        <v>4</v>
      </c>
      <c r="F487" t="s">
        <v>15</v>
      </c>
    </row>
    <row r="488" spans="1:6">
      <c r="A488">
        <v>332586</v>
      </c>
      <c r="B488">
        <v>3</v>
      </c>
      <c r="C488">
        <v>1</v>
      </c>
      <c r="D488" s="32">
        <v>43065.648032407407</v>
      </c>
      <c r="E488">
        <v>7</v>
      </c>
      <c r="F488" t="s">
        <v>15</v>
      </c>
    </row>
    <row r="489" spans="1:6">
      <c r="A489">
        <v>52786</v>
      </c>
      <c r="B489">
        <v>3</v>
      </c>
      <c r="C489">
        <v>1</v>
      </c>
      <c r="D489" s="32">
        <v>43067.672581018516</v>
      </c>
      <c r="E489">
        <v>5</v>
      </c>
      <c r="F489" t="s">
        <v>15</v>
      </c>
    </row>
    <row r="490" spans="1:6">
      <c r="A490">
        <v>95388</v>
      </c>
      <c r="B490">
        <v>3</v>
      </c>
      <c r="C490">
        <v>2</v>
      </c>
      <c r="D490" s="32">
        <v>43067.127384259256</v>
      </c>
      <c r="E490">
        <v>5</v>
      </c>
      <c r="F490" t="s">
        <v>15</v>
      </c>
    </row>
    <row r="491" spans="1:6">
      <c r="A491">
        <v>867673</v>
      </c>
      <c r="B491">
        <v>3</v>
      </c>
      <c r="C491">
        <v>1</v>
      </c>
      <c r="D491" s="32">
        <v>43067.088935185187</v>
      </c>
      <c r="E491">
        <v>5</v>
      </c>
      <c r="F491" t="s">
        <v>15</v>
      </c>
    </row>
    <row r="492" spans="1:6">
      <c r="A492">
        <v>458758</v>
      </c>
      <c r="B492">
        <v>3</v>
      </c>
      <c r="C492">
        <v>1</v>
      </c>
      <c r="D492" s="32">
        <v>43064.228321759256</v>
      </c>
      <c r="E492">
        <v>8</v>
      </c>
      <c r="F492" t="s">
        <v>15</v>
      </c>
    </row>
    <row r="493" spans="1:6">
      <c r="A493">
        <v>413362</v>
      </c>
      <c r="B493">
        <v>3</v>
      </c>
      <c r="C493">
        <v>2</v>
      </c>
      <c r="D493" s="32">
        <v>43069.211747685185</v>
      </c>
      <c r="E493">
        <v>3</v>
      </c>
      <c r="F493" t="s">
        <v>15</v>
      </c>
    </row>
    <row r="494" spans="1:6">
      <c r="A494">
        <v>572761</v>
      </c>
      <c r="B494">
        <v>3</v>
      </c>
      <c r="C494">
        <v>1</v>
      </c>
      <c r="D494" s="32">
        <v>43067.33090277778</v>
      </c>
      <c r="E494">
        <v>5</v>
      </c>
      <c r="F494" t="s">
        <v>15</v>
      </c>
    </row>
    <row r="495" spans="1:6">
      <c r="A495">
        <v>883629</v>
      </c>
      <c r="B495">
        <v>3</v>
      </c>
      <c r="C495">
        <v>1</v>
      </c>
      <c r="D495" s="32">
        <v>43069.233518518522</v>
      </c>
      <c r="E495">
        <v>3</v>
      </c>
      <c r="F495" t="s">
        <v>15</v>
      </c>
    </row>
    <row r="496" spans="1:6">
      <c r="A496">
        <v>625962</v>
      </c>
      <c r="B496">
        <v>3</v>
      </c>
      <c r="C496">
        <v>1</v>
      </c>
      <c r="D496" s="32">
        <v>43068.53601851852</v>
      </c>
      <c r="E496">
        <v>4</v>
      </c>
      <c r="F496" t="s">
        <v>15</v>
      </c>
    </row>
    <row r="497" spans="1:6">
      <c r="A497">
        <v>381037</v>
      </c>
      <c r="B497">
        <v>3</v>
      </c>
      <c r="C497">
        <v>1</v>
      </c>
      <c r="D497" s="32">
        <v>43066.023425925923</v>
      </c>
      <c r="E497">
        <v>6</v>
      </c>
      <c r="F497" t="s">
        <v>15</v>
      </c>
    </row>
    <row r="498" spans="1:6">
      <c r="A498">
        <v>393513</v>
      </c>
      <c r="B498">
        <v>3</v>
      </c>
      <c r="C498">
        <v>1</v>
      </c>
      <c r="D498" s="32">
        <v>43066.608912037038</v>
      </c>
      <c r="E498">
        <v>6</v>
      </c>
      <c r="F498" t="s">
        <v>15</v>
      </c>
    </row>
    <row r="499" spans="1:6">
      <c r="A499">
        <v>226194</v>
      </c>
      <c r="B499">
        <v>3</v>
      </c>
      <c r="C499">
        <v>1</v>
      </c>
      <c r="D499" s="32">
        <v>43068.347083333334</v>
      </c>
      <c r="E499">
        <v>4</v>
      </c>
      <c r="F499" t="s">
        <v>15</v>
      </c>
    </row>
    <row r="500" spans="1:6">
      <c r="A500">
        <v>153941</v>
      </c>
      <c r="B500">
        <v>3</v>
      </c>
      <c r="C500">
        <v>1</v>
      </c>
      <c r="D500" s="32">
        <v>43065.62773148148</v>
      </c>
      <c r="E500">
        <v>7</v>
      </c>
      <c r="F500" t="s">
        <v>15</v>
      </c>
    </row>
    <row r="501" spans="1:6">
      <c r="A501">
        <v>658854</v>
      </c>
      <c r="B501">
        <v>3</v>
      </c>
      <c r="C501">
        <v>1</v>
      </c>
      <c r="D501" s="32">
        <v>43066.512187499997</v>
      </c>
      <c r="E501">
        <v>6</v>
      </c>
      <c r="F501" t="s">
        <v>15</v>
      </c>
    </row>
    <row r="502" spans="1:6">
      <c r="A502">
        <v>637787</v>
      </c>
      <c r="B502">
        <v>3</v>
      </c>
      <c r="C502">
        <v>1</v>
      </c>
      <c r="D502" s="32">
        <v>43067.323217592595</v>
      </c>
      <c r="E502">
        <v>5</v>
      </c>
      <c r="F502" t="s">
        <v>15</v>
      </c>
    </row>
    <row r="503" spans="1:6">
      <c r="A503">
        <v>372650</v>
      </c>
      <c r="B503">
        <v>3</v>
      </c>
      <c r="C503">
        <v>3</v>
      </c>
      <c r="D503" s="32">
        <v>43069.291562500002</v>
      </c>
      <c r="E503">
        <v>3</v>
      </c>
      <c r="F503" t="s">
        <v>15</v>
      </c>
    </row>
    <row r="504" spans="1:6">
      <c r="A504">
        <v>372848</v>
      </c>
      <c r="B504">
        <v>3</v>
      </c>
      <c r="C504">
        <v>1</v>
      </c>
      <c r="D504" s="32">
        <v>43069.078252314815</v>
      </c>
      <c r="E504">
        <v>3</v>
      </c>
      <c r="F504" t="s">
        <v>15</v>
      </c>
    </row>
    <row r="505" spans="1:6">
      <c r="A505">
        <v>577361</v>
      </c>
      <c r="B505">
        <v>3</v>
      </c>
      <c r="C505">
        <v>1</v>
      </c>
      <c r="D505" s="32">
        <v>43067.802777777775</v>
      </c>
      <c r="E505">
        <v>5</v>
      </c>
      <c r="F505" t="s">
        <v>15</v>
      </c>
    </row>
    <row r="506" spans="1:6">
      <c r="A506">
        <v>501076</v>
      </c>
      <c r="B506">
        <v>3</v>
      </c>
      <c r="C506">
        <v>1</v>
      </c>
      <c r="D506" s="32">
        <v>43068.604768518519</v>
      </c>
      <c r="E506">
        <v>4</v>
      </c>
      <c r="F506" t="s">
        <v>15</v>
      </c>
    </row>
    <row r="507" spans="1:6">
      <c r="A507">
        <v>886800</v>
      </c>
      <c r="B507">
        <v>3</v>
      </c>
      <c r="C507">
        <v>1</v>
      </c>
      <c r="D507" s="32">
        <v>43068.583495370367</v>
      </c>
      <c r="E507">
        <v>4</v>
      </c>
      <c r="F507" t="s">
        <v>15</v>
      </c>
    </row>
    <row r="508" spans="1:6">
      <c r="A508">
        <v>116742</v>
      </c>
      <c r="B508">
        <v>3</v>
      </c>
      <c r="C508">
        <v>1</v>
      </c>
      <c r="D508" s="32">
        <v>43064.230370370373</v>
      </c>
      <c r="E508">
        <v>8</v>
      </c>
      <c r="F508" t="s">
        <v>15</v>
      </c>
    </row>
    <row r="509" spans="1:6">
      <c r="A509">
        <v>836804</v>
      </c>
      <c r="B509">
        <v>3</v>
      </c>
      <c r="C509">
        <v>1</v>
      </c>
      <c r="D509" s="32">
        <v>43067.741886574076</v>
      </c>
      <c r="E509">
        <v>5</v>
      </c>
      <c r="F509" t="s">
        <v>15</v>
      </c>
    </row>
    <row r="510" spans="1:6">
      <c r="A510">
        <v>471288</v>
      </c>
      <c r="B510">
        <v>3</v>
      </c>
      <c r="C510">
        <v>1</v>
      </c>
      <c r="D510" s="32">
        <v>43068.306504629632</v>
      </c>
      <c r="E510">
        <v>4</v>
      </c>
      <c r="F510" t="s">
        <v>15</v>
      </c>
    </row>
    <row r="511" spans="1:6">
      <c r="A511">
        <v>346188</v>
      </c>
      <c r="B511">
        <v>3</v>
      </c>
      <c r="C511">
        <v>1</v>
      </c>
      <c r="D511" s="32">
        <v>43065.984479166669</v>
      </c>
      <c r="E511">
        <v>7</v>
      </c>
      <c r="F511" t="s">
        <v>15</v>
      </c>
    </row>
    <row r="512" spans="1:6">
      <c r="A512">
        <v>820321</v>
      </c>
      <c r="B512">
        <v>3</v>
      </c>
      <c r="C512">
        <v>1</v>
      </c>
      <c r="D512" s="32">
        <v>43068.610486111109</v>
      </c>
      <c r="E512">
        <v>4</v>
      </c>
      <c r="F512" t="s">
        <v>15</v>
      </c>
    </row>
    <row r="513" spans="1:6">
      <c r="A513">
        <v>996490</v>
      </c>
      <c r="B513">
        <v>3</v>
      </c>
      <c r="C513">
        <v>1</v>
      </c>
      <c r="D513" s="32">
        <v>43066.015046296299</v>
      </c>
      <c r="E513">
        <v>6</v>
      </c>
      <c r="F513" t="s">
        <v>15</v>
      </c>
    </row>
    <row r="514" spans="1:6">
      <c r="A514">
        <v>384429</v>
      </c>
      <c r="B514">
        <v>3</v>
      </c>
      <c r="C514">
        <v>1</v>
      </c>
      <c r="D514" s="32">
        <v>43067.423437500001</v>
      </c>
      <c r="E514">
        <v>5</v>
      </c>
      <c r="F514" t="s">
        <v>15</v>
      </c>
    </row>
    <row r="515" spans="1:6">
      <c r="A515">
        <v>646818</v>
      </c>
      <c r="B515">
        <v>3</v>
      </c>
      <c r="C515">
        <v>1</v>
      </c>
      <c r="D515" s="32">
        <v>43067.029340277775</v>
      </c>
      <c r="E515">
        <v>5</v>
      </c>
      <c r="F515" t="s">
        <v>15</v>
      </c>
    </row>
    <row r="516" spans="1:6">
      <c r="A516">
        <v>978666</v>
      </c>
      <c r="B516">
        <v>3</v>
      </c>
      <c r="C516">
        <v>1</v>
      </c>
      <c r="D516" s="32">
        <v>43067.574097222219</v>
      </c>
      <c r="E516">
        <v>5</v>
      </c>
      <c r="F516" t="s">
        <v>15</v>
      </c>
    </row>
    <row r="517" spans="1:6">
      <c r="A517">
        <v>425780</v>
      </c>
      <c r="B517">
        <v>3</v>
      </c>
      <c r="C517">
        <v>1</v>
      </c>
      <c r="D517" s="32">
        <v>43067.469652777778</v>
      </c>
      <c r="E517">
        <v>5</v>
      </c>
      <c r="F517" t="s">
        <v>15</v>
      </c>
    </row>
    <row r="518" spans="1:6">
      <c r="A518">
        <v>483191</v>
      </c>
      <c r="B518">
        <v>3</v>
      </c>
      <c r="C518">
        <v>1</v>
      </c>
      <c r="D518" s="32">
        <v>43067.5703125</v>
      </c>
      <c r="E518">
        <v>5</v>
      </c>
      <c r="F518" t="s">
        <v>15</v>
      </c>
    </row>
    <row r="519" spans="1:6">
      <c r="A519">
        <v>154304</v>
      </c>
      <c r="B519">
        <v>3</v>
      </c>
      <c r="C519">
        <v>1</v>
      </c>
      <c r="D519" s="32">
        <v>43065.857719907406</v>
      </c>
      <c r="E519">
        <v>7</v>
      </c>
      <c r="F519" t="s">
        <v>15</v>
      </c>
    </row>
    <row r="520" spans="1:6">
      <c r="A520">
        <v>82658</v>
      </c>
      <c r="B520">
        <v>3</v>
      </c>
      <c r="C520">
        <v>1</v>
      </c>
      <c r="D520" s="32">
        <v>43064.555046296293</v>
      </c>
      <c r="E520">
        <v>8</v>
      </c>
      <c r="F520" t="s">
        <v>15</v>
      </c>
    </row>
    <row r="521" spans="1:6">
      <c r="A521">
        <v>227260</v>
      </c>
      <c r="B521">
        <v>3</v>
      </c>
      <c r="C521">
        <v>1</v>
      </c>
      <c r="D521" s="32">
        <v>43068.562314814815</v>
      </c>
      <c r="E521">
        <v>4</v>
      </c>
      <c r="F521" t="s">
        <v>15</v>
      </c>
    </row>
    <row r="522" spans="1:6">
      <c r="A522">
        <v>730099</v>
      </c>
      <c r="B522">
        <v>3</v>
      </c>
      <c r="C522">
        <v>1</v>
      </c>
      <c r="D522" s="32">
        <v>43067.262743055559</v>
      </c>
      <c r="E522">
        <v>5</v>
      </c>
      <c r="F522" t="s">
        <v>15</v>
      </c>
    </row>
    <row r="523" spans="1:6">
      <c r="A523">
        <v>210426</v>
      </c>
      <c r="B523">
        <v>3</v>
      </c>
      <c r="C523">
        <v>1</v>
      </c>
      <c r="D523" s="32">
        <v>43067.359363425923</v>
      </c>
      <c r="E523">
        <v>5</v>
      </c>
      <c r="F523" t="s">
        <v>15</v>
      </c>
    </row>
    <row r="524" spans="1:6">
      <c r="A524">
        <v>178870</v>
      </c>
      <c r="B524">
        <v>3</v>
      </c>
      <c r="C524">
        <v>1</v>
      </c>
      <c r="D524" s="32">
        <v>43065.273217592592</v>
      </c>
      <c r="E524">
        <v>7</v>
      </c>
      <c r="F524" t="s">
        <v>15</v>
      </c>
    </row>
    <row r="525" spans="1:6">
      <c r="A525">
        <v>390340</v>
      </c>
      <c r="B525">
        <v>3</v>
      </c>
      <c r="C525">
        <v>1</v>
      </c>
      <c r="D525" s="32">
        <v>43065.283622685187</v>
      </c>
      <c r="E525">
        <v>7</v>
      </c>
      <c r="F525" t="s">
        <v>15</v>
      </c>
    </row>
    <row r="526" spans="1:6">
      <c r="A526">
        <v>758751</v>
      </c>
      <c r="B526">
        <v>3</v>
      </c>
      <c r="C526">
        <v>1</v>
      </c>
      <c r="D526" s="32">
        <v>43068.335057870368</v>
      </c>
      <c r="E526">
        <v>4</v>
      </c>
      <c r="F526" t="s">
        <v>15</v>
      </c>
    </row>
    <row r="527" spans="1:6">
      <c r="A527">
        <v>655768</v>
      </c>
      <c r="B527">
        <v>3</v>
      </c>
      <c r="C527">
        <v>1</v>
      </c>
      <c r="D527" s="32">
        <v>43064.088796296295</v>
      </c>
      <c r="E527">
        <v>8</v>
      </c>
      <c r="F527" t="s">
        <v>15</v>
      </c>
    </row>
    <row r="528" spans="1:6">
      <c r="A528">
        <v>662211</v>
      </c>
      <c r="B528">
        <v>3</v>
      </c>
      <c r="C528">
        <v>1</v>
      </c>
      <c r="D528" s="32">
        <v>43068.485891203702</v>
      </c>
      <c r="E528">
        <v>4</v>
      </c>
      <c r="F528" t="s">
        <v>15</v>
      </c>
    </row>
    <row r="529" spans="1:6">
      <c r="A529">
        <v>300306</v>
      </c>
      <c r="B529">
        <v>3</v>
      </c>
      <c r="C529">
        <v>1</v>
      </c>
      <c r="D529" s="32">
        <v>43069.558854166666</v>
      </c>
      <c r="E529">
        <v>3</v>
      </c>
      <c r="F529" t="s">
        <v>15</v>
      </c>
    </row>
    <row r="530" spans="1:6">
      <c r="A530">
        <v>970036</v>
      </c>
      <c r="B530">
        <v>3</v>
      </c>
      <c r="C530">
        <v>1</v>
      </c>
      <c r="D530" s="32">
        <v>43064.19121527778</v>
      </c>
      <c r="E530">
        <v>8</v>
      </c>
      <c r="F530" t="s">
        <v>15</v>
      </c>
    </row>
    <row r="531" spans="1:6">
      <c r="A531">
        <v>877942</v>
      </c>
      <c r="B531">
        <v>3</v>
      </c>
      <c r="C531">
        <v>1</v>
      </c>
      <c r="D531" s="32">
        <v>43066.341631944444</v>
      </c>
      <c r="E531">
        <v>6</v>
      </c>
      <c r="F531" t="s">
        <v>15</v>
      </c>
    </row>
    <row r="532" spans="1:6">
      <c r="A532">
        <v>233689</v>
      </c>
      <c r="B532">
        <v>3</v>
      </c>
      <c r="C532">
        <v>1</v>
      </c>
      <c r="D532" s="32">
        <v>43068.153321759259</v>
      </c>
      <c r="E532">
        <v>4</v>
      </c>
      <c r="F532" t="s">
        <v>15</v>
      </c>
    </row>
    <row r="533" spans="1:6">
      <c r="A533">
        <v>589198</v>
      </c>
      <c r="B533">
        <v>3</v>
      </c>
      <c r="C533">
        <v>1</v>
      </c>
      <c r="D533" s="32">
        <v>43067.605497685188</v>
      </c>
      <c r="E533">
        <v>5</v>
      </c>
      <c r="F533" t="s">
        <v>15</v>
      </c>
    </row>
    <row r="534" spans="1:6">
      <c r="A534">
        <v>71045</v>
      </c>
      <c r="B534">
        <v>3</v>
      </c>
      <c r="C534">
        <v>1</v>
      </c>
      <c r="D534" s="32">
        <v>43065.134629629632</v>
      </c>
      <c r="E534">
        <v>7</v>
      </c>
      <c r="F534" t="s">
        <v>15</v>
      </c>
    </row>
    <row r="535" spans="1:6">
      <c r="A535">
        <v>131919</v>
      </c>
      <c r="B535">
        <v>3</v>
      </c>
      <c r="C535">
        <v>1</v>
      </c>
      <c r="D535" s="32">
        <v>43064.998865740738</v>
      </c>
      <c r="E535">
        <v>8</v>
      </c>
      <c r="F535" t="s">
        <v>15</v>
      </c>
    </row>
    <row r="536" spans="1:6">
      <c r="A536">
        <v>324665</v>
      </c>
      <c r="B536">
        <v>3</v>
      </c>
      <c r="C536">
        <v>1</v>
      </c>
      <c r="D536" s="32">
        <v>43064.150462962964</v>
      </c>
      <c r="E536">
        <v>8</v>
      </c>
      <c r="F536" t="s">
        <v>15</v>
      </c>
    </row>
    <row r="537" spans="1:6">
      <c r="A537">
        <v>69922</v>
      </c>
      <c r="B537">
        <v>3</v>
      </c>
      <c r="C537">
        <v>1</v>
      </c>
      <c r="D537" s="32">
        <v>43069.379305555558</v>
      </c>
      <c r="E537">
        <v>3</v>
      </c>
      <c r="F537" t="s">
        <v>15</v>
      </c>
    </row>
    <row r="538" spans="1:6">
      <c r="A538">
        <v>883696</v>
      </c>
      <c r="B538">
        <v>3</v>
      </c>
      <c r="C538">
        <v>2</v>
      </c>
      <c r="D538" s="32">
        <v>43066.474710648145</v>
      </c>
      <c r="E538">
        <v>6</v>
      </c>
      <c r="F538" t="s">
        <v>15</v>
      </c>
    </row>
    <row r="539" spans="1:6">
      <c r="A539">
        <v>330641</v>
      </c>
      <c r="B539">
        <v>3</v>
      </c>
      <c r="C539">
        <v>1</v>
      </c>
      <c r="D539" s="32">
        <v>43069.615289351852</v>
      </c>
      <c r="E539">
        <v>3</v>
      </c>
      <c r="F539" t="s">
        <v>15</v>
      </c>
    </row>
    <row r="540" spans="1:6">
      <c r="A540">
        <v>270665</v>
      </c>
      <c r="B540">
        <v>3</v>
      </c>
      <c r="C540">
        <v>1</v>
      </c>
      <c r="D540" s="32">
        <v>43064.469270833331</v>
      </c>
      <c r="E540">
        <v>8</v>
      </c>
      <c r="F540" t="s">
        <v>15</v>
      </c>
    </row>
    <row r="541" spans="1:6">
      <c r="A541">
        <v>796458</v>
      </c>
      <c r="B541">
        <v>3</v>
      </c>
      <c r="C541">
        <v>2</v>
      </c>
      <c r="D541" s="32">
        <v>43068.138032407405</v>
      </c>
      <c r="E541">
        <v>4</v>
      </c>
      <c r="F541" t="s">
        <v>15</v>
      </c>
    </row>
    <row r="542" spans="1:6">
      <c r="A542">
        <v>783120</v>
      </c>
      <c r="B542">
        <v>3</v>
      </c>
      <c r="C542">
        <v>1</v>
      </c>
      <c r="D542" s="32">
        <v>43068.593692129631</v>
      </c>
      <c r="E542">
        <v>4</v>
      </c>
      <c r="F542" t="s">
        <v>15</v>
      </c>
    </row>
    <row r="543" spans="1:6">
      <c r="A543">
        <v>945794</v>
      </c>
      <c r="B543">
        <v>3</v>
      </c>
      <c r="C543">
        <v>2</v>
      </c>
      <c r="D543" s="32">
        <v>43066.589097222219</v>
      </c>
      <c r="E543">
        <v>6</v>
      </c>
      <c r="F543" t="s">
        <v>15</v>
      </c>
    </row>
    <row r="544" spans="1:6">
      <c r="A544">
        <v>486185</v>
      </c>
      <c r="B544">
        <v>3</v>
      </c>
      <c r="C544">
        <v>1</v>
      </c>
      <c r="D544" s="32">
        <v>43065.753125000003</v>
      </c>
      <c r="E544">
        <v>7</v>
      </c>
      <c r="F544" t="s">
        <v>15</v>
      </c>
    </row>
    <row r="545" spans="1:6">
      <c r="A545">
        <v>652867</v>
      </c>
      <c r="B545">
        <v>3</v>
      </c>
      <c r="C545">
        <v>1</v>
      </c>
      <c r="D545" s="32">
        <v>43066.502962962964</v>
      </c>
      <c r="E545">
        <v>6</v>
      </c>
      <c r="F545" t="s">
        <v>15</v>
      </c>
    </row>
    <row r="546" spans="1:6">
      <c r="A546">
        <v>439710</v>
      </c>
      <c r="B546">
        <v>3</v>
      </c>
      <c r="C546">
        <v>2</v>
      </c>
      <c r="D546" s="32">
        <v>43065.363333333335</v>
      </c>
      <c r="E546">
        <v>7</v>
      </c>
      <c r="F546" t="s">
        <v>15</v>
      </c>
    </row>
    <row r="547" spans="1:6">
      <c r="A547">
        <v>346011</v>
      </c>
      <c r="B547">
        <v>3</v>
      </c>
      <c r="C547">
        <v>1</v>
      </c>
      <c r="D547" s="32">
        <v>43066.614317129628</v>
      </c>
      <c r="E547">
        <v>6</v>
      </c>
      <c r="F547" t="s">
        <v>15</v>
      </c>
    </row>
    <row r="548" spans="1:6">
      <c r="A548">
        <v>162617</v>
      </c>
      <c r="B548">
        <v>3</v>
      </c>
      <c r="C548">
        <v>1</v>
      </c>
      <c r="D548" s="32">
        <v>43069.439837962964</v>
      </c>
      <c r="E548">
        <v>3</v>
      </c>
      <c r="F548" t="s">
        <v>15</v>
      </c>
    </row>
    <row r="549" spans="1:6">
      <c r="A549">
        <v>251926</v>
      </c>
      <c r="B549">
        <v>3</v>
      </c>
      <c r="C549">
        <v>1</v>
      </c>
      <c r="D549" s="32">
        <v>43066.606724537036</v>
      </c>
      <c r="E549">
        <v>6</v>
      </c>
      <c r="F549" t="s">
        <v>15</v>
      </c>
    </row>
    <row r="550" spans="1:6">
      <c r="A550">
        <v>266665</v>
      </c>
      <c r="B550">
        <v>3</v>
      </c>
      <c r="C550">
        <v>1</v>
      </c>
      <c r="D550" s="32">
        <v>43069.384247685186</v>
      </c>
      <c r="E550">
        <v>3</v>
      </c>
      <c r="F550" t="s">
        <v>15</v>
      </c>
    </row>
    <row r="551" spans="1:6">
      <c r="A551">
        <v>441194</v>
      </c>
      <c r="B551">
        <v>3</v>
      </c>
      <c r="C551">
        <v>1</v>
      </c>
      <c r="D551" s="32">
        <v>43064.368750000001</v>
      </c>
      <c r="E551">
        <v>8</v>
      </c>
      <c r="F551" t="s">
        <v>15</v>
      </c>
    </row>
    <row r="552" spans="1:6">
      <c r="A552">
        <v>267056</v>
      </c>
      <c r="B552">
        <v>3</v>
      </c>
      <c r="C552">
        <v>1</v>
      </c>
      <c r="D552" s="32">
        <v>43068.665960648148</v>
      </c>
      <c r="E552">
        <v>4</v>
      </c>
      <c r="F552" t="s">
        <v>15</v>
      </c>
    </row>
    <row r="553" spans="1:6">
      <c r="A553">
        <v>445901</v>
      </c>
      <c r="B553">
        <v>3</v>
      </c>
      <c r="C553">
        <v>1</v>
      </c>
      <c r="D553" s="32">
        <v>43066.226064814815</v>
      </c>
      <c r="E553">
        <v>6</v>
      </c>
      <c r="F553" t="s">
        <v>15</v>
      </c>
    </row>
    <row r="554" spans="1:6">
      <c r="A554">
        <v>245821</v>
      </c>
      <c r="B554">
        <v>3</v>
      </c>
      <c r="C554">
        <v>1</v>
      </c>
      <c r="D554" s="32">
        <v>43067.115370370368</v>
      </c>
      <c r="E554">
        <v>5</v>
      </c>
      <c r="F554" t="s">
        <v>15</v>
      </c>
    </row>
    <row r="555" spans="1:6">
      <c r="A555">
        <v>889471</v>
      </c>
      <c r="B555">
        <v>3</v>
      </c>
      <c r="C555">
        <v>1</v>
      </c>
      <c r="D555" s="32">
        <v>43069.598761574074</v>
      </c>
      <c r="E555">
        <v>3</v>
      </c>
      <c r="F555" t="s">
        <v>15</v>
      </c>
    </row>
    <row r="556" spans="1:6">
      <c r="A556">
        <v>861287</v>
      </c>
      <c r="B556">
        <v>3</v>
      </c>
      <c r="C556">
        <v>1</v>
      </c>
      <c r="D556" s="32">
        <v>43068.450601851851</v>
      </c>
      <c r="E556">
        <v>4</v>
      </c>
      <c r="F556" t="s">
        <v>15</v>
      </c>
    </row>
    <row r="557" spans="1:6">
      <c r="A557">
        <v>760049</v>
      </c>
      <c r="B557">
        <v>3</v>
      </c>
      <c r="C557">
        <v>1</v>
      </c>
      <c r="D557" s="32">
        <v>43069.62605324074</v>
      </c>
      <c r="E557">
        <v>3</v>
      </c>
      <c r="F557" t="s">
        <v>15</v>
      </c>
    </row>
    <row r="558" spans="1:6">
      <c r="A558">
        <v>1016961</v>
      </c>
      <c r="B558">
        <v>3</v>
      </c>
      <c r="C558">
        <v>1</v>
      </c>
      <c r="D558" s="32">
        <v>43064.565462962964</v>
      </c>
      <c r="E558">
        <v>8</v>
      </c>
      <c r="F558" t="s">
        <v>15</v>
      </c>
    </row>
    <row r="559" spans="1:6">
      <c r="A559">
        <v>501080</v>
      </c>
      <c r="B559">
        <v>3</v>
      </c>
      <c r="C559">
        <v>1</v>
      </c>
      <c r="D559" s="32">
        <v>43064.629432870373</v>
      </c>
      <c r="E559">
        <v>8</v>
      </c>
      <c r="F559" t="s">
        <v>15</v>
      </c>
    </row>
    <row r="560" spans="1:6">
      <c r="A560">
        <v>867643</v>
      </c>
      <c r="B560">
        <v>3</v>
      </c>
      <c r="C560">
        <v>1</v>
      </c>
      <c r="D560" s="32">
        <v>43065.703634259262</v>
      </c>
      <c r="E560">
        <v>7</v>
      </c>
      <c r="F560" t="s">
        <v>15</v>
      </c>
    </row>
    <row r="561" spans="1:6">
      <c r="A561">
        <v>879801</v>
      </c>
      <c r="B561">
        <v>3</v>
      </c>
      <c r="C561">
        <v>1</v>
      </c>
      <c r="D561" s="32">
        <v>43065.269224537034</v>
      </c>
      <c r="E561">
        <v>7</v>
      </c>
      <c r="F561" t="s">
        <v>15</v>
      </c>
    </row>
    <row r="562" spans="1:6">
      <c r="A562">
        <v>1013133</v>
      </c>
      <c r="B562">
        <v>3</v>
      </c>
      <c r="C562">
        <v>1</v>
      </c>
      <c r="D562" s="32">
        <v>43064.54173611111</v>
      </c>
      <c r="E562">
        <v>8</v>
      </c>
      <c r="F562" t="s">
        <v>15</v>
      </c>
    </row>
    <row r="563" spans="1:6">
      <c r="A563">
        <v>141132</v>
      </c>
      <c r="B563">
        <v>3</v>
      </c>
      <c r="C563">
        <v>1</v>
      </c>
      <c r="D563" s="32">
        <v>43067.691030092596</v>
      </c>
      <c r="E563">
        <v>5</v>
      </c>
      <c r="F563" t="s">
        <v>15</v>
      </c>
    </row>
    <row r="564" spans="1:6">
      <c r="A564">
        <v>143867</v>
      </c>
      <c r="B564">
        <v>3</v>
      </c>
      <c r="C564">
        <v>1</v>
      </c>
      <c r="D564" s="32">
        <v>43064.563240740739</v>
      </c>
      <c r="E564">
        <v>8</v>
      </c>
      <c r="F564" t="s">
        <v>15</v>
      </c>
    </row>
    <row r="565" spans="1:6">
      <c r="A565">
        <v>356350</v>
      </c>
      <c r="B565">
        <v>3</v>
      </c>
      <c r="C565">
        <v>1</v>
      </c>
      <c r="D565" s="32">
        <v>43068.522638888891</v>
      </c>
      <c r="E565">
        <v>4</v>
      </c>
      <c r="F565" t="s">
        <v>15</v>
      </c>
    </row>
    <row r="566" spans="1:6">
      <c r="A566">
        <v>470117</v>
      </c>
      <c r="B566">
        <v>3</v>
      </c>
      <c r="C566">
        <v>1</v>
      </c>
      <c r="D566" s="32">
        <v>43069.725532407407</v>
      </c>
      <c r="E566">
        <v>3</v>
      </c>
      <c r="F566" t="s">
        <v>15</v>
      </c>
    </row>
    <row r="567" spans="1:6">
      <c r="A567">
        <v>804599</v>
      </c>
      <c r="B567">
        <v>3</v>
      </c>
      <c r="C567">
        <v>1</v>
      </c>
      <c r="D567" s="32">
        <v>43068.525914351849</v>
      </c>
      <c r="E567">
        <v>4</v>
      </c>
      <c r="F567" t="s">
        <v>15</v>
      </c>
    </row>
    <row r="568" spans="1:6">
      <c r="A568">
        <v>148333</v>
      </c>
      <c r="B568">
        <v>3</v>
      </c>
      <c r="C568">
        <v>1</v>
      </c>
      <c r="D568" s="32">
        <v>43065.670752314814</v>
      </c>
      <c r="E568">
        <v>7</v>
      </c>
      <c r="F568" t="s">
        <v>15</v>
      </c>
    </row>
    <row r="569" spans="1:6">
      <c r="A569">
        <v>365141</v>
      </c>
      <c r="B569">
        <v>3</v>
      </c>
      <c r="C569">
        <v>1</v>
      </c>
      <c r="D569" s="32">
        <v>43066.122407407405</v>
      </c>
      <c r="E569">
        <v>6</v>
      </c>
      <c r="F569" t="s">
        <v>15</v>
      </c>
    </row>
    <row r="570" spans="1:6">
      <c r="A570">
        <v>819564</v>
      </c>
      <c r="B570">
        <v>3</v>
      </c>
      <c r="C570">
        <v>1</v>
      </c>
      <c r="D570" s="32">
        <v>43065.586782407408</v>
      </c>
      <c r="E570">
        <v>7</v>
      </c>
      <c r="F570" t="s">
        <v>15</v>
      </c>
    </row>
    <row r="571" spans="1:6">
      <c r="A571">
        <v>268735</v>
      </c>
      <c r="B571">
        <v>3</v>
      </c>
      <c r="C571">
        <v>1</v>
      </c>
      <c r="D571" s="32">
        <v>43069.373240740744</v>
      </c>
      <c r="E571">
        <v>3</v>
      </c>
      <c r="F571" t="s">
        <v>15</v>
      </c>
    </row>
    <row r="572" spans="1:6">
      <c r="A572">
        <v>455478</v>
      </c>
      <c r="B572">
        <v>3</v>
      </c>
      <c r="C572">
        <v>1</v>
      </c>
      <c r="D572" s="32">
        <v>43069.995567129627</v>
      </c>
      <c r="E572">
        <v>3</v>
      </c>
      <c r="F572" t="s">
        <v>15</v>
      </c>
    </row>
    <row r="573" spans="1:6">
      <c r="A573">
        <v>521211</v>
      </c>
      <c r="B573">
        <v>3</v>
      </c>
      <c r="C573">
        <v>1</v>
      </c>
      <c r="D573" s="32">
        <v>43065.379594907405</v>
      </c>
      <c r="E573">
        <v>7</v>
      </c>
      <c r="F573" t="s">
        <v>15</v>
      </c>
    </row>
    <row r="574" spans="1:6">
      <c r="A574">
        <v>672845</v>
      </c>
      <c r="B574">
        <v>3</v>
      </c>
      <c r="C574">
        <v>1</v>
      </c>
      <c r="D574" s="32">
        <v>43068.232187499998</v>
      </c>
      <c r="E574">
        <v>4</v>
      </c>
      <c r="F574" t="s">
        <v>15</v>
      </c>
    </row>
    <row r="575" spans="1:6">
      <c r="A575">
        <v>982343</v>
      </c>
      <c r="B575">
        <v>3</v>
      </c>
      <c r="C575">
        <v>1</v>
      </c>
      <c r="D575" s="32">
        <v>43064.177349537036</v>
      </c>
      <c r="E575">
        <v>8</v>
      </c>
      <c r="F575" t="s">
        <v>15</v>
      </c>
    </row>
    <row r="576" spans="1:6">
      <c r="A576">
        <v>673805</v>
      </c>
      <c r="B576">
        <v>3</v>
      </c>
      <c r="C576">
        <v>1</v>
      </c>
      <c r="D576" s="32">
        <v>43068.378634259258</v>
      </c>
      <c r="E576">
        <v>4</v>
      </c>
      <c r="F576" t="s">
        <v>15</v>
      </c>
    </row>
    <row r="577" spans="1:6">
      <c r="A577">
        <v>700540</v>
      </c>
      <c r="B577">
        <v>3</v>
      </c>
      <c r="C577">
        <v>1</v>
      </c>
      <c r="D577" s="32">
        <v>43067.544733796298</v>
      </c>
      <c r="E577">
        <v>5</v>
      </c>
      <c r="F577" t="s">
        <v>15</v>
      </c>
    </row>
    <row r="578" spans="1:6">
      <c r="A578">
        <v>175899</v>
      </c>
      <c r="B578">
        <v>3</v>
      </c>
      <c r="C578">
        <v>1</v>
      </c>
      <c r="D578" s="32">
        <v>43064.313171296293</v>
      </c>
      <c r="E578">
        <v>8</v>
      </c>
      <c r="F578" t="s">
        <v>15</v>
      </c>
    </row>
    <row r="579" spans="1:6">
      <c r="A579">
        <v>520638</v>
      </c>
      <c r="B579">
        <v>3</v>
      </c>
      <c r="C579">
        <v>1</v>
      </c>
      <c r="D579" s="32">
        <v>43067.026643518519</v>
      </c>
      <c r="E579">
        <v>5</v>
      </c>
      <c r="F579" t="s">
        <v>15</v>
      </c>
    </row>
    <row r="580" spans="1:6">
      <c r="A580">
        <v>280159</v>
      </c>
      <c r="B580">
        <v>3</v>
      </c>
      <c r="C580">
        <v>1</v>
      </c>
      <c r="D580" s="32">
        <v>43069.0858912037</v>
      </c>
      <c r="E580">
        <v>3</v>
      </c>
      <c r="F580" t="s">
        <v>15</v>
      </c>
    </row>
    <row r="581" spans="1:6">
      <c r="A581">
        <v>690827</v>
      </c>
      <c r="B581">
        <v>3</v>
      </c>
      <c r="C581">
        <v>1</v>
      </c>
      <c r="D581" s="32">
        <v>43064.358842592592</v>
      </c>
      <c r="E581">
        <v>8</v>
      </c>
      <c r="F581" t="s">
        <v>15</v>
      </c>
    </row>
    <row r="582" spans="1:6">
      <c r="A582">
        <v>880234</v>
      </c>
      <c r="B582">
        <v>3</v>
      </c>
      <c r="C582">
        <v>1</v>
      </c>
      <c r="D582" s="32">
        <v>43066.362581018519</v>
      </c>
      <c r="E582">
        <v>6</v>
      </c>
      <c r="F582" t="s">
        <v>15</v>
      </c>
    </row>
    <row r="583" spans="1:6">
      <c r="A583">
        <v>65077</v>
      </c>
      <c r="B583">
        <v>3</v>
      </c>
      <c r="C583">
        <v>1</v>
      </c>
      <c r="D583" s="32">
        <v>43066.345648148148</v>
      </c>
      <c r="E583">
        <v>6</v>
      </c>
      <c r="F583" t="s">
        <v>15</v>
      </c>
    </row>
    <row r="584" spans="1:6">
      <c r="A584">
        <v>801550</v>
      </c>
      <c r="B584">
        <v>3</v>
      </c>
      <c r="C584">
        <v>1</v>
      </c>
      <c r="D584" s="32">
        <v>43069.118634259263</v>
      </c>
      <c r="E584">
        <v>3</v>
      </c>
      <c r="F584" t="s">
        <v>15</v>
      </c>
    </row>
    <row r="585" spans="1:6">
      <c r="A585">
        <v>312692</v>
      </c>
      <c r="B585">
        <v>3</v>
      </c>
      <c r="C585">
        <v>1</v>
      </c>
      <c r="D585" s="32">
        <v>43064.447974537034</v>
      </c>
      <c r="E585">
        <v>8</v>
      </c>
      <c r="F585" t="s">
        <v>15</v>
      </c>
    </row>
    <row r="586" spans="1:6">
      <c r="A586">
        <v>365405</v>
      </c>
      <c r="B586">
        <v>3</v>
      </c>
      <c r="C586">
        <v>1</v>
      </c>
      <c r="D586" s="32">
        <v>43068.184490740743</v>
      </c>
      <c r="E586">
        <v>4</v>
      </c>
      <c r="F586" t="s">
        <v>15</v>
      </c>
    </row>
    <row r="587" spans="1:6">
      <c r="A587">
        <v>676327</v>
      </c>
      <c r="B587">
        <v>3</v>
      </c>
      <c r="C587">
        <v>1</v>
      </c>
      <c r="D587" s="32">
        <v>43067.509571759256</v>
      </c>
      <c r="E587">
        <v>5</v>
      </c>
      <c r="F587" t="s">
        <v>15</v>
      </c>
    </row>
    <row r="588" spans="1:6">
      <c r="A588">
        <v>827305</v>
      </c>
      <c r="B588">
        <v>3</v>
      </c>
      <c r="C588">
        <v>1</v>
      </c>
      <c r="D588" s="32">
        <v>43068.43891203704</v>
      </c>
      <c r="E588">
        <v>4</v>
      </c>
      <c r="F588" t="s">
        <v>15</v>
      </c>
    </row>
    <row r="589" spans="1:6">
      <c r="A589">
        <v>247226</v>
      </c>
      <c r="B589">
        <v>3</v>
      </c>
      <c r="C589">
        <v>1</v>
      </c>
      <c r="D589" s="32">
        <v>43065.594895833332</v>
      </c>
      <c r="E589">
        <v>7</v>
      </c>
      <c r="F589" t="s">
        <v>15</v>
      </c>
    </row>
    <row r="590" spans="1:6">
      <c r="A590">
        <v>564245</v>
      </c>
      <c r="B590">
        <v>3</v>
      </c>
      <c r="C590">
        <v>1</v>
      </c>
      <c r="D590" s="32">
        <v>43066.041319444441</v>
      </c>
      <c r="E590">
        <v>6</v>
      </c>
      <c r="F590" t="s">
        <v>15</v>
      </c>
    </row>
    <row r="591" spans="1:6">
      <c r="A591">
        <v>374603</v>
      </c>
      <c r="B591">
        <v>3</v>
      </c>
      <c r="C591">
        <v>1</v>
      </c>
      <c r="D591" s="32">
        <v>43065.373287037037</v>
      </c>
      <c r="E591">
        <v>7</v>
      </c>
      <c r="F591" t="s">
        <v>15</v>
      </c>
    </row>
    <row r="592" spans="1:6">
      <c r="A592">
        <v>667107</v>
      </c>
      <c r="B592">
        <v>3</v>
      </c>
      <c r="C592">
        <v>1</v>
      </c>
      <c r="D592" s="32">
        <v>43066.264872685184</v>
      </c>
      <c r="E592">
        <v>6</v>
      </c>
      <c r="F592" t="s">
        <v>15</v>
      </c>
    </row>
    <row r="593" spans="1:6">
      <c r="A593">
        <v>760691</v>
      </c>
      <c r="B593">
        <v>3</v>
      </c>
      <c r="C593">
        <v>1</v>
      </c>
      <c r="D593" s="32">
        <v>43069.453738425924</v>
      </c>
      <c r="E593">
        <v>3</v>
      </c>
      <c r="F593" t="s">
        <v>15</v>
      </c>
    </row>
    <row r="594" spans="1:6">
      <c r="A594">
        <v>37881</v>
      </c>
      <c r="B594">
        <v>3</v>
      </c>
      <c r="C594">
        <v>1</v>
      </c>
      <c r="D594" s="32">
        <v>43069.681956018518</v>
      </c>
      <c r="E594">
        <v>3</v>
      </c>
      <c r="F594" t="s">
        <v>15</v>
      </c>
    </row>
    <row r="595" spans="1:6">
      <c r="A595">
        <v>316190</v>
      </c>
      <c r="B595">
        <v>3</v>
      </c>
      <c r="C595">
        <v>1</v>
      </c>
      <c r="D595" s="32">
        <v>43066.057523148149</v>
      </c>
      <c r="E595">
        <v>6</v>
      </c>
      <c r="F595" t="s">
        <v>15</v>
      </c>
    </row>
    <row r="596" spans="1:6">
      <c r="A596">
        <v>286706</v>
      </c>
      <c r="B596">
        <v>3</v>
      </c>
      <c r="C596">
        <v>1</v>
      </c>
      <c r="D596" s="32">
        <v>43065.963333333333</v>
      </c>
      <c r="E596">
        <v>7</v>
      </c>
      <c r="F596" t="s">
        <v>15</v>
      </c>
    </row>
    <row r="597" spans="1:6">
      <c r="A597">
        <v>25741</v>
      </c>
      <c r="B597">
        <v>3</v>
      </c>
      <c r="C597">
        <v>1</v>
      </c>
      <c r="D597" s="32">
        <v>43069.544537037036</v>
      </c>
      <c r="E597">
        <v>3</v>
      </c>
      <c r="F597" t="s">
        <v>15</v>
      </c>
    </row>
    <row r="598" spans="1:6">
      <c r="A598">
        <v>396203</v>
      </c>
      <c r="B598">
        <v>3</v>
      </c>
      <c r="C598">
        <v>1</v>
      </c>
      <c r="D598" s="32">
        <v>43069.263124999998</v>
      </c>
      <c r="E598">
        <v>3</v>
      </c>
      <c r="F598" t="s">
        <v>15</v>
      </c>
    </row>
    <row r="599" spans="1:6">
      <c r="A599">
        <v>68395</v>
      </c>
      <c r="B599">
        <v>3</v>
      </c>
      <c r="C599">
        <v>1</v>
      </c>
      <c r="D599" s="32">
        <v>43068.059328703705</v>
      </c>
      <c r="E599">
        <v>4</v>
      </c>
      <c r="F599" t="s">
        <v>15</v>
      </c>
    </row>
    <row r="600" spans="1:6">
      <c r="A600">
        <v>377394</v>
      </c>
      <c r="B600">
        <v>3</v>
      </c>
      <c r="C600">
        <v>1</v>
      </c>
      <c r="D600" s="32">
        <v>43068.140393518515</v>
      </c>
      <c r="E600">
        <v>4</v>
      </c>
      <c r="F600" t="s">
        <v>15</v>
      </c>
    </row>
    <row r="601" spans="1:6">
      <c r="A601">
        <v>570699</v>
      </c>
      <c r="B601">
        <v>3</v>
      </c>
      <c r="C601">
        <v>2</v>
      </c>
      <c r="D601" s="32">
        <v>43064.239259259259</v>
      </c>
      <c r="E601">
        <v>8</v>
      </c>
      <c r="F601" t="s">
        <v>15</v>
      </c>
    </row>
    <row r="602" spans="1:6">
      <c r="A602">
        <v>708682</v>
      </c>
      <c r="B602">
        <v>3</v>
      </c>
      <c r="C602">
        <v>1</v>
      </c>
      <c r="D602" s="32">
        <v>43064.615208333336</v>
      </c>
      <c r="E602">
        <v>8</v>
      </c>
      <c r="F602" t="s">
        <v>15</v>
      </c>
    </row>
    <row r="603" spans="1:6">
      <c r="A603">
        <v>765712</v>
      </c>
      <c r="B603">
        <v>3</v>
      </c>
      <c r="C603">
        <v>1</v>
      </c>
      <c r="D603" s="32">
        <v>43066.47079861111</v>
      </c>
      <c r="E603">
        <v>6</v>
      </c>
      <c r="F603" t="s">
        <v>15</v>
      </c>
    </row>
    <row r="604" spans="1:6">
      <c r="A604">
        <v>50256</v>
      </c>
      <c r="B604">
        <v>3</v>
      </c>
      <c r="C604">
        <v>1</v>
      </c>
      <c r="D604" s="32">
        <v>43064.578657407408</v>
      </c>
      <c r="E604">
        <v>8</v>
      </c>
      <c r="F604" t="s">
        <v>15</v>
      </c>
    </row>
    <row r="605" spans="1:6">
      <c r="A605">
        <v>276356</v>
      </c>
      <c r="B605">
        <v>3</v>
      </c>
      <c r="C605">
        <v>2</v>
      </c>
      <c r="D605" s="32">
        <v>43065.665335648147</v>
      </c>
      <c r="E605">
        <v>7</v>
      </c>
      <c r="F605" t="s">
        <v>15</v>
      </c>
    </row>
    <row r="606" spans="1:6">
      <c r="A606">
        <v>493298</v>
      </c>
      <c r="B606">
        <v>3</v>
      </c>
      <c r="C606">
        <v>1</v>
      </c>
      <c r="D606" s="32">
        <v>43064.630150462966</v>
      </c>
      <c r="E606">
        <v>8</v>
      </c>
      <c r="F606" t="s">
        <v>15</v>
      </c>
    </row>
    <row r="607" spans="1:6">
      <c r="A607">
        <v>111757</v>
      </c>
      <c r="B607">
        <v>3</v>
      </c>
      <c r="C607">
        <v>1</v>
      </c>
      <c r="D607" s="32">
        <v>43066.246018518519</v>
      </c>
      <c r="E607">
        <v>6</v>
      </c>
      <c r="F607" t="s">
        <v>15</v>
      </c>
    </row>
    <row r="608" spans="1:6">
      <c r="A608">
        <v>420693</v>
      </c>
      <c r="B608">
        <v>3</v>
      </c>
      <c r="C608">
        <v>1</v>
      </c>
      <c r="D608" s="32">
        <v>43067.578958333332</v>
      </c>
      <c r="E608">
        <v>5</v>
      </c>
      <c r="F608" t="s">
        <v>15</v>
      </c>
    </row>
    <row r="609" spans="1:6">
      <c r="A609">
        <v>802892</v>
      </c>
      <c r="B609">
        <v>3</v>
      </c>
      <c r="C609">
        <v>1</v>
      </c>
      <c r="D609" s="32">
        <v>43064.583923611113</v>
      </c>
      <c r="E609">
        <v>8</v>
      </c>
      <c r="F609" t="s">
        <v>15</v>
      </c>
    </row>
    <row r="610" spans="1:6">
      <c r="A610">
        <v>523377</v>
      </c>
      <c r="B610">
        <v>3</v>
      </c>
      <c r="C610">
        <v>1</v>
      </c>
      <c r="D610" s="32">
        <v>43064.074988425928</v>
      </c>
      <c r="E610">
        <v>8</v>
      </c>
      <c r="F610" t="s">
        <v>15</v>
      </c>
    </row>
    <row r="611" spans="1:6">
      <c r="A611">
        <v>774755</v>
      </c>
      <c r="B611">
        <v>3</v>
      </c>
      <c r="C611">
        <v>1</v>
      </c>
      <c r="D611" s="32">
        <v>43064.085474537038</v>
      </c>
      <c r="E611">
        <v>8</v>
      </c>
      <c r="F611" t="s">
        <v>15</v>
      </c>
    </row>
    <row r="612" spans="1:6">
      <c r="A612">
        <v>266984</v>
      </c>
      <c r="B612">
        <v>3</v>
      </c>
      <c r="C612">
        <v>1</v>
      </c>
      <c r="D612" s="32">
        <v>43066.343310185184</v>
      </c>
      <c r="E612">
        <v>6</v>
      </c>
      <c r="F612" t="s">
        <v>15</v>
      </c>
    </row>
    <row r="613" spans="1:6">
      <c r="A613">
        <v>482079</v>
      </c>
      <c r="B613">
        <v>3</v>
      </c>
      <c r="C613">
        <v>1</v>
      </c>
      <c r="D613" s="32">
        <v>43067.392291666663</v>
      </c>
      <c r="E613">
        <v>5</v>
      </c>
      <c r="F613" t="s">
        <v>15</v>
      </c>
    </row>
    <row r="614" spans="1:6">
      <c r="A614">
        <v>744557</v>
      </c>
      <c r="B614">
        <v>3</v>
      </c>
      <c r="C614">
        <v>1</v>
      </c>
      <c r="D614" s="32">
        <v>43064.743437500001</v>
      </c>
      <c r="E614">
        <v>8</v>
      </c>
      <c r="F614" t="s">
        <v>15</v>
      </c>
    </row>
    <row r="615" spans="1:6">
      <c r="A615">
        <v>578718</v>
      </c>
      <c r="B615">
        <v>3</v>
      </c>
      <c r="C615">
        <v>1</v>
      </c>
      <c r="D615" s="32">
        <v>43069.612071759257</v>
      </c>
      <c r="E615">
        <v>3</v>
      </c>
      <c r="F615" t="s">
        <v>15</v>
      </c>
    </row>
    <row r="616" spans="1:6">
      <c r="A616">
        <v>976688</v>
      </c>
      <c r="B616">
        <v>3</v>
      </c>
      <c r="C616">
        <v>1</v>
      </c>
      <c r="D616" s="32">
        <v>43069.696666666663</v>
      </c>
      <c r="E616">
        <v>3</v>
      </c>
      <c r="F616" t="s">
        <v>15</v>
      </c>
    </row>
    <row r="617" spans="1:6">
      <c r="A617">
        <v>243130</v>
      </c>
      <c r="B617">
        <v>3</v>
      </c>
      <c r="C617">
        <v>1</v>
      </c>
      <c r="D617" s="32">
        <v>43066.540243055555</v>
      </c>
      <c r="E617">
        <v>6</v>
      </c>
      <c r="F617" t="s">
        <v>15</v>
      </c>
    </row>
    <row r="618" spans="1:6">
      <c r="A618">
        <v>352183</v>
      </c>
      <c r="B618">
        <v>3</v>
      </c>
      <c r="C618">
        <v>1</v>
      </c>
      <c r="D618" s="32">
        <v>43068.580636574072</v>
      </c>
      <c r="E618">
        <v>4</v>
      </c>
      <c r="F618" t="s">
        <v>15</v>
      </c>
    </row>
    <row r="619" spans="1:6">
      <c r="A619">
        <v>492228</v>
      </c>
      <c r="B619">
        <v>3</v>
      </c>
      <c r="C619">
        <v>1</v>
      </c>
      <c r="D619" s="32">
        <v>43064.537210648145</v>
      </c>
      <c r="E619">
        <v>8</v>
      </c>
      <c r="F619" t="s">
        <v>15</v>
      </c>
    </row>
    <row r="620" spans="1:6">
      <c r="A620">
        <v>865003</v>
      </c>
      <c r="B620">
        <v>3</v>
      </c>
      <c r="C620">
        <v>2</v>
      </c>
      <c r="D620" s="32">
        <v>43067.560659722221</v>
      </c>
      <c r="E620">
        <v>5</v>
      </c>
      <c r="F620" t="s">
        <v>15</v>
      </c>
    </row>
    <row r="621" spans="1:6">
      <c r="A621">
        <v>641159</v>
      </c>
      <c r="B621">
        <v>3</v>
      </c>
      <c r="C621">
        <v>1</v>
      </c>
      <c r="D621" s="32">
        <v>43069.27542824074</v>
      </c>
      <c r="E621">
        <v>3</v>
      </c>
      <c r="F621" t="s">
        <v>15</v>
      </c>
    </row>
    <row r="622" spans="1:6">
      <c r="A622">
        <v>591436</v>
      </c>
      <c r="B622">
        <v>3</v>
      </c>
      <c r="C622">
        <v>1</v>
      </c>
      <c r="D622" s="32">
        <v>43064.556562500002</v>
      </c>
      <c r="E622">
        <v>8</v>
      </c>
      <c r="F622" t="s">
        <v>15</v>
      </c>
    </row>
    <row r="623" spans="1:6">
      <c r="A623">
        <v>53965</v>
      </c>
      <c r="B623">
        <v>3</v>
      </c>
      <c r="C623">
        <v>1</v>
      </c>
      <c r="D623" s="32">
        <v>43068.07603009259</v>
      </c>
      <c r="E623">
        <v>4</v>
      </c>
      <c r="F623" t="s">
        <v>15</v>
      </c>
    </row>
    <row r="624" spans="1:6">
      <c r="A624">
        <v>252659</v>
      </c>
      <c r="B624">
        <v>3</v>
      </c>
      <c r="C624">
        <v>1</v>
      </c>
      <c r="D624" s="32">
        <v>43064.57675925926</v>
      </c>
      <c r="E624">
        <v>8</v>
      </c>
      <c r="F624" t="s">
        <v>15</v>
      </c>
    </row>
    <row r="625" spans="1:6">
      <c r="A625">
        <v>1015918</v>
      </c>
      <c r="B625">
        <v>3</v>
      </c>
      <c r="C625">
        <v>2</v>
      </c>
      <c r="D625" s="32">
        <v>43067.111666666664</v>
      </c>
      <c r="E625">
        <v>5</v>
      </c>
      <c r="F625" t="s">
        <v>15</v>
      </c>
    </row>
    <row r="626" spans="1:6">
      <c r="A626">
        <v>759302</v>
      </c>
      <c r="B626">
        <v>3</v>
      </c>
      <c r="C626">
        <v>1</v>
      </c>
      <c r="D626" s="32">
        <v>43066.51767361111</v>
      </c>
      <c r="E626">
        <v>6</v>
      </c>
      <c r="F626" t="s">
        <v>15</v>
      </c>
    </row>
    <row r="627" spans="1:6">
      <c r="A627">
        <v>713678</v>
      </c>
      <c r="B627">
        <v>3</v>
      </c>
      <c r="C627">
        <v>2</v>
      </c>
      <c r="D627" s="32">
        <v>43068.367222222223</v>
      </c>
      <c r="E627">
        <v>4</v>
      </c>
      <c r="F627" t="s">
        <v>15</v>
      </c>
    </row>
    <row r="628" spans="1:6">
      <c r="A628">
        <v>749605</v>
      </c>
      <c r="B628">
        <v>3</v>
      </c>
      <c r="C628">
        <v>1</v>
      </c>
      <c r="D628" s="32">
        <v>43068.59957175926</v>
      </c>
      <c r="E628">
        <v>4</v>
      </c>
      <c r="F628" t="s">
        <v>15</v>
      </c>
    </row>
    <row r="629" spans="1:6">
      <c r="A629">
        <v>907690</v>
      </c>
      <c r="B629">
        <v>3</v>
      </c>
      <c r="C629">
        <v>3</v>
      </c>
      <c r="D629" s="32">
        <v>43069.548321759263</v>
      </c>
      <c r="E629">
        <v>3</v>
      </c>
      <c r="F629" t="s">
        <v>15</v>
      </c>
    </row>
    <row r="630" spans="1:6">
      <c r="A630">
        <v>507128</v>
      </c>
      <c r="B630">
        <v>3</v>
      </c>
      <c r="C630">
        <v>1</v>
      </c>
      <c r="D630" s="32">
        <v>43069.52857638889</v>
      </c>
      <c r="E630">
        <v>3</v>
      </c>
      <c r="F630" t="s">
        <v>15</v>
      </c>
    </row>
    <row r="631" spans="1:6">
      <c r="A631">
        <v>777437</v>
      </c>
      <c r="B631">
        <v>3</v>
      </c>
      <c r="C631">
        <v>1</v>
      </c>
      <c r="D631" s="32">
        <v>43066.036886574075</v>
      </c>
      <c r="E631">
        <v>6</v>
      </c>
      <c r="F631" t="s">
        <v>15</v>
      </c>
    </row>
    <row r="632" spans="1:6">
      <c r="A632">
        <v>994537</v>
      </c>
      <c r="B632">
        <v>3</v>
      </c>
      <c r="C632">
        <v>1</v>
      </c>
      <c r="D632" s="32">
        <v>43067.2424537037</v>
      </c>
      <c r="E632">
        <v>5</v>
      </c>
      <c r="F632" t="s">
        <v>15</v>
      </c>
    </row>
    <row r="633" spans="1:6">
      <c r="A633">
        <v>287162</v>
      </c>
      <c r="B633">
        <v>3</v>
      </c>
      <c r="C633">
        <v>1</v>
      </c>
      <c r="D633" s="32">
        <v>43069.306307870371</v>
      </c>
      <c r="E633">
        <v>3</v>
      </c>
      <c r="F633" t="s">
        <v>15</v>
      </c>
    </row>
    <row r="634" spans="1:6">
      <c r="A634">
        <v>704899</v>
      </c>
      <c r="B634">
        <v>3</v>
      </c>
      <c r="C634">
        <v>1</v>
      </c>
      <c r="D634" s="32">
        <v>43069.245162037034</v>
      </c>
      <c r="E634">
        <v>3</v>
      </c>
      <c r="F634" t="s">
        <v>15</v>
      </c>
    </row>
    <row r="635" spans="1:6">
      <c r="A635">
        <v>705409</v>
      </c>
      <c r="B635">
        <v>3</v>
      </c>
      <c r="C635">
        <v>1</v>
      </c>
      <c r="D635" s="32">
        <v>43064.468032407407</v>
      </c>
      <c r="E635">
        <v>8</v>
      </c>
      <c r="F635" t="s">
        <v>15</v>
      </c>
    </row>
    <row r="636" spans="1:6">
      <c r="A636">
        <v>838837</v>
      </c>
      <c r="B636">
        <v>3</v>
      </c>
      <c r="C636">
        <v>2</v>
      </c>
      <c r="D636" s="32">
        <v>43069.527453703704</v>
      </c>
      <c r="E636">
        <v>3</v>
      </c>
      <c r="F636" t="s">
        <v>15</v>
      </c>
    </row>
    <row r="637" spans="1:6">
      <c r="A637">
        <v>211308</v>
      </c>
      <c r="B637">
        <v>3</v>
      </c>
      <c r="C637">
        <v>1</v>
      </c>
      <c r="D637" s="32">
        <v>43064.577743055554</v>
      </c>
      <c r="E637">
        <v>8</v>
      </c>
      <c r="F637" t="s">
        <v>15</v>
      </c>
    </row>
    <row r="638" spans="1:6">
      <c r="A638">
        <v>565126</v>
      </c>
      <c r="B638">
        <v>3</v>
      </c>
      <c r="C638">
        <v>1</v>
      </c>
      <c r="D638" s="32">
        <v>43065.080127314817</v>
      </c>
      <c r="E638">
        <v>7</v>
      </c>
      <c r="F638" t="s">
        <v>15</v>
      </c>
    </row>
    <row r="639" spans="1:6">
      <c r="A639">
        <v>10599</v>
      </c>
      <c r="B639">
        <v>3</v>
      </c>
      <c r="C639">
        <v>1</v>
      </c>
      <c r="D639" s="32">
        <v>43069.197326388887</v>
      </c>
      <c r="E639">
        <v>3</v>
      </c>
      <c r="F639" t="s">
        <v>15</v>
      </c>
    </row>
    <row r="640" spans="1:6">
      <c r="A640">
        <v>655349</v>
      </c>
      <c r="B640">
        <v>3</v>
      </c>
      <c r="C640">
        <v>1</v>
      </c>
      <c r="D640" s="32">
        <v>43067.082245370373</v>
      </c>
      <c r="E640">
        <v>5</v>
      </c>
      <c r="F640" t="s">
        <v>15</v>
      </c>
    </row>
    <row r="641" spans="1:6">
      <c r="A641">
        <v>337504</v>
      </c>
      <c r="B641">
        <v>3</v>
      </c>
      <c r="C641">
        <v>1</v>
      </c>
      <c r="D641" s="32">
        <v>43064.033622685187</v>
      </c>
      <c r="E641">
        <v>8</v>
      </c>
      <c r="F641" t="s">
        <v>15</v>
      </c>
    </row>
    <row r="642" spans="1:6">
      <c r="A642">
        <v>510029</v>
      </c>
      <c r="B642">
        <v>3</v>
      </c>
      <c r="C642">
        <v>1</v>
      </c>
      <c r="D642" s="32">
        <v>43066.219363425924</v>
      </c>
      <c r="E642">
        <v>6</v>
      </c>
      <c r="F642" t="s">
        <v>15</v>
      </c>
    </row>
    <row r="643" spans="1:6">
      <c r="A643">
        <v>484933</v>
      </c>
      <c r="B643">
        <v>3</v>
      </c>
      <c r="C643">
        <v>2</v>
      </c>
      <c r="D643" s="32">
        <v>43069.440185185187</v>
      </c>
      <c r="E643">
        <v>3</v>
      </c>
      <c r="F643" t="s">
        <v>15</v>
      </c>
    </row>
    <row r="644" spans="1:6">
      <c r="A644">
        <v>105491</v>
      </c>
      <c r="B644">
        <v>3</v>
      </c>
      <c r="C644">
        <v>1</v>
      </c>
      <c r="D644" s="32">
        <v>43069.33021990741</v>
      </c>
      <c r="E644">
        <v>3</v>
      </c>
      <c r="F644" t="s">
        <v>15</v>
      </c>
    </row>
    <row r="645" spans="1:6">
      <c r="A645">
        <v>280832</v>
      </c>
      <c r="B645">
        <v>3</v>
      </c>
      <c r="C645">
        <v>1</v>
      </c>
      <c r="D645" s="32">
        <v>43067.356134259258</v>
      </c>
      <c r="E645">
        <v>5</v>
      </c>
      <c r="F645" t="s">
        <v>15</v>
      </c>
    </row>
    <row r="646" spans="1:6">
      <c r="A646">
        <v>414656</v>
      </c>
      <c r="B646">
        <v>3</v>
      </c>
      <c r="C646">
        <v>1</v>
      </c>
      <c r="D646" s="32">
        <v>43069.674861111111</v>
      </c>
      <c r="E646">
        <v>3</v>
      </c>
      <c r="F646" t="s">
        <v>15</v>
      </c>
    </row>
    <row r="647" spans="1:6">
      <c r="A647">
        <v>616080</v>
      </c>
      <c r="B647">
        <v>3</v>
      </c>
      <c r="C647">
        <v>1</v>
      </c>
      <c r="D647" s="32">
        <v>43067.991620370369</v>
      </c>
      <c r="E647">
        <v>5</v>
      </c>
      <c r="F647" t="s">
        <v>15</v>
      </c>
    </row>
    <row r="648" spans="1:6">
      <c r="A648">
        <v>302017</v>
      </c>
      <c r="B648">
        <v>3</v>
      </c>
      <c r="C648">
        <v>1</v>
      </c>
      <c r="D648" s="32">
        <v>43064.185370370367</v>
      </c>
      <c r="E648">
        <v>8</v>
      </c>
      <c r="F648" t="s">
        <v>15</v>
      </c>
    </row>
    <row r="649" spans="1:6">
      <c r="A649">
        <v>937372</v>
      </c>
      <c r="B649">
        <v>3</v>
      </c>
      <c r="C649">
        <v>1</v>
      </c>
      <c r="D649" s="32">
        <v>43069.300219907411</v>
      </c>
      <c r="E649">
        <v>3</v>
      </c>
      <c r="F649" t="s">
        <v>15</v>
      </c>
    </row>
    <row r="650" spans="1:6">
      <c r="A650">
        <v>623529</v>
      </c>
      <c r="B650">
        <v>3</v>
      </c>
      <c r="C650">
        <v>1</v>
      </c>
      <c r="D650" s="32">
        <v>43067.562083333331</v>
      </c>
      <c r="E650">
        <v>5</v>
      </c>
      <c r="F650" t="s">
        <v>15</v>
      </c>
    </row>
    <row r="651" spans="1:6">
      <c r="A651">
        <v>943032</v>
      </c>
      <c r="B651">
        <v>3</v>
      </c>
      <c r="C651">
        <v>1</v>
      </c>
      <c r="D651" s="32">
        <v>43065.371759259258</v>
      </c>
      <c r="E651">
        <v>7</v>
      </c>
      <c r="F651" t="s">
        <v>15</v>
      </c>
    </row>
    <row r="652" spans="1:6">
      <c r="A652">
        <v>852807</v>
      </c>
      <c r="B652">
        <v>3</v>
      </c>
      <c r="C652">
        <v>1</v>
      </c>
      <c r="D652" s="32">
        <v>43064.228645833333</v>
      </c>
      <c r="E652">
        <v>8</v>
      </c>
      <c r="F652" t="s">
        <v>15</v>
      </c>
    </row>
    <row r="653" spans="1:6">
      <c r="A653">
        <v>419762</v>
      </c>
      <c r="B653">
        <v>3</v>
      </c>
      <c r="C653">
        <v>1</v>
      </c>
      <c r="D653" s="32">
        <v>43068.063819444447</v>
      </c>
      <c r="E653">
        <v>4</v>
      </c>
      <c r="F653" t="s">
        <v>15</v>
      </c>
    </row>
    <row r="654" spans="1:6">
      <c r="A654">
        <v>891233</v>
      </c>
      <c r="B654">
        <v>3</v>
      </c>
      <c r="C654">
        <v>1</v>
      </c>
      <c r="D654" s="32">
        <v>43064.595231481479</v>
      </c>
      <c r="E654">
        <v>8</v>
      </c>
      <c r="F654" t="s">
        <v>15</v>
      </c>
    </row>
    <row r="655" spans="1:6">
      <c r="A655">
        <v>410647</v>
      </c>
      <c r="B655">
        <v>3</v>
      </c>
      <c r="C655">
        <v>1</v>
      </c>
      <c r="D655" s="32">
        <v>43067.146284722221</v>
      </c>
      <c r="E655">
        <v>5</v>
      </c>
      <c r="F655" t="s">
        <v>15</v>
      </c>
    </row>
    <row r="656" spans="1:6">
      <c r="A656">
        <v>966654</v>
      </c>
      <c r="B656">
        <v>3</v>
      </c>
      <c r="C656">
        <v>1</v>
      </c>
      <c r="D656" s="32">
        <v>43066.54314814815</v>
      </c>
      <c r="E656">
        <v>6</v>
      </c>
      <c r="F656" t="s">
        <v>15</v>
      </c>
    </row>
    <row r="657" spans="1:6">
      <c r="A657">
        <v>268434</v>
      </c>
      <c r="B657">
        <v>3</v>
      </c>
      <c r="C657">
        <v>2</v>
      </c>
      <c r="D657" s="32">
        <v>43069.639918981484</v>
      </c>
      <c r="E657">
        <v>3</v>
      </c>
      <c r="F657" t="s">
        <v>15</v>
      </c>
    </row>
    <row r="658" spans="1:6">
      <c r="A658">
        <v>608915</v>
      </c>
      <c r="B658">
        <v>3</v>
      </c>
      <c r="C658">
        <v>1</v>
      </c>
      <c r="D658" s="32">
        <v>43068.312615740739</v>
      </c>
      <c r="E658">
        <v>4</v>
      </c>
      <c r="F658" t="s">
        <v>15</v>
      </c>
    </row>
    <row r="659" spans="1:6">
      <c r="A659">
        <v>471598</v>
      </c>
      <c r="B659">
        <v>3</v>
      </c>
      <c r="C659">
        <v>1</v>
      </c>
      <c r="D659" s="32">
        <v>43064.952847222223</v>
      </c>
      <c r="E659">
        <v>8</v>
      </c>
      <c r="F659" t="s">
        <v>15</v>
      </c>
    </row>
    <row r="660" spans="1:6">
      <c r="A660">
        <v>422392</v>
      </c>
      <c r="B660">
        <v>3</v>
      </c>
      <c r="C660">
        <v>1</v>
      </c>
      <c r="D660" s="32">
        <v>43067.612488425926</v>
      </c>
      <c r="E660">
        <v>5</v>
      </c>
      <c r="F660" t="s">
        <v>15</v>
      </c>
    </row>
    <row r="661" spans="1:6">
      <c r="A661">
        <v>461312</v>
      </c>
      <c r="B661">
        <v>3</v>
      </c>
      <c r="C661">
        <v>1</v>
      </c>
      <c r="D661" s="32">
        <v>43069.40221064815</v>
      </c>
      <c r="E661">
        <v>3</v>
      </c>
      <c r="F661" t="s">
        <v>15</v>
      </c>
    </row>
    <row r="662" spans="1:6">
      <c r="A662">
        <v>28352</v>
      </c>
      <c r="B662">
        <v>3</v>
      </c>
      <c r="C662">
        <v>2</v>
      </c>
      <c r="D662" s="32">
        <v>43068.343425925923</v>
      </c>
      <c r="E662">
        <v>4</v>
      </c>
      <c r="F662" t="s">
        <v>15</v>
      </c>
    </row>
    <row r="663" spans="1:6">
      <c r="A663">
        <v>59929</v>
      </c>
      <c r="B663">
        <v>3</v>
      </c>
      <c r="C663">
        <v>1</v>
      </c>
      <c r="D663" s="32">
        <v>43064.770289351851</v>
      </c>
      <c r="E663">
        <v>8</v>
      </c>
      <c r="F663" t="s">
        <v>15</v>
      </c>
    </row>
    <row r="664" spans="1:6">
      <c r="A664">
        <v>2028</v>
      </c>
      <c r="B664">
        <v>3</v>
      </c>
      <c r="C664">
        <v>1</v>
      </c>
      <c r="D664" s="32">
        <v>43064.270543981482</v>
      </c>
      <c r="E664">
        <v>8</v>
      </c>
      <c r="F664" t="s">
        <v>15</v>
      </c>
    </row>
    <row r="665" spans="1:6">
      <c r="A665">
        <v>193082</v>
      </c>
      <c r="B665">
        <v>3</v>
      </c>
      <c r="C665">
        <v>1</v>
      </c>
      <c r="D665" s="32">
        <v>43065.517245370371</v>
      </c>
      <c r="E665">
        <v>7</v>
      </c>
      <c r="F665" t="s">
        <v>15</v>
      </c>
    </row>
    <row r="666" spans="1:6">
      <c r="A666">
        <v>16623</v>
      </c>
      <c r="B666">
        <v>3</v>
      </c>
      <c r="C666">
        <v>1</v>
      </c>
      <c r="D666" s="32">
        <v>43064.980451388888</v>
      </c>
      <c r="E666">
        <v>8</v>
      </c>
      <c r="F666" t="s">
        <v>15</v>
      </c>
    </row>
    <row r="667" spans="1:6">
      <c r="A667">
        <v>547431</v>
      </c>
      <c r="B667">
        <v>3</v>
      </c>
      <c r="C667">
        <v>1</v>
      </c>
      <c r="D667" s="32">
        <v>43064.571875000001</v>
      </c>
      <c r="E667">
        <v>8</v>
      </c>
      <c r="F667" t="s">
        <v>15</v>
      </c>
    </row>
    <row r="668" spans="1:6">
      <c r="A668">
        <v>858154</v>
      </c>
      <c r="B668">
        <v>3</v>
      </c>
      <c r="C668">
        <v>1</v>
      </c>
      <c r="D668" s="32">
        <v>43064.651712962965</v>
      </c>
      <c r="E668">
        <v>8</v>
      </c>
      <c r="F668" t="s">
        <v>15</v>
      </c>
    </row>
    <row r="669" spans="1:6">
      <c r="A669">
        <v>998006</v>
      </c>
      <c r="B669">
        <v>3</v>
      </c>
      <c r="C669">
        <v>1</v>
      </c>
      <c r="D669" s="32">
        <v>43068.304791666669</v>
      </c>
      <c r="E669">
        <v>4</v>
      </c>
      <c r="F669" t="s">
        <v>15</v>
      </c>
    </row>
    <row r="670" spans="1:6">
      <c r="A670">
        <v>796887</v>
      </c>
      <c r="B670">
        <v>3</v>
      </c>
      <c r="C670">
        <v>1</v>
      </c>
      <c r="D670" s="32">
        <v>43066.548298611109</v>
      </c>
      <c r="E670">
        <v>6</v>
      </c>
      <c r="F670" t="s">
        <v>15</v>
      </c>
    </row>
    <row r="671" spans="1:6">
      <c r="A671">
        <v>521000</v>
      </c>
      <c r="B671">
        <v>3</v>
      </c>
      <c r="C671">
        <v>1</v>
      </c>
      <c r="D671" s="32">
        <v>43064.522939814815</v>
      </c>
      <c r="E671">
        <v>8</v>
      </c>
      <c r="F671" t="s">
        <v>15</v>
      </c>
    </row>
    <row r="672" spans="1:6">
      <c r="A672">
        <v>886931</v>
      </c>
      <c r="B672">
        <v>3</v>
      </c>
      <c r="C672">
        <v>1</v>
      </c>
      <c r="D672" s="32">
        <v>43065.259745370371</v>
      </c>
      <c r="E672">
        <v>7</v>
      </c>
      <c r="F672" t="s">
        <v>15</v>
      </c>
    </row>
    <row r="673" spans="1:6">
      <c r="A673">
        <v>431589</v>
      </c>
      <c r="B673">
        <v>3</v>
      </c>
      <c r="C673">
        <v>1</v>
      </c>
      <c r="D673" s="32">
        <v>43064.237673611111</v>
      </c>
      <c r="E673">
        <v>8</v>
      </c>
      <c r="F673" t="s">
        <v>15</v>
      </c>
    </row>
    <row r="674" spans="1:6">
      <c r="A674">
        <v>101895</v>
      </c>
      <c r="B674">
        <v>3</v>
      </c>
      <c r="C674">
        <v>1</v>
      </c>
      <c r="D674" s="32">
        <v>43064.514884259261</v>
      </c>
      <c r="E674">
        <v>8</v>
      </c>
      <c r="F674" t="s">
        <v>15</v>
      </c>
    </row>
    <row r="675" spans="1:6">
      <c r="A675">
        <v>718769</v>
      </c>
      <c r="B675">
        <v>3</v>
      </c>
      <c r="C675">
        <v>1</v>
      </c>
      <c r="D675" s="32">
        <v>43065.693194444444</v>
      </c>
      <c r="E675">
        <v>7</v>
      </c>
      <c r="F675" t="s">
        <v>15</v>
      </c>
    </row>
    <row r="676" spans="1:6">
      <c r="A676">
        <v>315728</v>
      </c>
      <c r="B676">
        <v>3</v>
      </c>
      <c r="C676">
        <v>1</v>
      </c>
      <c r="D676" s="32">
        <v>43069.508136574077</v>
      </c>
      <c r="E676">
        <v>3</v>
      </c>
      <c r="F676" t="s">
        <v>15</v>
      </c>
    </row>
    <row r="677" spans="1:6">
      <c r="A677">
        <v>802071</v>
      </c>
      <c r="B677">
        <v>3</v>
      </c>
      <c r="C677">
        <v>1</v>
      </c>
      <c r="D677" s="32">
        <v>43064.236921296295</v>
      </c>
      <c r="E677">
        <v>8</v>
      </c>
      <c r="F677" t="s">
        <v>15</v>
      </c>
    </row>
    <row r="678" spans="1:6">
      <c r="A678">
        <v>552713</v>
      </c>
      <c r="B678">
        <v>3</v>
      </c>
      <c r="C678">
        <v>1</v>
      </c>
      <c r="D678" s="32">
        <v>43067.602164351854</v>
      </c>
      <c r="E678">
        <v>5</v>
      </c>
      <c r="F678" t="s">
        <v>15</v>
      </c>
    </row>
    <row r="679" spans="1:6">
      <c r="A679">
        <v>306915</v>
      </c>
      <c r="B679">
        <v>3</v>
      </c>
      <c r="C679">
        <v>1</v>
      </c>
      <c r="D679" s="32">
        <v>43068.478645833333</v>
      </c>
      <c r="E679">
        <v>4</v>
      </c>
      <c r="F679" t="s">
        <v>15</v>
      </c>
    </row>
    <row r="680" spans="1:6">
      <c r="A680">
        <v>991215</v>
      </c>
      <c r="B680">
        <v>3</v>
      </c>
      <c r="C680">
        <v>1</v>
      </c>
      <c r="D680" s="32">
        <v>43068.200150462966</v>
      </c>
      <c r="E680">
        <v>4</v>
      </c>
      <c r="F680" t="s">
        <v>15</v>
      </c>
    </row>
    <row r="681" spans="1:6">
      <c r="A681">
        <v>188912</v>
      </c>
      <c r="B681">
        <v>3</v>
      </c>
      <c r="C681">
        <v>1</v>
      </c>
      <c r="D681" s="32">
        <v>43068.450914351852</v>
      </c>
      <c r="E681">
        <v>4</v>
      </c>
      <c r="F681" t="s">
        <v>15</v>
      </c>
    </row>
    <row r="682" spans="1:6">
      <c r="A682">
        <v>54968</v>
      </c>
      <c r="B682">
        <v>3</v>
      </c>
      <c r="C682">
        <v>1</v>
      </c>
      <c r="D682" s="32">
        <v>43068.993576388886</v>
      </c>
      <c r="E682">
        <v>4</v>
      </c>
      <c r="F682" t="s">
        <v>15</v>
      </c>
    </row>
    <row r="683" spans="1:6">
      <c r="A683">
        <v>189063</v>
      </c>
      <c r="B683">
        <v>3</v>
      </c>
      <c r="C683">
        <v>1</v>
      </c>
      <c r="D683" s="32">
        <v>43065.58189814815</v>
      </c>
      <c r="E683">
        <v>7</v>
      </c>
      <c r="F683" t="s">
        <v>15</v>
      </c>
    </row>
    <row r="684" spans="1:6">
      <c r="A684">
        <v>692054</v>
      </c>
      <c r="B684">
        <v>3</v>
      </c>
      <c r="C684">
        <v>1</v>
      </c>
      <c r="D684" s="32">
        <v>43066.539143518516</v>
      </c>
      <c r="E684">
        <v>6</v>
      </c>
      <c r="F684" t="s">
        <v>15</v>
      </c>
    </row>
    <row r="685" spans="1:6">
      <c r="A685">
        <v>630610</v>
      </c>
      <c r="B685">
        <v>3</v>
      </c>
      <c r="C685">
        <v>1</v>
      </c>
      <c r="D685" s="32">
        <v>43068.594849537039</v>
      </c>
      <c r="E685">
        <v>4</v>
      </c>
      <c r="F685" t="s">
        <v>15</v>
      </c>
    </row>
    <row r="686" spans="1:6">
      <c r="A686">
        <v>303268</v>
      </c>
      <c r="B686">
        <v>3</v>
      </c>
      <c r="C686">
        <v>1</v>
      </c>
      <c r="D686" s="32">
        <v>43067.284108796295</v>
      </c>
      <c r="E686">
        <v>5</v>
      </c>
      <c r="F686" t="s">
        <v>15</v>
      </c>
    </row>
    <row r="687" spans="1:6">
      <c r="A687">
        <v>832907</v>
      </c>
      <c r="B687">
        <v>3</v>
      </c>
      <c r="C687">
        <v>1</v>
      </c>
      <c r="D687" s="32">
        <v>43067.980254629627</v>
      </c>
      <c r="E687">
        <v>5</v>
      </c>
      <c r="F687" t="s">
        <v>15</v>
      </c>
    </row>
    <row r="688" spans="1:6">
      <c r="A688">
        <v>702008</v>
      </c>
      <c r="B688">
        <v>3</v>
      </c>
      <c r="C688">
        <v>1</v>
      </c>
      <c r="D688" s="32">
        <v>43064.520740740743</v>
      </c>
      <c r="E688">
        <v>8</v>
      </c>
      <c r="F688" t="s">
        <v>15</v>
      </c>
    </row>
    <row r="689" spans="1:6">
      <c r="A689">
        <v>175669</v>
      </c>
      <c r="B689">
        <v>3</v>
      </c>
      <c r="C689">
        <v>1</v>
      </c>
      <c r="D689" s="32">
        <v>43067.602395833332</v>
      </c>
      <c r="E689">
        <v>5</v>
      </c>
      <c r="F689" t="s">
        <v>15</v>
      </c>
    </row>
    <row r="690" spans="1:6">
      <c r="A690">
        <v>21765</v>
      </c>
      <c r="B690">
        <v>3</v>
      </c>
      <c r="C690">
        <v>1</v>
      </c>
      <c r="D690" s="32">
        <v>43066.172905092593</v>
      </c>
      <c r="E690">
        <v>6</v>
      </c>
      <c r="F690" t="s">
        <v>15</v>
      </c>
    </row>
    <row r="691" spans="1:6">
      <c r="A691">
        <v>390031</v>
      </c>
      <c r="B691">
        <v>3</v>
      </c>
      <c r="C691">
        <v>1</v>
      </c>
      <c r="D691" s="32">
        <v>43067.139039351852</v>
      </c>
      <c r="E691">
        <v>5</v>
      </c>
      <c r="F691" t="s">
        <v>15</v>
      </c>
    </row>
    <row r="692" spans="1:6">
      <c r="A692">
        <v>701532</v>
      </c>
      <c r="B692">
        <v>3</v>
      </c>
      <c r="C692">
        <v>1</v>
      </c>
      <c r="D692" s="32">
        <v>43068.63853009259</v>
      </c>
      <c r="E692">
        <v>4</v>
      </c>
      <c r="F692" t="s">
        <v>15</v>
      </c>
    </row>
    <row r="693" spans="1:6">
      <c r="A693">
        <v>504987</v>
      </c>
      <c r="B693">
        <v>3</v>
      </c>
      <c r="C693">
        <v>1</v>
      </c>
      <c r="D693" s="32">
        <v>43067.289814814816</v>
      </c>
      <c r="E693">
        <v>5</v>
      </c>
      <c r="F693" t="s">
        <v>15</v>
      </c>
    </row>
    <row r="694" spans="1:6">
      <c r="A694">
        <v>683052</v>
      </c>
      <c r="B694">
        <v>3</v>
      </c>
      <c r="C694">
        <v>1</v>
      </c>
      <c r="D694" s="32">
        <v>43065.285046296296</v>
      </c>
      <c r="E694">
        <v>7</v>
      </c>
      <c r="F694" t="s">
        <v>15</v>
      </c>
    </row>
    <row r="695" spans="1:6">
      <c r="A695">
        <v>22463</v>
      </c>
      <c r="B695">
        <v>3</v>
      </c>
      <c r="C695">
        <v>1</v>
      </c>
      <c r="D695" s="32">
        <v>43069.491747685184</v>
      </c>
      <c r="E695">
        <v>3</v>
      </c>
      <c r="F695" t="s">
        <v>15</v>
      </c>
    </row>
    <row r="696" spans="1:6">
      <c r="A696">
        <v>112362</v>
      </c>
      <c r="B696">
        <v>3</v>
      </c>
      <c r="C696">
        <v>1</v>
      </c>
      <c r="D696" s="32">
        <v>43067.166990740741</v>
      </c>
      <c r="E696">
        <v>5</v>
      </c>
      <c r="F696" t="s">
        <v>15</v>
      </c>
    </row>
    <row r="697" spans="1:6">
      <c r="A697">
        <v>635443</v>
      </c>
      <c r="B697">
        <v>3</v>
      </c>
      <c r="C697">
        <v>1</v>
      </c>
      <c r="D697" s="32">
        <v>43067.540844907409</v>
      </c>
      <c r="E697">
        <v>5</v>
      </c>
      <c r="F697" t="s">
        <v>15</v>
      </c>
    </row>
    <row r="698" spans="1:6">
      <c r="A698">
        <v>2879</v>
      </c>
      <c r="B698">
        <v>3</v>
      </c>
      <c r="C698">
        <v>1</v>
      </c>
      <c r="D698" s="32">
        <v>43067.72179398148</v>
      </c>
      <c r="E698">
        <v>5</v>
      </c>
      <c r="F698" t="s">
        <v>15</v>
      </c>
    </row>
    <row r="699" spans="1:6">
      <c r="A699">
        <v>11671</v>
      </c>
      <c r="B699">
        <v>3</v>
      </c>
      <c r="C699">
        <v>1</v>
      </c>
      <c r="D699" s="32">
        <v>43066.660717592589</v>
      </c>
      <c r="E699">
        <v>6</v>
      </c>
      <c r="F699" t="s">
        <v>15</v>
      </c>
    </row>
    <row r="700" spans="1:6">
      <c r="A700">
        <v>971098</v>
      </c>
      <c r="B700">
        <v>3</v>
      </c>
      <c r="C700">
        <v>2</v>
      </c>
      <c r="D700" s="32">
        <v>43065.232951388891</v>
      </c>
      <c r="E700">
        <v>7</v>
      </c>
      <c r="F700" t="s">
        <v>15</v>
      </c>
    </row>
    <row r="701" spans="1:6">
      <c r="A701">
        <v>966353</v>
      </c>
      <c r="B701">
        <v>3</v>
      </c>
      <c r="C701">
        <v>1</v>
      </c>
      <c r="D701" s="32">
        <v>43064.374803240738</v>
      </c>
      <c r="E701">
        <v>8</v>
      </c>
      <c r="F701" t="s">
        <v>15</v>
      </c>
    </row>
    <row r="702" spans="1:6">
      <c r="A702">
        <v>13326</v>
      </c>
      <c r="B702">
        <v>3</v>
      </c>
      <c r="C702">
        <v>2</v>
      </c>
      <c r="D702" s="32">
        <v>43069.578530092593</v>
      </c>
      <c r="E702">
        <v>3</v>
      </c>
      <c r="F702" t="s">
        <v>15</v>
      </c>
    </row>
    <row r="703" spans="1:6">
      <c r="A703">
        <v>864905</v>
      </c>
      <c r="B703">
        <v>3</v>
      </c>
      <c r="C703">
        <v>1</v>
      </c>
      <c r="D703" s="32">
        <v>43066.094837962963</v>
      </c>
      <c r="E703">
        <v>6</v>
      </c>
      <c r="F703" t="s">
        <v>15</v>
      </c>
    </row>
    <row r="704" spans="1:6">
      <c r="A704">
        <v>488953</v>
      </c>
      <c r="B704">
        <v>3</v>
      </c>
      <c r="C704">
        <v>1</v>
      </c>
      <c r="D704" s="32">
        <v>43069.347453703704</v>
      </c>
      <c r="E704">
        <v>3</v>
      </c>
      <c r="F704" t="s">
        <v>15</v>
      </c>
    </row>
    <row r="705" spans="1:6">
      <c r="A705">
        <v>722017</v>
      </c>
      <c r="B705">
        <v>3</v>
      </c>
      <c r="C705">
        <v>2</v>
      </c>
      <c r="D705" s="32">
        <v>43065.340868055559</v>
      </c>
      <c r="E705">
        <v>7</v>
      </c>
      <c r="F705" t="s">
        <v>15</v>
      </c>
    </row>
    <row r="706" spans="1:6">
      <c r="A706">
        <v>605655</v>
      </c>
      <c r="B706">
        <v>3</v>
      </c>
      <c r="C706">
        <v>1</v>
      </c>
      <c r="D706" s="32">
        <v>43065.485995370371</v>
      </c>
      <c r="E706">
        <v>7</v>
      </c>
      <c r="F706" t="s">
        <v>15</v>
      </c>
    </row>
    <row r="707" spans="1:6">
      <c r="A707">
        <v>440021</v>
      </c>
      <c r="B707">
        <v>3</v>
      </c>
      <c r="C707">
        <v>1</v>
      </c>
      <c r="D707" s="32">
        <v>43064.29283564815</v>
      </c>
      <c r="E707">
        <v>8</v>
      </c>
      <c r="F707" t="s">
        <v>15</v>
      </c>
    </row>
    <row r="708" spans="1:6">
      <c r="A708">
        <v>260717</v>
      </c>
      <c r="B708">
        <v>3</v>
      </c>
      <c r="C708">
        <v>1</v>
      </c>
      <c r="D708" s="32">
        <v>43067.549432870372</v>
      </c>
      <c r="E708">
        <v>5</v>
      </c>
      <c r="F708" t="s">
        <v>15</v>
      </c>
    </row>
    <row r="709" spans="1:6">
      <c r="A709">
        <v>207898</v>
      </c>
      <c r="B709">
        <v>3</v>
      </c>
      <c r="C709">
        <v>2</v>
      </c>
      <c r="D709" s="32">
        <v>43067.567824074074</v>
      </c>
      <c r="E709">
        <v>5</v>
      </c>
      <c r="F709" t="s">
        <v>15</v>
      </c>
    </row>
    <row r="710" spans="1:6">
      <c r="A710">
        <v>594280</v>
      </c>
      <c r="B710">
        <v>3</v>
      </c>
      <c r="C710">
        <v>1</v>
      </c>
      <c r="D710" s="32">
        <v>43065.390509259261</v>
      </c>
      <c r="E710">
        <v>7</v>
      </c>
      <c r="F710" t="s">
        <v>15</v>
      </c>
    </row>
    <row r="711" spans="1:6">
      <c r="A711">
        <v>203623</v>
      </c>
      <c r="B711">
        <v>3</v>
      </c>
      <c r="C711">
        <v>1</v>
      </c>
      <c r="D711" s="32">
        <v>43067.828726851854</v>
      </c>
      <c r="E711">
        <v>5</v>
      </c>
      <c r="F711" t="s">
        <v>15</v>
      </c>
    </row>
    <row r="712" spans="1:6">
      <c r="A712">
        <v>148859</v>
      </c>
      <c r="B712">
        <v>3</v>
      </c>
      <c r="C712">
        <v>1</v>
      </c>
      <c r="D712" s="32">
        <v>43067.27815972222</v>
      </c>
      <c r="E712">
        <v>5</v>
      </c>
      <c r="F712" t="s">
        <v>15</v>
      </c>
    </row>
    <row r="713" spans="1:6">
      <c r="A713">
        <v>23857</v>
      </c>
      <c r="B713">
        <v>3</v>
      </c>
      <c r="C713">
        <v>2</v>
      </c>
      <c r="D713" s="32">
        <v>43067.624479166669</v>
      </c>
      <c r="E713">
        <v>5</v>
      </c>
      <c r="F713" t="s">
        <v>15</v>
      </c>
    </row>
    <row r="714" spans="1:6">
      <c r="A714">
        <v>502656</v>
      </c>
      <c r="B714">
        <v>3</v>
      </c>
      <c r="C714">
        <v>2</v>
      </c>
      <c r="D714" s="32">
        <v>43065.398900462962</v>
      </c>
      <c r="E714">
        <v>7</v>
      </c>
      <c r="F714" t="s">
        <v>15</v>
      </c>
    </row>
    <row r="715" spans="1:6">
      <c r="A715">
        <v>248814</v>
      </c>
      <c r="B715">
        <v>3</v>
      </c>
      <c r="C715">
        <v>1</v>
      </c>
      <c r="D715" s="32">
        <v>43068.432696759257</v>
      </c>
      <c r="E715">
        <v>4</v>
      </c>
      <c r="F715" t="s">
        <v>15</v>
      </c>
    </row>
    <row r="716" spans="1:6">
      <c r="A716">
        <v>118031</v>
      </c>
      <c r="B716">
        <v>3</v>
      </c>
      <c r="C716">
        <v>1</v>
      </c>
      <c r="D716" s="32">
        <v>43068.467326388891</v>
      </c>
      <c r="E716">
        <v>4</v>
      </c>
      <c r="F716" t="s">
        <v>15</v>
      </c>
    </row>
    <row r="717" spans="1:6">
      <c r="A717">
        <v>572043</v>
      </c>
      <c r="B717">
        <v>3</v>
      </c>
      <c r="C717">
        <v>1</v>
      </c>
      <c r="D717" s="32">
        <v>43066.593425925923</v>
      </c>
      <c r="E717">
        <v>6</v>
      </c>
      <c r="F717" t="s">
        <v>15</v>
      </c>
    </row>
    <row r="718" spans="1:6">
      <c r="A718">
        <v>777277</v>
      </c>
      <c r="B718">
        <v>3</v>
      </c>
      <c r="C718">
        <v>1</v>
      </c>
      <c r="D718" s="32">
        <v>43065.590798611112</v>
      </c>
      <c r="E718">
        <v>7</v>
      </c>
      <c r="F718" t="s">
        <v>15</v>
      </c>
    </row>
    <row r="719" spans="1:6">
      <c r="A719">
        <v>545845</v>
      </c>
      <c r="B719">
        <v>3</v>
      </c>
      <c r="C719">
        <v>2</v>
      </c>
      <c r="D719" s="32">
        <v>43068.531435185185</v>
      </c>
      <c r="E719">
        <v>4</v>
      </c>
      <c r="F719" t="s">
        <v>15</v>
      </c>
    </row>
    <row r="720" spans="1:6">
      <c r="A720">
        <v>353366</v>
      </c>
      <c r="B720">
        <v>3</v>
      </c>
      <c r="C720">
        <v>1</v>
      </c>
      <c r="D720" s="32">
        <v>43064.661643518521</v>
      </c>
      <c r="E720">
        <v>8</v>
      </c>
      <c r="F720" t="s">
        <v>15</v>
      </c>
    </row>
    <row r="721" spans="1:6">
      <c r="A721">
        <v>496983</v>
      </c>
      <c r="B721">
        <v>3</v>
      </c>
      <c r="C721">
        <v>1</v>
      </c>
      <c r="D721" s="32">
        <v>43065.302581018521</v>
      </c>
      <c r="E721">
        <v>7</v>
      </c>
      <c r="F721" t="s">
        <v>15</v>
      </c>
    </row>
    <row r="722" spans="1:6">
      <c r="A722">
        <v>825965</v>
      </c>
      <c r="B722">
        <v>3</v>
      </c>
      <c r="C722">
        <v>1</v>
      </c>
      <c r="D722" s="32">
        <v>43065.51734953704</v>
      </c>
      <c r="E722">
        <v>7</v>
      </c>
      <c r="F722" t="s">
        <v>15</v>
      </c>
    </row>
    <row r="723" spans="1:6">
      <c r="A723">
        <v>283438</v>
      </c>
      <c r="B723">
        <v>3</v>
      </c>
      <c r="C723">
        <v>1</v>
      </c>
      <c r="D723" s="32">
        <v>43065.676400462966</v>
      </c>
      <c r="E723">
        <v>7</v>
      </c>
      <c r="F723" t="s">
        <v>15</v>
      </c>
    </row>
    <row r="724" spans="1:6">
      <c r="A724">
        <v>570939</v>
      </c>
      <c r="B724">
        <v>3</v>
      </c>
      <c r="C724">
        <v>1</v>
      </c>
      <c r="D724" s="32">
        <v>43067.551064814812</v>
      </c>
      <c r="E724">
        <v>5</v>
      </c>
      <c r="F724" t="s">
        <v>15</v>
      </c>
    </row>
    <row r="725" spans="1:6">
      <c r="A725">
        <v>348250</v>
      </c>
      <c r="B725">
        <v>3</v>
      </c>
      <c r="C725">
        <v>1</v>
      </c>
      <c r="D725" s="32">
        <v>43064.079780092594</v>
      </c>
      <c r="E725">
        <v>8</v>
      </c>
      <c r="F725" t="s">
        <v>15</v>
      </c>
    </row>
    <row r="726" spans="1:6">
      <c r="A726">
        <v>545883</v>
      </c>
      <c r="B726">
        <v>2</v>
      </c>
      <c r="C726">
        <v>1</v>
      </c>
      <c r="D726" s="32">
        <v>43065.357060185182</v>
      </c>
      <c r="E726">
        <v>7</v>
      </c>
      <c r="F726" t="s">
        <v>15</v>
      </c>
    </row>
    <row r="727" spans="1:6">
      <c r="A727">
        <v>605459</v>
      </c>
      <c r="B727">
        <v>2</v>
      </c>
      <c r="C727">
        <v>1</v>
      </c>
      <c r="D727" s="32">
        <v>43064.979039351849</v>
      </c>
      <c r="E727">
        <v>8</v>
      </c>
      <c r="F727" t="s">
        <v>15</v>
      </c>
    </row>
    <row r="728" spans="1:6">
      <c r="A728">
        <v>237582</v>
      </c>
      <c r="B728">
        <v>2</v>
      </c>
      <c r="C728">
        <v>1</v>
      </c>
      <c r="D728" s="32">
        <v>43067.448391203703</v>
      </c>
      <c r="E728">
        <v>5</v>
      </c>
      <c r="F728" t="s">
        <v>15</v>
      </c>
    </row>
    <row r="729" spans="1:6">
      <c r="A729">
        <v>556373</v>
      </c>
      <c r="B729">
        <v>2</v>
      </c>
      <c r="C729">
        <v>2</v>
      </c>
      <c r="D729" s="32">
        <v>43069.339050925926</v>
      </c>
      <c r="E729">
        <v>3</v>
      </c>
      <c r="F729" t="s">
        <v>15</v>
      </c>
    </row>
    <row r="730" spans="1:6">
      <c r="A730">
        <v>820180</v>
      </c>
      <c r="B730">
        <v>2</v>
      </c>
      <c r="C730">
        <v>1</v>
      </c>
      <c r="D730" s="32">
        <v>43064.170925925922</v>
      </c>
      <c r="E730">
        <v>8</v>
      </c>
      <c r="F730" t="s">
        <v>15</v>
      </c>
    </row>
    <row r="731" spans="1:6">
      <c r="A731">
        <v>801358</v>
      </c>
      <c r="B731">
        <v>2</v>
      </c>
      <c r="C731">
        <v>1</v>
      </c>
      <c r="D731" s="32">
        <v>43065.054849537039</v>
      </c>
      <c r="E731">
        <v>7</v>
      </c>
      <c r="F731" t="s">
        <v>15</v>
      </c>
    </row>
    <row r="732" spans="1:6">
      <c r="A732">
        <v>297414</v>
      </c>
      <c r="B732">
        <v>2</v>
      </c>
      <c r="C732">
        <v>1</v>
      </c>
      <c r="D732" s="32">
        <v>43066.115370370368</v>
      </c>
      <c r="E732">
        <v>6</v>
      </c>
      <c r="F732" t="s">
        <v>15</v>
      </c>
    </row>
    <row r="733" spans="1:6">
      <c r="A733">
        <v>96143</v>
      </c>
      <c r="B733">
        <v>2</v>
      </c>
      <c r="C733">
        <v>1</v>
      </c>
      <c r="D733" s="32">
        <v>43064.169305555559</v>
      </c>
      <c r="E733">
        <v>8</v>
      </c>
      <c r="F733" t="s">
        <v>15</v>
      </c>
    </row>
    <row r="734" spans="1:6">
      <c r="A734">
        <v>108079</v>
      </c>
      <c r="B734">
        <v>2</v>
      </c>
      <c r="C734">
        <v>1</v>
      </c>
      <c r="D734" s="32">
        <v>43064.281273148146</v>
      </c>
      <c r="E734">
        <v>8</v>
      </c>
      <c r="F734" t="s">
        <v>15</v>
      </c>
    </row>
    <row r="735" spans="1:6">
      <c r="A735">
        <v>38913</v>
      </c>
      <c r="B735">
        <v>2</v>
      </c>
      <c r="C735">
        <v>1</v>
      </c>
      <c r="D735" s="32">
        <v>43069.09306712963</v>
      </c>
      <c r="E735">
        <v>3</v>
      </c>
      <c r="F735" t="s">
        <v>15</v>
      </c>
    </row>
    <row r="736" spans="1:6">
      <c r="A736">
        <v>571540</v>
      </c>
      <c r="B736">
        <v>2</v>
      </c>
      <c r="C736">
        <v>1</v>
      </c>
      <c r="D736" s="32">
        <v>43068.578229166669</v>
      </c>
      <c r="E736">
        <v>4</v>
      </c>
      <c r="F736" t="s">
        <v>15</v>
      </c>
    </row>
    <row r="737" spans="1:6">
      <c r="A737">
        <v>870097</v>
      </c>
      <c r="B737">
        <v>2</v>
      </c>
      <c r="C737">
        <v>1</v>
      </c>
      <c r="D737" s="32">
        <v>43065.371377314812</v>
      </c>
      <c r="E737">
        <v>7</v>
      </c>
      <c r="F737" t="s">
        <v>15</v>
      </c>
    </row>
    <row r="738" spans="1:6">
      <c r="A738">
        <v>850842</v>
      </c>
      <c r="B738">
        <v>2</v>
      </c>
      <c r="C738">
        <v>2</v>
      </c>
      <c r="D738" s="32">
        <v>43067.422905092593</v>
      </c>
      <c r="E738">
        <v>5</v>
      </c>
      <c r="F738" t="s">
        <v>15</v>
      </c>
    </row>
    <row r="739" spans="1:6">
      <c r="A739">
        <v>694168</v>
      </c>
      <c r="B739">
        <v>2</v>
      </c>
      <c r="C739">
        <v>1</v>
      </c>
      <c r="D739" s="32">
        <v>43067.252905092595</v>
      </c>
      <c r="E739">
        <v>5</v>
      </c>
      <c r="F739" t="s">
        <v>15</v>
      </c>
    </row>
    <row r="740" spans="1:6">
      <c r="A740">
        <v>86844</v>
      </c>
      <c r="B740">
        <v>2</v>
      </c>
      <c r="C740">
        <v>2</v>
      </c>
      <c r="D740" s="32">
        <v>43067.26803240741</v>
      </c>
      <c r="E740">
        <v>5</v>
      </c>
      <c r="F740" t="s">
        <v>15</v>
      </c>
    </row>
    <row r="741" spans="1:6">
      <c r="A741">
        <v>543402</v>
      </c>
      <c r="B741">
        <v>2</v>
      </c>
      <c r="C741">
        <v>2</v>
      </c>
      <c r="D741" s="32">
        <v>43064.092581018522</v>
      </c>
      <c r="E741">
        <v>8</v>
      </c>
      <c r="F741" t="s">
        <v>15</v>
      </c>
    </row>
    <row r="742" spans="1:6">
      <c r="A742">
        <v>217982</v>
      </c>
      <c r="B742">
        <v>2</v>
      </c>
      <c r="C742">
        <v>1</v>
      </c>
      <c r="D742" s="32">
        <v>43065.65116898148</v>
      </c>
      <c r="E742">
        <v>7</v>
      </c>
      <c r="F742" t="s">
        <v>15</v>
      </c>
    </row>
    <row r="743" spans="1:6">
      <c r="A743">
        <v>229123</v>
      </c>
      <c r="B743">
        <v>2</v>
      </c>
      <c r="C743">
        <v>1</v>
      </c>
      <c r="D743" s="32">
        <v>43068.372719907406</v>
      </c>
      <c r="E743">
        <v>4</v>
      </c>
      <c r="F743" t="s">
        <v>15</v>
      </c>
    </row>
    <row r="744" spans="1:6">
      <c r="A744">
        <v>796242</v>
      </c>
      <c r="B744">
        <v>2</v>
      </c>
      <c r="C744">
        <v>1</v>
      </c>
      <c r="D744" s="32">
        <v>43066.326840277776</v>
      </c>
      <c r="E744">
        <v>6</v>
      </c>
      <c r="F744" t="s">
        <v>15</v>
      </c>
    </row>
    <row r="745" spans="1:6">
      <c r="A745">
        <v>973760</v>
      </c>
      <c r="B745">
        <v>2</v>
      </c>
      <c r="C745">
        <v>1</v>
      </c>
      <c r="D745" s="32">
        <v>43068.590416666666</v>
      </c>
      <c r="E745">
        <v>4</v>
      </c>
      <c r="F745" t="s">
        <v>15</v>
      </c>
    </row>
    <row r="746" spans="1:6">
      <c r="A746">
        <v>449416</v>
      </c>
      <c r="B746">
        <v>2</v>
      </c>
      <c r="C746">
        <v>1</v>
      </c>
      <c r="D746" s="32">
        <v>43067.132592592592</v>
      </c>
      <c r="E746">
        <v>5</v>
      </c>
      <c r="F746" t="s">
        <v>15</v>
      </c>
    </row>
    <row r="747" spans="1:6">
      <c r="A747">
        <v>791497</v>
      </c>
      <c r="B747">
        <v>2</v>
      </c>
      <c r="C747">
        <v>2</v>
      </c>
      <c r="D747" s="32">
        <v>43067.461944444447</v>
      </c>
      <c r="E747">
        <v>5</v>
      </c>
      <c r="F747" t="s">
        <v>15</v>
      </c>
    </row>
    <row r="748" spans="1:6">
      <c r="A748">
        <v>48999</v>
      </c>
      <c r="B748">
        <v>2</v>
      </c>
      <c r="C748">
        <v>1</v>
      </c>
      <c r="D748" s="32">
        <v>43065.538321759261</v>
      </c>
      <c r="E748">
        <v>7</v>
      </c>
      <c r="F748" t="s">
        <v>15</v>
      </c>
    </row>
    <row r="749" spans="1:6">
      <c r="A749">
        <v>485377</v>
      </c>
      <c r="B749">
        <v>2</v>
      </c>
      <c r="C749">
        <v>1</v>
      </c>
      <c r="D749" s="32">
        <v>43068.611643518518</v>
      </c>
      <c r="E749">
        <v>4</v>
      </c>
      <c r="F749" t="s">
        <v>15</v>
      </c>
    </row>
    <row r="750" spans="1:6">
      <c r="A750">
        <v>108707</v>
      </c>
      <c r="B750">
        <v>2</v>
      </c>
      <c r="C750">
        <v>1</v>
      </c>
      <c r="D750" s="32">
        <v>43067.025555555556</v>
      </c>
      <c r="E750">
        <v>5</v>
      </c>
      <c r="F750" t="s">
        <v>15</v>
      </c>
    </row>
    <row r="751" spans="1:6">
      <c r="A751">
        <v>149804</v>
      </c>
      <c r="B751">
        <v>2</v>
      </c>
      <c r="C751">
        <v>1</v>
      </c>
      <c r="D751" s="32">
        <v>43069.026238425926</v>
      </c>
      <c r="E751">
        <v>3</v>
      </c>
      <c r="F751" t="s">
        <v>15</v>
      </c>
    </row>
    <row r="752" spans="1:6">
      <c r="A752">
        <v>189044</v>
      </c>
      <c r="B752">
        <v>2</v>
      </c>
      <c r="C752">
        <v>1</v>
      </c>
      <c r="D752" s="32">
        <v>43069.065127314818</v>
      </c>
      <c r="E752">
        <v>3</v>
      </c>
      <c r="F752" t="s">
        <v>15</v>
      </c>
    </row>
    <row r="753" spans="1:6">
      <c r="A753">
        <v>264139</v>
      </c>
      <c r="B753">
        <v>2</v>
      </c>
      <c r="C753">
        <v>1</v>
      </c>
      <c r="D753" s="32">
        <v>43068.580046296294</v>
      </c>
      <c r="E753">
        <v>4</v>
      </c>
      <c r="F753" t="s">
        <v>15</v>
      </c>
    </row>
    <row r="754" spans="1:6">
      <c r="A754">
        <v>469699</v>
      </c>
      <c r="B754">
        <v>2</v>
      </c>
      <c r="C754">
        <v>1</v>
      </c>
      <c r="D754" s="32">
        <v>43068.644189814811</v>
      </c>
      <c r="E754">
        <v>4</v>
      </c>
      <c r="F754" t="s">
        <v>15</v>
      </c>
    </row>
    <row r="755" spans="1:6">
      <c r="A755">
        <v>172331</v>
      </c>
      <c r="B755">
        <v>2</v>
      </c>
      <c r="C755">
        <v>1</v>
      </c>
      <c r="D755" s="32">
        <v>43068.364363425928</v>
      </c>
      <c r="E755">
        <v>4</v>
      </c>
      <c r="F755" t="s">
        <v>15</v>
      </c>
    </row>
    <row r="756" spans="1:6">
      <c r="A756">
        <v>660235</v>
      </c>
      <c r="B756">
        <v>2</v>
      </c>
      <c r="C756">
        <v>1</v>
      </c>
      <c r="D756" s="32">
        <v>43068.682754629626</v>
      </c>
      <c r="E756">
        <v>4</v>
      </c>
      <c r="F756" t="s">
        <v>15</v>
      </c>
    </row>
    <row r="757" spans="1:6">
      <c r="A757">
        <v>469870</v>
      </c>
      <c r="B757">
        <v>2</v>
      </c>
      <c r="C757">
        <v>1</v>
      </c>
      <c r="D757" s="32">
        <v>43069.548101851855</v>
      </c>
      <c r="E757">
        <v>3</v>
      </c>
      <c r="F757" t="s">
        <v>15</v>
      </c>
    </row>
    <row r="758" spans="1:6">
      <c r="A758">
        <v>700507</v>
      </c>
      <c r="B758">
        <v>2</v>
      </c>
      <c r="C758">
        <v>1</v>
      </c>
      <c r="D758" s="32">
        <v>43068.321250000001</v>
      </c>
      <c r="E758">
        <v>4</v>
      </c>
      <c r="F758" t="s">
        <v>15</v>
      </c>
    </row>
    <row r="759" spans="1:6">
      <c r="A759">
        <v>188697</v>
      </c>
      <c r="B759">
        <v>2</v>
      </c>
      <c r="C759">
        <v>1</v>
      </c>
      <c r="D759" s="32">
        <v>43068.677951388891</v>
      </c>
      <c r="E759">
        <v>4</v>
      </c>
      <c r="F759" t="s">
        <v>15</v>
      </c>
    </row>
    <row r="760" spans="1:6">
      <c r="A760">
        <v>852165</v>
      </c>
      <c r="B760">
        <v>2</v>
      </c>
      <c r="C760">
        <v>1</v>
      </c>
      <c r="D760" s="32">
        <v>43065.372314814813</v>
      </c>
      <c r="E760">
        <v>7</v>
      </c>
      <c r="F760" t="s">
        <v>15</v>
      </c>
    </row>
    <row r="761" spans="1:6">
      <c r="A761">
        <v>131156</v>
      </c>
      <c r="B761">
        <v>2</v>
      </c>
      <c r="C761">
        <v>1</v>
      </c>
      <c r="D761" s="32">
        <v>43068.613125000003</v>
      </c>
      <c r="E761">
        <v>4</v>
      </c>
      <c r="F761" t="s">
        <v>15</v>
      </c>
    </row>
    <row r="762" spans="1:6">
      <c r="A762">
        <v>670022</v>
      </c>
      <c r="B762">
        <v>2</v>
      </c>
      <c r="C762">
        <v>1</v>
      </c>
      <c r="D762" s="32">
        <v>43067.112581018519</v>
      </c>
      <c r="E762">
        <v>5</v>
      </c>
      <c r="F762" t="s">
        <v>15</v>
      </c>
    </row>
    <row r="763" spans="1:6">
      <c r="A763">
        <v>652763</v>
      </c>
      <c r="B763">
        <v>2</v>
      </c>
      <c r="C763">
        <v>1</v>
      </c>
      <c r="D763" s="32">
        <v>43065.554502314815</v>
      </c>
      <c r="E763">
        <v>7</v>
      </c>
      <c r="F763" t="s">
        <v>15</v>
      </c>
    </row>
    <row r="764" spans="1:6">
      <c r="A764">
        <v>621343</v>
      </c>
      <c r="B764">
        <v>2</v>
      </c>
      <c r="C764">
        <v>1</v>
      </c>
      <c r="D764" s="32">
        <v>43064.205370370371</v>
      </c>
      <c r="E764">
        <v>8</v>
      </c>
      <c r="F764" t="s">
        <v>15</v>
      </c>
    </row>
    <row r="765" spans="1:6">
      <c r="A765">
        <v>178454</v>
      </c>
      <c r="B765">
        <v>2</v>
      </c>
      <c r="C765">
        <v>1</v>
      </c>
      <c r="D765" s="32">
        <v>43065.075185185182</v>
      </c>
      <c r="E765">
        <v>7</v>
      </c>
      <c r="F765" t="s">
        <v>15</v>
      </c>
    </row>
    <row r="766" spans="1:6">
      <c r="A766">
        <v>770215</v>
      </c>
      <c r="B766">
        <v>2</v>
      </c>
      <c r="C766">
        <v>1</v>
      </c>
      <c r="D766" s="32">
        <v>43066.496817129628</v>
      </c>
      <c r="E766">
        <v>6</v>
      </c>
      <c r="F766" t="s">
        <v>15</v>
      </c>
    </row>
    <row r="767" spans="1:6">
      <c r="A767">
        <v>329451</v>
      </c>
      <c r="B767">
        <v>2</v>
      </c>
      <c r="C767">
        <v>1</v>
      </c>
      <c r="D767" s="32">
        <v>43065.536157407405</v>
      </c>
      <c r="E767">
        <v>7</v>
      </c>
      <c r="F767" t="s">
        <v>15</v>
      </c>
    </row>
    <row r="768" spans="1:6">
      <c r="A768">
        <v>479683</v>
      </c>
      <c r="B768">
        <v>2</v>
      </c>
      <c r="C768">
        <v>1</v>
      </c>
      <c r="D768" s="32">
        <v>43066.995219907411</v>
      </c>
      <c r="E768">
        <v>6</v>
      </c>
      <c r="F768" t="s">
        <v>15</v>
      </c>
    </row>
    <row r="769" spans="1:6">
      <c r="A769">
        <v>310501</v>
      </c>
      <c r="B769">
        <v>2</v>
      </c>
      <c r="C769">
        <v>1</v>
      </c>
      <c r="D769" s="32">
        <v>43069.25</v>
      </c>
      <c r="E769">
        <v>3</v>
      </c>
      <c r="F769" t="s">
        <v>15</v>
      </c>
    </row>
    <row r="770" spans="1:6">
      <c r="A770">
        <v>581857</v>
      </c>
      <c r="B770">
        <v>2</v>
      </c>
      <c r="C770">
        <v>1</v>
      </c>
      <c r="D770" s="32">
        <v>43065.581064814818</v>
      </c>
      <c r="E770">
        <v>7</v>
      </c>
      <c r="F770" t="s">
        <v>15</v>
      </c>
    </row>
    <row r="771" spans="1:6">
      <c r="A771">
        <v>887426</v>
      </c>
      <c r="B771">
        <v>2</v>
      </c>
      <c r="C771">
        <v>1</v>
      </c>
      <c r="D771" s="32">
        <v>43064.172581018516</v>
      </c>
      <c r="E771">
        <v>8</v>
      </c>
      <c r="F771" t="s">
        <v>15</v>
      </c>
    </row>
    <row r="772" spans="1:6">
      <c r="A772">
        <v>20930</v>
      </c>
      <c r="B772">
        <v>2</v>
      </c>
      <c r="C772">
        <v>1</v>
      </c>
      <c r="D772" s="32">
        <v>43064.259525462963</v>
      </c>
      <c r="E772">
        <v>8</v>
      </c>
      <c r="F772" t="s">
        <v>15</v>
      </c>
    </row>
    <row r="773" spans="1:6">
      <c r="A773">
        <v>459160</v>
      </c>
      <c r="B773">
        <v>2</v>
      </c>
      <c r="C773">
        <v>1</v>
      </c>
      <c r="D773" s="32">
        <v>43067.706574074073</v>
      </c>
      <c r="E773">
        <v>5</v>
      </c>
      <c r="F773" t="s">
        <v>15</v>
      </c>
    </row>
    <row r="774" spans="1:6">
      <c r="A774">
        <v>593809</v>
      </c>
      <c r="B774">
        <v>2</v>
      </c>
      <c r="C774">
        <v>1</v>
      </c>
      <c r="D774" s="32">
        <v>43065.150833333333</v>
      </c>
      <c r="E774">
        <v>7</v>
      </c>
      <c r="F774" t="s">
        <v>15</v>
      </c>
    </row>
    <row r="775" spans="1:6">
      <c r="A775">
        <v>460996</v>
      </c>
      <c r="B775">
        <v>2</v>
      </c>
      <c r="C775">
        <v>1</v>
      </c>
      <c r="D775" s="32">
        <v>43066.25540509259</v>
      </c>
      <c r="E775">
        <v>6</v>
      </c>
      <c r="F775" t="s">
        <v>15</v>
      </c>
    </row>
    <row r="776" spans="1:6">
      <c r="A776">
        <v>285415</v>
      </c>
      <c r="B776">
        <v>2</v>
      </c>
      <c r="C776">
        <v>1</v>
      </c>
      <c r="D776" s="32">
        <v>43068.418530092589</v>
      </c>
      <c r="E776">
        <v>4</v>
      </c>
      <c r="F776" t="s">
        <v>15</v>
      </c>
    </row>
    <row r="777" spans="1:6">
      <c r="A777">
        <v>93562</v>
      </c>
      <c r="B777">
        <v>2</v>
      </c>
      <c r="C777">
        <v>1</v>
      </c>
      <c r="D777" s="32">
        <v>43064.649247685185</v>
      </c>
      <c r="E777">
        <v>8</v>
      </c>
      <c r="F777" t="s">
        <v>15</v>
      </c>
    </row>
    <row r="778" spans="1:6">
      <c r="A778">
        <v>370272</v>
      </c>
      <c r="B778">
        <v>2</v>
      </c>
      <c r="C778">
        <v>1</v>
      </c>
      <c r="D778" s="32">
        <v>43069.41673611111</v>
      </c>
      <c r="E778">
        <v>3</v>
      </c>
      <c r="F778" t="s">
        <v>15</v>
      </c>
    </row>
    <row r="779" spans="1:6">
      <c r="A779">
        <v>588378</v>
      </c>
      <c r="B779">
        <v>2</v>
      </c>
      <c r="C779">
        <v>1</v>
      </c>
      <c r="D779" s="32">
        <v>43068.094097222223</v>
      </c>
      <c r="E779">
        <v>4</v>
      </c>
      <c r="F779" t="s">
        <v>15</v>
      </c>
    </row>
    <row r="780" spans="1:6">
      <c r="A780">
        <v>304096</v>
      </c>
      <c r="B780">
        <v>2</v>
      </c>
      <c r="C780">
        <v>1</v>
      </c>
      <c r="D780" s="32">
        <v>43065.728645833333</v>
      </c>
      <c r="E780">
        <v>7</v>
      </c>
      <c r="F780" t="s">
        <v>15</v>
      </c>
    </row>
    <row r="781" spans="1:6">
      <c r="A781">
        <v>6261</v>
      </c>
      <c r="B781">
        <v>2</v>
      </c>
      <c r="C781">
        <v>1</v>
      </c>
      <c r="D781" s="32">
        <v>43065.472118055557</v>
      </c>
      <c r="E781">
        <v>7</v>
      </c>
      <c r="F781" t="s">
        <v>15</v>
      </c>
    </row>
    <row r="782" spans="1:6">
      <c r="A782">
        <v>590149</v>
      </c>
      <c r="B782">
        <v>2</v>
      </c>
      <c r="C782">
        <v>1</v>
      </c>
      <c r="D782" s="32">
        <v>43066.550034722219</v>
      </c>
      <c r="E782">
        <v>6</v>
      </c>
      <c r="F782" t="s">
        <v>15</v>
      </c>
    </row>
    <row r="783" spans="1:6">
      <c r="A783">
        <v>759897</v>
      </c>
      <c r="B783">
        <v>2</v>
      </c>
      <c r="C783">
        <v>1</v>
      </c>
      <c r="D783" s="32">
        <v>43069.357025462959</v>
      </c>
      <c r="E783">
        <v>3</v>
      </c>
      <c r="F783" t="s">
        <v>15</v>
      </c>
    </row>
    <row r="784" spans="1:6">
      <c r="A784">
        <v>476863</v>
      </c>
      <c r="B784">
        <v>2</v>
      </c>
      <c r="C784">
        <v>1</v>
      </c>
      <c r="D784" s="32">
        <v>43065.645104166666</v>
      </c>
      <c r="E784">
        <v>7</v>
      </c>
      <c r="F784" t="s">
        <v>15</v>
      </c>
    </row>
    <row r="785" spans="1:6">
      <c r="A785">
        <v>106099</v>
      </c>
      <c r="B785">
        <v>2</v>
      </c>
      <c r="C785">
        <v>2</v>
      </c>
      <c r="D785" s="32">
        <v>43068.396539351852</v>
      </c>
      <c r="E785">
        <v>4</v>
      </c>
      <c r="F785" t="s">
        <v>15</v>
      </c>
    </row>
    <row r="786" spans="1:6">
      <c r="A786">
        <v>805116</v>
      </c>
      <c r="B786">
        <v>2</v>
      </c>
      <c r="C786">
        <v>1</v>
      </c>
      <c r="D786" s="32">
        <v>43066.588738425926</v>
      </c>
      <c r="E786">
        <v>6</v>
      </c>
      <c r="F786" t="s">
        <v>15</v>
      </c>
    </row>
    <row r="787" spans="1:6">
      <c r="A787">
        <v>684545</v>
      </c>
      <c r="B787">
        <v>2</v>
      </c>
      <c r="C787">
        <v>1</v>
      </c>
      <c r="D787" s="32">
        <v>43066.048657407409</v>
      </c>
      <c r="E787">
        <v>6</v>
      </c>
      <c r="F787" t="s">
        <v>15</v>
      </c>
    </row>
    <row r="788" spans="1:6">
      <c r="A788">
        <v>544176</v>
      </c>
      <c r="B788">
        <v>2</v>
      </c>
      <c r="C788">
        <v>1</v>
      </c>
      <c r="D788" s="32">
        <v>43065.102094907408</v>
      </c>
      <c r="E788">
        <v>7</v>
      </c>
      <c r="F788" t="s">
        <v>15</v>
      </c>
    </row>
    <row r="789" spans="1:6">
      <c r="A789">
        <v>179377</v>
      </c>
      <c r="B789">
        <v>2</v>
      </c>
      <c r="C789">
        <v>2</v>
      </c>
      <c r="D789" s="32">
        <v>43064.647187499999</v>
      </c>
      <c r="E789">
        <v>8</v>
      </c>
      <c r="F789" t="s">
        <v>15</v>
      </c>
    </row>
    <row r="790" spans="1:6">
      <c r="A790">
        <v>444271</v>
      </c>
      <c r="B790">
        <v>2</v>
      </c>
      <c r="C790">
        <v>1</v>
      </c>
      <c r="D790" s="32">
        <v>43067.574664351851</v>
      </c>
      <c r="E790">
        <v>5</v>
      </c>
      <c r="F790" t="s">
        <v>15</v>
      </c>
    </row>
    <row r="791" spans="1:6">
      <c r="A791">
        <v>80876</v>
      </c>
      <c r="B791">
        <v>2</v>
      </c>
      <c r="C791">
        <v>2</v>
      </c>
      <c r="D791" s="32">
        <v>43069.215266203704</v>
      </c>
      <c r="E791">
        <v>3</v>
      </c>
      <c r="F791" t="s">
        <v>15</v>
      </c>
    </row>
    <row r="792" spans="1:6">
      <c r="A792">
        <v>224264</v>
      </c>
      <c r="B792">
        <v>2</v>
      </c>
      <c r="C792">
        <v>1</v>
      </c>
      <c r="D792" s="32">
        <v>43065.340092592596</v>
      </c>
      <c r="E792">
        <v>7</v>
      </c>
      <c r="F792" t="s">
        <v>15</v>
      </c>
    </row>
    <row r="793" spans="1:6">
      <c r="A793">
        <v>399657</v>
      </c>
      <c r="B793">
        <v>2</v>
      </c>
      <c r="C793">
        <v>1</v>
      </c>
      <c r="D793" s="32">
        <v>43066.348287037035</v>
      </c>
      <c r="E793">
        <v>6</v>
      </c>
      <c r="F793" t="s">
        <v>15</v>
      </c>
    </row>
    <row r="794" spans="1:6">
      <c r="A794">
        <v>640730</v>
      </c>
      <c r="B794">
        <v>2</v>
      </c>
      <c r="C794">
        <v>1</v>
      </c>
      <c r="D794" s="32">
        <v>43068.12709490741</v>
      </c>
      <c r="E794">
        <v>4</v>
      </c>
      <c r="F794" t="s">
        <v>15</v>
      </c>
    </row>
    <row r="795" spans="1:6">
      <c r="A795">
        <v>736283</v>
      </c>
      <c r="B795">
        <v>2</v>
      </c>
      <c r="C795">
        <v>1</v>
      </c>
      <c r="D795" s="32">
        <v>43066.293402777781</v>
      </c>
      <c r="E795">
        <v>6</v>
      </c>
      <c r="F795" t="s">
        <v>15</v>
      </c>
    </row>
    <row r="796" spans="1:6">
      <c r="A796">
        <v>437902</v>
      </c>
      <c r="B796">
        <v>2</v>
      </c>
      <c r="C796">
        <v>1</v>
      </c>
      <c r="D796" s="32">
        <v>43068.318773148145</v>
      </c>
      <c r="E796">
        <v>4</v>
      </c>
      <c r="F796" t="s">
        <v>15</v>
      </c>
    </row>
    <row r="797" spans="1:6">
      <c r="A797">
        <v>430354</v>
      </c>
      <c r="B797">
        <v>2</v>
      </c>
      <c r="C797">
        <v>1</v>
      </c>
      <c r="D797" s="32">
        <v>43064.349768518521</v>
      </c>
      <c r="E797">
        <v>8</v>
      </c>
      <c r="F797" t="s">
        <v>15</v>
      </c>
    </row>
    <row r="798" spans="1:6">
      <c r="A798">
        <v>304580</v>
      </c>
      <c r="B798">
        <v>2</v>
      </c>
      <c r="C798">
        <v>1</v>
      </c>
      <c r="D798" s="32">
        <v>43066.284849537034</v>
      </c>
      <c r="E798">
        <v>6</v>
      </c>
      <c r="F798" t="s">
        <v>15</v>
      </c>
    </row>
    <row r="799" spans="1:6">
      <c r="A799">
        <v>773397</v>
      </c>
      <c r="B799">
        <v>2</v>
      </c>
      <c r="C799">
        <v>1</v>
      </c>
      <c r="D799" s="32">
        <v>43069.290833333333</v>
      </c>
      <c r="E799">
        <v>3</v>
      </c>
      <c r="F799" t="s">
        <v>15</v>
      </c>
    </row>
    <row r="800" spans="1:6">
      <c r="A800">
        <v>908213</v>
      </c>
      <c r="B800">
        <v>2</v>
      </c>
      <c r="C800">
        <v>1</v>
      </c>
      <c r="D800" s="32">
        <v>43065.722326388888</v>
      </c>
      <c r="E800">
        <v>7</v>
      </c>
      <c r="F800" t="s">
        <v>15</v>
      </c>
    </row>
    <row r="801" spans="1:6">
      <c r="A801">
        <v>820498</v>
      </c>
      <c r="B801">
        <v>2</v>
      </c>
      <c r="C801">
        <v>1</v>
      </c>
      <c r="D801" s="32">
        <v>43068.94023148148</v>
      </c>
      <c r="E801">
        <v>4</v>
      </c>
      <c r="F801" t="s">
        <v>15</v>
      </c>
    </row>
    <row r="802" spans="1:6">
      <c r="A802">
        <v>34659</v>
      </c>
      <c r="B802">
        <v>2</v>
      </c>
      <c r="C802">
        <v>1</v>
      </c>
      <c r="D802" s="32">
        <v>43065.026979166665</v>
      </c>
      <c r="E802">
        <v>7</v>
      </c>
      <c r="F802" t="s">
        <v>15</v>
      </c>
    </row>
    <row r="803" spans="1:6">
      <c r="A803">
        <v>848686</v>
      </c>
      <c r="B803">
        <v>2</v>
      </c>
      <c r="C803">
        <v>1</v>
      </c>
      <c r="D803" s="32">
        <v>43069.107731481483</v>
      </c>
      <c r="E803">
        <v>3</v>
      </c>
      <c r="F803" t="s">
        <v>15</v>
      </c>
    </row>
    <row r="804" spans="1:6">
      <c r="A804">
        <v>789495</v>
      </c>
      <c r="B804">
        <v>2</v>
      </c>
      <c r="C804">
        <v>1</v>
      </c>
      <c r="D804" s="32">
        <v>43069.244432870371</v>
      </c>
      <c r="E804">
        <v>3</v>
      </c>
      <c r="F804" t="s">
        <v>15</v>
      </c>
    </row>
    <row r="805" spans="1:6">
      <c r="A805">
        <v>257794</v>
      </c>
      <c r="B805">
        <v>2</v>
      </c>
      <c r="C805">
        <v>1</v>
      </c>
      <c r="D805" s="32">
        <v>43064.596747685187</v>
      </c>
      <c r="E805">
        <v>8</v>
      </c>
      <c r="F805" t="s">
        <v>15</v>
      </c>
    </row>
    <row r="806" spans="1:6">
      <c r="A806">
        <v>165098</v>
      </c>
      <c r="B806">
        <v>2</v>
      </c>
      <c r="C806">
        <v>2</v>
      </c>
      <c r="D806" s="32">
        <v>43066.027141203704</v>
      </c>
      <c r="E806">
        <v>6</v>
      </c>
      <c r="F806" t="s">
        <v>15</v>
      </c>
    </row>
    <row r="807" spans="1:6">
      <c r="A807">
        <v>379564</v>
      </c>
      <c r="B807">
        <v>2</v>
      </c>
      <c r="C807">
        <v>1</v>
      </c>
      <c r="D807" s="32">
        <v>43066.026574074072</v>
      </c>
      <c r="E807">
        <v>6</v>
      </c>
      <c r="F807" t="s">
        <v>15</v>
      </c>
    </row>
    <row r="808" spans="1:6">
      <c r="A808">
        <v>651326</v>
      </c>
      <c r="B808">
        <v>2</v>
      </c>
      <c r="C808">
        <v>1</v>
      </c>
      <c r="D808" s="32">
        <v>43065.188113425924</v>
      </c>
      <c r="E808">
        <v>7</v>
      </c>
      <c r="F808" t="s">
        <v>15</v>
      </c>
    </row>
    <row r="809" spans="1:6">
      <c r="A809">
        <v>40729</v>
      </c>
      <c r="B809">
        <v>2</v>
      </c>
      <c r="C809">
        <v>1</v>
      </c>
      <c r="D809" s="32">
        <v>43069.543993055559</v>
      </c>
      <c r="E809">
        <v>3</v>
      </c>
      <c r="F809" t="s">
        <v>15</v>
      </c>
    </row>
    <row r="810" spans="1:6">
      <c r="A810">
        <v>946501</v>
      </c>
      <c r="B810">
        <v>2</v>
      </c>
      <c r="C810">
        <v>1</v>
      </c>
      <c r="D810" s="32">
        <v>43067.109236111108</v>
      </c>
      <c r="E810">
        <v>5</v>
      </c>
      <c r="F810" t="s">
        <v>15</v>
      </c>
    </row>
    <row r="811" spans="1:6">
      <c r="A811">
        <v>640039</v>
      </c>
      <c r="B811">
        <v>2</v>
      </c>
      <c r="C811">
        <v>1</v>
      </c>
      <c r="D811" s="32">
        <v>43069.344039351854</v>
      </c>
      <c r="E811">
        <v>3</v>
      </c>
      <c r="F811" t="s">
        <v>15</v>
      </c>
    </row>
    <row r="812" spans="1:6">
      <c r="A812">
        <v>477275</v>
      </c>
      <c r="B812">
        <v>2</v>
      </c>
      <c r="C812">
        <v>1</v>
      </c>
      <c r="D812" s="32">
        <v>43064.143819444442</v>
      </c>
      <c r="E812">
        <v>8</v>
      </c>
      <c r="F812" t="s">
        <v>15</v>
      </c>
    </row>
    <row r="813" spans="1:6">
      <c r="A813">
        <v>890274</v>
      </c>
      <c r="B813">
        <v>2</v>
      </c>
      <c r="C813">
        <v>1</v>
      </c>
      <c r="D813" s="32">
        <v>43065.431909722225</v>
      </c>
      <c r="E813">
        <v>7</v>
      </c>
      <c r="F813" t="s">
        <v>15</v>
      </c>
    </row>
    <row r="814" spans="1:6">
      <c r="A814">
        <v>780952</v>
      </c>
      <c r="B814">
        <v>2</v>
      </c>
      <c r="C814">
        <v>1</v>
      </c>
      <c r="D814" s="32">
        <v>43065.344085648147</v>
      </c>
      <c r="E814">
        <v>7</v>
      </c>
      <c r="F814" t="s">
        <v>15</v>
      </c>
    </row>
    <row r="815" spans="1:6">
      <c r="A815">
        <v>1005397</v>
      </c>
      <c r="B815">
        <v>2</v>
      </c>
      <c r="C815">
        <v>1</v>
      </c>
      <c r="D815" s="32">
        <v>43066.174687500003</v>
      </c>
      <c r="E815">
        <v>6</v>
      </c>
      <c r="F815" t="s">
        <v>15</v>
      </c>
    </row>
    <row r="816" spans="1:6">
      <c r="A816">
        <v>356517</v>
      </c>
      <c r="B816">
        <v>2</v>
      </c>
      <c r="C816">
        <v>1</v>
      </c>
      <c r="D816" s="32">
        <v>43066.469502314816</v>
      </c>
      <c r="E816">
        <v>6</v>
      </c>
      <c r="F816" t="s">
        <v>15</v>
      </c>
    </row>
    <row r="817" spans="1:6">
      <c r="A817">
        <v>806640</v>
      </c>
      <c r="B817">
        <v>2</v>
      </c>
      <c r="C817">
        <v>2</v>
      </c>
      <c r="D817" s="32">
        <v>43065.162893518522</v>
      </c>
      <c r="E817">
        <v>7</v>
      </c>
      <c r="F817" t="s">
        <v>15</v>
      </c>
    </row>
    <row r="818" spans="1:6">
      <c r="A818">
        <v>921592</v>
      </c>
      <c r="B818">
        <v>2</v>
      </c>
      <c r="C818">
        <v>1</v>
      </c>
      <c r="D818" s="32">
        <v>43069.421006944445</v>
      </c>
      <c r="E818">
        <v>3</v>
      </c>
      <c r="F818" t="s">
        <v>15</v>
      </c>
    </row>
    <row r="819" spans="1:6">
      <c r="A819">
        <v>134011</v>
      </c>
      <c r="B819">
        <v>2</v>
      </c>
      <c r="C819">
        <v>1</v>
      </c>
      <c r="D819" s="32">
        <v>43065.556087962963</v>
      </c>
      <c r="E819">
        <v>7</v>
      </c>
      <c r="F819" t="s">
        <v>15</v>
      </c>
    </row>
    <row r="820" spans="1:6">
      <c r="A820">
        <v>86908</v>
      </c>
      <c r="B820">
        <v>2</v>
      </c>
      <c r="C820">
        <v>2</v>
      </c>
      <c r="D820" s="32">
        <v>43067.211527777778</v>
      </c>
      <c r="E820">
        <v>5</v>
      </c>
      <c r="F820" t="s">
        <v>15</v>
      </c>
    </row>
    <row r="821" spans="1:6">
      <c r="A821">
        <v>527943</v>
      </c>
      <c r="B821">
        <v>2</v>
      </c>
      <c r="C821">
        <v>1</v>
      </c>
      <c r="D821" s="32">
        <v>43066.531319444446</v>
      </c>
      <c r="E821">
        <v>6</v>
      </c>
      <c r="F821" t="s">
        <v>15</v>
      </c>
    </row>
    <row r="822" spans="1:6">
      <c r="A822">
        <v>607385</v>
      </c>
      <c r="B822">
        <v>2</v>
      </c>
      <c r="C822">
        <v>1</v>
      </c>
      <c r="D822" s="32">
        <v>43066.192256944443</v>
      </c>
      <c r="E822">
        <v>6</v>
      </c>
      <c r="F822" t="s">
        <v>15</v>
      </c>
    </row>
    <row r="823" spans="1:6">
      <c r="A823">
        <v>868290</v>
      </c>
      <c r="B823">
        <v>2</v>
      </c>
      <c r="C823">
        <v>1</v>
      </c>
      <c r="D823" s="32">
        <v>43066.163530092592</v>
      </c>
      <c r="E823">
        <v>6</v>
      </c>
      <c r="F823" t="s">
        <v>15</v>
      </c>
    </row>
    <row r="824" spans="1:6">
      <c r="A824">
        <v>367814</v>
      </c>
      <c r="B824">
        <v>2</v>
      </c>
      <c r="C824">
        <v>1</v>
      </c>
      <c r="D824" s="32">
        <v>43069.120428240742</v>
      </c>
      <c r="E824">
        <v>3</v>
      </c>
      <c r="F824" t="s">
        <v>15</v>
      </c>
    </row>
    <row r="825" spans="1:6">
      <c r="A825">
        <v>402688</v>
      </c>
      <c r="B825">
        <v>2</v>
      </c>
      <c r="C825">
        <v>2</v>
      </c>
      <c r="D825" s="32">
        <v>43064.208344907405</v>
      </c>
      <c r="E825">
        <v>8</v>
      </c>
      <c r="F825" t="s">
        <v>15</v>
      </c>
    </row>
    <row r="826" spans="1:6">
      <c r="A826">
        <v>660815</v>
      </c>
      <c r="B826">
        <v>2</v>
      </c>
      <c r="C826">
        <v>1</v>
      </c>
      <c r="D826" s="32">
        <v>43065.041076388887</v>
      </c>
      <c r="E826">
        <v>7</v>
      </c>
      <c r="F826" t="s">
        <v>15</v>
      </c>
    </row>
    <row r="827" spans="1:6">
      <c r="A827">
        <v>566332</v>
      </c>
      <c r="B827">
        <v>2</v>
      </c>
      <c r="C827">
        <v>1</v>
      </c>
      <c r="D827" s="32">
        <v>43065.05908564815</v>
      </c>
      <c r="E827">
        <v>7</v>
      </c>
      <c r="F827" t="s">
        <v>15</v>
      </c>
    </row>
    <row r="828" spans="1:6">
      <c r="A828">
        <v>738020</v>
      </c>
      <c r="B828">
        <v>2</v>
      </c>
      <c r="C828">
        <v>1</v>
      </c>
      <c r="D828" s="32">
        <v>43069.296597222223</v>
      </c>
      <c r="E828">
        <v>3</v>
      </c>
      <c r="F828" t="s">
        <v>15</v>
      </c>
    </row>
    <row r="829" spans="1:6">
      <c r="A829">
        <v>496948</v>
      </c>
      <c r="B829">
        <v>2</v>
      </c>
      <c r="C829">
        <v>1</v>
      </c>
      <c r="D829" s="32">
        <v>43069.269490740742</v>
      </c>
      <c r="E829">
        <v>3</v>
      </c>
      <c r="F829" t="s">
        <v>15</v>
      </c>
    </row>
    <row r="830" spans="1:6">
      <c r="A830">
        <v>484586</v>
      </c>
      <c r="B830">
        <v>2</v>
      </c>
      <c r="C830">
        <v>1</v>
      </c>
      <c r="D830" s="32">
        <v>43064.521840277775</v>
      </c>
      <c r="E830">
        <v>8</v>
      </c>
      <c r="F830" t="s">
        <v>15</v>
      </c>
    </row>
    <row r="831" spans="1:6">
      <c r="A831">
        <v>540156</v>
      </c>
      <c r="B831">
        <v>2</v>
      </c>
      <c r="C831">
        <v>1</v>
      </c>
      <c r="D831" s="32">
        <v>43069.03528935185</v>
      </c>
      <c r="E831">
        <v>3</v>
      </c>
      <c r="F831" t="s">
        <v>15</v>
      </c>
    </row>
    <row r="832" spans="1:6">
      <c r="A832">
        <v>671800</v>
      </c>
      <c r="B832">
        <v>2</v>
      </c>
      <c r="C832">
        <v>1</v>
      </c>
      <c r="D832" s="32">
        <v>43066.284571759257</v>
      </c>
      <c r="E832">
        <v>6</v>
      </c>
      <c r="F832" t="s">
        <v>15</v>
      </c>
    </row>
    <row r="833" spans="1:6">
      <c r="A833">
        <v>89983</v>
      </c>
      <c r="B833">
        <v>2</v>
      </c>
      <c r="C833">
        <v>1</v>
      </c>
      <c r="D833" s="32">
        <v>43067.649942129632</v>
      </c>
      <c r="E833">
        <v>5</v>
      </c>
      <c r="F833" t="s">
        <v>15</v>
      </c>
    </row>
    <row r="834" spans="1:6">
      <c r="A834">
        <v>982457</v>
      </c>
      <c r="B834">
        <v>2</v>
      </c>
      <c r="C834">
        <v>1</v>
      </c>
      <c r="D834" s="32">
        <v>43065.191168981481</v>
      </c>
      <c r="E834">
        <v>7</v>
      </c>
      <c r="F834" t="s">
        <v>15</v>
      </c>
    </row>
    <row r="835" spans="1:6">
      <c r="A835">
        <v>1007685</v>
      </c>
      <c r="B835">
        <v>2</v>
      </c>
      <c r="C835">
        <v>1</v>
      </c>
      <c r="D835" s="32">
        <v>43069.333680555559</v>
      </c>
      <c r="E835">
        <v>3</v>
      </c>
      <c r="F835" t="s">
        <v>15</v>
      </c>
    </row>
    <row r="836" spans="1:6">
      <c r="A836">
        <v>898021</v>
      </c>
      <c r="B836">
        <v>2</v>
      </c>
      <c r="C836">
        <v>2</v>
      </c>
      <c r="D836" s="32">
        <v>43069.291284722225</v>
      </c>
      <c r="E836">
        <v>3</v>
      </c>
      <c r="F836" t="s">
        <v>15</v>
      </c>
    </row>
    <row r="837" spans="1:6">
      <c r="A837">
        <v>959484</v>
      </c>
      <c r="B837">
        <v>2</v>
      </c>
      <c r="C837">
        <v>1</v>
      </c>
      <c r="D837" s="32">
        <v>43066.651412037034</v>
      </c>
      <c r="E837">
        <v>6</v>
      </c>
      <c r="F837" t="s">
        <v>15</v>
      </c>
    </row>
    <row r="838" spans="1:6">
      <c r="A838">
        <v>772699</v>
      </c>
      <c r="B838">
        <v>2</v>
      </c>
      <c r="C838">
        <v>1</v>
      </c>
      <c r="D838" s="32">
        <v>43065.682152777779</v>
      </c>
      <c r="E838">
        <v>7</v>
      </c>
      <c r="F838" t="s">
        <v>15</v>
      </c>
    </row>
    <row r="839" spans="1:6">
      <c r="A839">
        <v>602146</v>
      </c>
      <c r="B839">
        <v>2</v>
      </c>
      <c r="C839">
        <v>1</v>
      </c>
      <c r="D839" s="32">
        <v>43066.462222222224</v>
      </c>
      <c r="E839">
        <v>6</v>
      </c>
      <c r="F839" t="s">
        <v>15</v>
      </c>
    </row>
    <row r="840" spans="1:6">
      <c r="A840">
        <v>84426</v>
      </c>
      <c r="B840">
        <v>2</v>
      </c>
      <c r="C840">
        <v>1</v>
      </c>
      <c r="D840" s="32">
        <v>43067.599629629629</v>
      </c>
      <c r="E840">
        <v>5</v>
      </c>
      <c r="F840" t="s">
        <v>15</v>
      </c>
    </row>
    <row r="841" spans="1:6">
      <c r="A841">
        <v>96426</v>
      </c>
      <c r="B841">
        <v>2</v>
      </c>
      <c r="C841">
        <v>1</v>
      </c>
      <c r="D841" s="32">
        <v>43065.597256944442</v>
      </c>
      <c r="E841">
        <v>7</v>
      </c>
      <c r="F841" t="s">
        <v>15</v>
      </c>
    </row>
    <row r="842" spans="1:6">
      <c r="A842">
        <v>341422</v>
      </c>
      <c r="B842">
        <v>2</v>
      </c>
      <c r="C842">
        <v>1</v>
      </c>
      <c r="D842" s="32">
        <v>43069.513055555559</v>
      </c>
      <c r="E842">
        <v>3</v>
      </c>
      <c r="F842" t="s">
        <v>15</v>
      </c>
    </row>
    <row r="843" spans="1:6">
      <c r="A843">
        <v>183352</v>
      </c>
      <c r="B843">
        <v>2</v>
      </c>
      <c r="C843">
        <v>1</v>
      </c>
      <c r="D843" s="32">
        <v>43066.239432870374</v>
      </c>
      <c r="E843">
        <v>6</v>
      </c>
      <c r="F843" t="s">
        <v>15</v>
      </c>
    </row>
    <row r="844" spans="1:6">
      <c r="A844">
        <v>225231</v>
      </c>
      <c r="B844">
        <v>2</v>
      </c>
      <c r="C844">
        <v>2</v>
      </c>
      <c r="D844" s="32">
        <v>43067.036898148152</v>
      </c>
      <c r="E844">
        <v>5</v>
      </c>
      <c r="F844" t="s">
        <v>15</v>
      </c>
    </row>
    <row r="845" spans="1:6">
      <c r="A845">
        <v>723780</v>
      </c>
      <c r="B845">
        <v>2</v>
      </c>
      <c r="C845">
        <v>1</v>
      </c>
      <c r="D845" s="32">
        <v>43067.324756944443</v>
      </c>
      <c r="E845">
        <v>5</v>
      </c>
      <c r="F845" t="s">
        <v>15</v>
      </c>
    </row>
    <row r="846" spans="1:6">
      <c r="A846">
        <v>927095</v>
      </c>
      <c r="B846">
        <v>2</v>
      </c>
      <c r="C846">
        <v>1</v>
      </c>
      <c r="D846" s="32">
        <v>43066.675729166665</v>
      </c>
      <c r="E846">
        <v>6</v>
      </c>
      <c r="F846" t="s">
        <v>15</v>
      </c>
    </row>
    <row r="847" spans="1:6">
      <c r="A847">
        <v>2213</v>
      </c>
      <c r="B847">
        <v>2</v>
      </c>
      <c r="C847">
        <v>1</v>
      </c>
      <c r="D847" s="32">
        <v>43068.654363425929</v>
      </c>
      <c r="E847">
        <v>4</v>
      </c>
      <c r="F847" t="s">
        <v>15</v>
      </c>
    </row>
    <row r="848" spans="1:6">
      <c r="A848">
        <v>791216</v>
      </c>
      <c r="B848">
        <v>2</v>
      </c>
      <c r="C848">
        <v>1</v>
      </c>
      <c r="D848" s="32">
        <v>43066.265914351854</v>
      </c>
      <c r="E848">
        <v>6</v>
      </c>
      <c r="F848" t="s">
        <v>15</v>
      </c>
    </row>
    <row r="849" spans="1:6">
      <c r="A849">
        <v>175054</v>
      </c>
      <c r="B849">
        <v>2</v>
      </c>
      <c r="C849">
        <v>2</v>
      </c>
      <c r="D849" s="32">
        <v>43068.181342592594</v>
      </c>
      <c r="E849">
        <v>4</v>
      </c>
      <c r="F849" t="s">
        <v>15</v>
      </c>
    </row>
    <row r="850" spans="1:6">
      <c r="A850">
        <v>883348</v>
      </c>
      <c r="B850">
        <v>2</v>
      </c>
      <c r="C850">
        <v>1</v>
      </c>
      <c r="D850" s="32">
        <v>43069.096307870372</v>
      </c>
      <c r="E850">
        <v>3</v>
      </c>
      <c r="F850" t="s">
        <v>15</v>
      </c>
    </row>
    <row r="851" spans="1:6">
      <c r="A851">
        <v>762428</v>
      </c>
      <c r="B851">
        <v>2</v>
      </c>
      <c r="C851">
        <v>1</v>
      </c>
      <c r="D851" s="32">
        <v>43068.367245370369</v>
      </c>
      <c r="E851">
        <v>4</v>
      </c>
      <c r="F851" t="s">
        <v>15</v>
      </c>
    </row>
    <row r="852" spans="1:6">
      <c r="A852">
        <v>370961</v>
      </c>
      <c r="B852">
        <v>2</v>
      </c>
      <c r="C852">
        <v>1</v>
      </c>
      <c r="D852" s="32">
        <v>43065.633333333331</v>
      </c>
      <c r="E852">
        <v>7</v>
      </c>
      <c r="F852" t="s">
        <v>15</v>
      </c>
    </row>
    <row r="853" spans="1:6">
      <c r="A853">
        <v>952580</v>
      </c>
      <c r="B853">
        <v>2</v>
      </c>
      <c r="C853">
        <v>1</v>
      </c>
      <c r="D853" s="32">
        <v>43064.520613425928</v>
      </c>
      <c r="E853">
        <v>8</v>
      </c>
      <c r="F853" t="s">
        <v>15</v>
      </c>
    </row>
    <row r="854" spans="1:6">
      <c r="A854">
        <v>111875</v>
      </c>
      <c r="B854">
        <v>2</v>
      </c>
      <c r="C854">
        <v>1</v>
      </c>
      <c r="D854" s="32">
        <v>43067.163599537038</v>
      </c>
      <c r="E854">
        <v>5</v>
      </c>
      <c r="F854" t="s">
        <v>15</v>
      </c>
    </row>
    <row r="855" spans="1:6">
      <c r="A855">
        <v>844394</v>
      </c>
      <c r="B855">
        <v>2</v>
      </c>
      <c r="C855">
        <v>1</v>
      </c>
      <c r="D855" s="32">
        <v>43064.766817129632</v>
      </c>
      <c r="E855">
        <v>8</v>
      </c>
      <c r="F855" t="s">
        <v>15</v>
      </c>
    </row>
    <row r="856" spans="1:6">
      <c r="A856">
        <v>142325</v>
      </c>
      <c r="B856">
        <v>2</v>
      </c>
      <c r="C856">
        <v>1</v>
      </c>
      <c r="D856" s="32">
        <v>43068.591539351852</v>
      </c>
      <c r="E856">
        <v>4</v>
      </c>
      <c r="F856" t="s">
        <v>15</v>
      </c>
    </row>
    <row r="857" spans="1:6">
      <c r="A857">
        <v>580946</v>
      </c>
      <c r="B857">
        <v>2</v>
      </c>
      <c r="C857">
        <v>1</v>
      </c>
      <c r="D857" s="32">
        <v>43068.274016203701</v>
      </c>
      <c r="E857">
        <v>4</v>
      </c>
      <c r="F857" t="s">
        <v>15</v>
      </c>
    </row>
    <row r="858" spans="1:6">
      <c r="A858">
        <v>875254</v>
      </c>
      <c r="B858">
        <v>2</v>
      </c>
      <c r="C858">
        <v>1</v>
      </c>
      <c r="D858" s="32">
        <v>43064.401979166665</v>
      </c>
      <c r="E858">
        <v>8</v>
      </c>
      <c r="F858" t="s">
        <v>15</v>
      </c>
    </row>
    <row r="859" spans="1:6">
      <c r="A859">
        <v>868299</v>
      </c>
      <c r="B859">
        <v>2</v>
      </c>
      <c r="C859">
        <v>1</v>
      </c>
      <c r="D859" s="32">
        <v>43068.557372685187</v>
      </c>
      <c r="E859">
        <v>4</v>
      </c>
      <c r="F859" t="s">
        <v>15</v>
      </c>
    </row>
    <row r="860" spans="1:6">
      <c r="A860">
        <v>889570</v>
      </c>
      <c r="B860">
        <v>2</v>
      </c>
      <c r="C860">
        <v>1</v>
      </c>
      <c r="D860" s="32">
        <v>43067.516655092593</v>
      </c>
      <c r="E860">
        <v>5</v>
      </c>
      <c r="F860" t="s">
        <v>15</v>
      </c>
    </row>
    <row r="861" spans="1:6">
      <c r="A861">
        <v>693111</v>
      </c>
      <c r="B861">
        <v>2</v>
      </c>
      <c r="C861">
        <v>1</v>
      </c>
      <c r="D861" s="32">
        <v>43066.61378472222</v>
      </c>
      <c r="E861">
        <v>6</v>
      </c>
      <c r="F861" t="s">
        <v>15</v>
      </c>
    </row>
    <row r="862" spans="1:6">
      <c r="A862">
        <v>956329</v>
      </c>
      <c r="B862">
        <v>2</v>
      </c>
      <c r="C862">
        <v>2</v>
      </c>
      <c r="D862" s="32">
        <v>43066.937592592592</v>
      </c>
      <c r="E862">
        <v>6</v>
      </c>
      <c r="F862" t="s">
        <v>15</v>
      </c>
    </row>
    <row r="863" spans="1:6">
      <c r="A863">
        <v>19653</v>
      </c>
      <c r="B863">
        <v>2</v>
      </c>
      <c r="C863">
        <v>1</v>
      </c>
      <c r="D863" s="32">
        <v>43069.086643518516</v>
      </c>
      <c r="E863">
        <v>3</v>
      </c>
      <c r="F863" t="s">
        <v>15</v>
      </c>
    </row>
    <row r="864" spans="1:6">
      <c r="A864">
        <v>208693</v>
      </c>
      <c r="B864">
        <v>2</v>
      </c>
      <c r="C864">
        <v>1</v>
      </c>
      <c r="D864" s="32">
        <v>43067.198136574072</v>
      </c>
      <c r="E864">
        <v>5</v>
      </c>
      <c r="F864" t="s">
        <v>15</v>
      </c>
    </row>
    <row r="865" spans="1:6">
      <c r="A865">
        <v>115579</v>
      </c>
      <c r="B865">
        <v>2</v>
      </c>
      <c r="C865">
        <v>2</v>
      </c>
      <c r="D865" s="32">
        <v>43067.518321759257</v>
      </c>
      <c r="E865">
        <v>5</v>
      </c>
      <c r="F865" t="s">
        <v>15</v>
      </c>
    </row>
    <row r="866" spans="1:6">
      <c r="A866">
        <v>447752</v>
      </c>
      <c r="B866">
        <v>2</v>
      </c>
      <c r="C866">
        <v>1</v>
      </c>
      <c r="D866" s="32">
        <v>43069.317731481482</v>
      </c>
      <c r="E866">
        <v>3</v>
      </c>
      <c r="F866" t="s">
        <v>15</v>
      </c>
    </row>
    <row r="867" spans="1:6">
      <c r="A867">
        <v>317310</v>
      </c>
      <c r="B867">
        <v>2</v>
      </c>
      <c r="C867">
        <v>1</v>
      </c>
      <c r="D867" s="32">
        <v>43067.102164351854</v>
      </c>
      <c r="E867">
        <v>5</v>
      </c>
      <c r="F867" t="s">
        <v>15</v>
      </c>
    </row>
    <row r="868" spans="1:6">
      <c r="A868">
        <v>219499</v>
      </c>
      <c r="B868">
        <v>2</v>
      </c>
      <c r="C868">
        <v>1</v>
      </c>
      <c r="D868" s="32">
        <v>43066.159351851849</v>
      </c>
      <c r="E868">
        <v>6</v>
      </c>
      <c r="F868" t="s">
        <v>15</v>
      </c>
    </row>
    <row r="869" spans="1:6">
      <c r="A869">
        <v>721537</v>
      </c>
      <c r="B869">
        <v>2</v>
      </c>
      <c r="C869">
        <v>1</v>
      </c>
      <c r="D869" s="32">
        <v>43067.568611111114</v>
      </c>
      <c r="E869">
        <v>5</v>
      </c>
      <c r="F869" t="s">
        <v>15</v>
      </c>
    </row>
    <row r="870" spans="1:6">
      <c r="A870">
        <v>949044</v>
      </c>
      <c r="B870">
        <v>2</v>
      </c>
      <c r="C870">
        <v>1</v>
      </c>
      <c r="D870" s="32">
        <v>43067.603263888886</v>
      </c>
      <c r="E870">
        <v>5</v>
      </c>
      <c r="F870" t="s">
        <v>15</v>
      </c>
    </row>
    <row r="871" spans="1:6">
      <c r="A871">
        <v>947939</v>
      </c>
      <c r="B871">
        <v>2</v>
      </c>
      <c r="C871">
        <v>1</v>
      </c>
      <c r="D871" s="32">
        <v>43069.545486111114</v>
      </c>
      <c r="E871">
        <v>3</v>
      </c>
      <c r="F871" t="s">
        <v>15</v>
      </c>
    </row>
    <row r="872" spans="1:6">
      <c r="A872">
        <v>543454</v>
      </c>
      <c r="B872">
        <v>2</v>
      </c>
      <c r="C872">
        <v>1</v>
      </c>
      <c r="D872" s="32">
        <v>43066.620995370373</v>
      </c>
      <c r="E872">
        <v>6</v>
      </c>
      <c r="F872" t="s">
        <v>15</v>
      </c>
    </row>
    <row r="873" spans="1:6">
      <c r="A873">
        <v>762616</v>
      </c>
      <c r="B873">
        <v>2</v>
      </c>
      <c r="C873">
        <v>1</v>
      </c>
      <c r="D873" s="32">
        <v>43065.180231481485</v>
      </c>
      <c r="E873">
        <v>7</v>
      </c>
      <c r="F873" t="s">
        <v>15</v>
      </c>
    </row>
    <row r="874" spans="1:6">
      <c r="A874">
        <v>619120</v>
      </c>
      <c r="B874">
        <v>2</v>
      </c>
      <c r="C874">
        <v>1</v>
      </c>
      <c r="D874" s="32">
        <v>43066.276990740742</v>
      </c>
      <c r="E874">
        <v>6</v>
      </c>
      <c r="F874" t="s">
        <v>15</v>
      </c>
    </row>
    <row r="875" spans="1:6">
      <c r="A875">
        <v>951646</v>
      </c>
      <c r="B875">
        <v>2</v>
      </c>
      <c r="C875">
        <v>1</v>
      </c>
      <c r="D875" s="32">
        <v>43064.542187500003</v>
      </c>
      <c r="E875">
        <v>8</v>
      </c>
      <c r="F875" t="s">
        <v>15</v>
      </c>
    </row>
    <row r="876" spans="1:6">
      <c r="A876">
        <v>859027</v>
      </c>
      <c r="B876">
        <v>2</v>
      </c>
      <c r="C876">
        <v>2</v>
      </c>
      <c r="D876" s="32">
        <v>43065.559606481482</v>
      </c>
      <c r="E876">
        <v>7</v>
      </c>
      <c r="F876" t="s">
        <v>15</v>
      </c>
    </row>
    <row r="877" spans="1:6">
      <c r="A877">
        <v>451372</v>
      </c>
      <c r="B877">
        <v>2</v>
      </c>
      <c r="C877">
        <v>1</v>
      </c>
      <c r="D877" s="32">
        <v>43067.406041666669</v>
      </c>
      <c r="E877">
        <v>5</v>
      </c>
      <c r="F877" t="s">
        <v>15</v>
      </c>
    </row>
    <row r="878" spans="1:6">
      <c r="A878">
        <v>702190</v>
      </c>
      <c r="B878">
        <v>2</v>
      </c>
      <c r="C878">
        <v>1</v>
      </c>
      <c r="D878" s="32">
        <v>43069.618831018517</v>
      </c>
      <c r="E878">
        <v>3</v>
      </c>
      <c r="F878" t="s">
        <v>15</v>
      </c>
    </row>
    <row r="879" spans="1:6">
      <c r="A879">
        <v>328381</v>
      </c>
      <c r="B879">
        <v>2</v>
      </c>
      <c r="C879">
        <v>1</v>
      </c>
      <c r="D879" s="32">
        <v>43066.594548611109</v>
      </c>
      <c r="E879">
        <v>6</v>
      </c>
      <c r="F879" t="s">
        <v>15</v>
      </c>
    </row>
    <row r="880" spans="1:6">
      <c r="A880">
        <v>451273</v>
      </c>
      <c r="B880">
        <v>2</v>
      </c>
      <c r="C880">
        <v>1</v>
      </c>
      <c r="D880" s="32">
        <v>43069.664120370369</v>
      </c>
      <c r="E880">
        <v>3</v>
      </c>
      <c r="F880" t="s">
        <v>15</v>
      </c>
    </row>
    <row r="881" spans="1:6">
      <c r="A881">
        <v>532850</v>
      </c>
      <c r="B881">
        <v>2</v>
      </c>
      <c r="C881">
        <v>1</v>
      </c>
      <c r="D881" s="32">
        <v>43064.66746527778</v>
      </c>
      <c r="E881">
        <v>8</v>
      </c>
      <c r="F881" t="s">
        <v>15</v>
      </c>
    </row>
    <row r="882" spans="1:6">
      <c r="A882">
        <v>428817</v>
      </c>
      <c r="B882">
        <v>2</v>
      </c>
      <c r="C882">
        <v>1</v>
      </c>
      <c r="D882" s="32">
        <v>43069.664201388892</v>
      </c>
      <c r="E882">
        <v>3</v>
      </c>
      <c r="F882" t="s">
        <v>15</v>
      </c>
    </row>
    <row r="883" spans="1:6">
      <c r="A883">
        <v>793947</v>
      </c>
      <c r="B883">
        <v>2</v>
      </c>
      <c r="C883">
        <v>1</v>
      </c>
      <c r="D883" s="32">
        <v>43065.354189814818</v>
      </c>
      <c r="E883">
        <v>7</v>
      </c>
      <c r="F883" t="s">
        <v>15</v>
      </c>
    </row>
    <row r="884" spans="1:6">
      <c r="A884">
        <v>281656</v>
      </c>
      <c r="B884">
        <v>2</v>
      </c>
      <c r="C884">
        <v>1</v>
      </c>
      <c r="D884" s="32">
        <v>43065.153749999998</v>
      </c>
      <c r="E884">
        <v>7</v>
      </c>
      <c r="F884" t="s">
        <v>15</v>
      </c>
    </row>
    <row r="885" spans="1:6">
      <c r="A885">
        <v>662011</v>
      </c>
      <c r="B885">
        <v>2</v>
      </c>
      <c r="C885">
        <v>1</v>
      </c>
      <c r="D885" s="32">
        <v>43064.055613425924</v>
      </c>
      <c r="E885">
        <v>8</v>
      </c>
      <c r="F885" t="s">
        <v>15</v>
      </c>
    </row>
    <row r="886" spans="1:6">
      <c r="A886">
        <v>868621</v>
      </c>
      <c r="B886">
        <v>2</v>
      </c>
      <c r="C886">
        <v>1</v>
      </c>
      <c r="D886" s="32">
        <v>43064.589282407411</v>
      </c>
      <c r="E886">
        <v>8</v>
      </c>
      <c r="F886" t="s">
        <v>15</v>
      </c>
    </row>
    <row r="887" spans="1:6">
      <c r="A887">
        <v>888740</v>
      </c>
      <c r="B887">
        <v>2</v>
      </c>
      <c r="C887">
        <v>1</v>
      </c>
      <c r="D887" s="32">
        <v>43064.615844907406</v>
      </c>
      <c r="E887">
        <v>8</v>
      </c>
      <c r="F887" t="s">
        <v>15</v>
      </c>
    </row>
    <row r="888" spans="1:6">
      <c r="A888">
        <v>508783</v>
      </c>
      <c r="B888">
        <v>2</v>
      </c>
      <c r="C888">
        <v>1</v>
      </c>
      <c r="D888" s="32">
        <v>43069.550219907411</v>
      </c>
      <c r="E888">
        <v>3</v>
      </c>
      <c r="F888" t="s">
        <v>15</v>
      </c>
    </row>
    <row r="889" spans="1:6">
      <c r="A889">
        <v>626125</v>
      </c>
      <c r="B889">
        <v>2</v>
      </c>
      <c r="C889">
        <v>1</v>
      </c>
      <c r="D889" s="32">
        <v>43065.67260416667</v>
      </c>
      <c r="E889">
        <v>7</v>
      </c>
      <c r="F889" t="s">
        <v>15</v>
      </c>
    </row>
    <row r="890" spans="1:6">
      <c r="A890">
        <v>510300</v>
      </c>
      <c r="B890">
        <v>2</v>
      </c>
      <c r="C890">
        <v>1</v>
      </c>
      <c r="D890" s="32">
        <v>43068.208680555559</v>
      </c>
      <c r="E890">
        <v>4</v>
      </c>
      <c r="F890" t="s">
        <v>15</v>
      </c>
    </row>
    <row r="891" spans="1:6">
      <c r="A891">
        <v>187039</v>
      </c>
      <c r="B891">
        <v>2</v>
      </c>
      <c r="C891">
        <v>1</v>
      </c>
      <c r="D891" s="32">
        <v>43065.435567129629</v>
      </c>
      <c r="E891">
        <v>7</v>
      </c>
      <c r="F891" t="s">
        <v>15</v>
      </c>
    </row>
    <row r="892" spans="1:6">
      <c r="A892">
        <v>165475</v>
      </c>
      <c r="B892">
        <v>2</v>
      </c>
      <c r="C892">
        <v>1</v>
      </c>
      <c r="D892" s="32">
        <v>43069.684131944443</v>
      </c>
      <c r="E892">
        <v>3</v>
      </c>
      <c r="F892" t="s">
        <v>15</v>
      </c>
    </row>
    <row r="893" spans="1:6">
      <c r="A893">
        <v>476790</v>
      </c>
      <c r="B893">
        <v>2</v>
      </c>
      <c r="C893">
        <v>1</v>
      </c>
      <c r="D893" s="32">
        <v>43065.637789351851</v>
      </c>
      <c r="E893">
        <v>7</v>
      </c>
      <c r="F893" t="s">
        <v>15</v>
      </c>
    </row>
    <row r="894" spans="1:6">
      <c r="A894">
        <v>91776</v>
      </c>
      <c r="B894">
        <v>2</v>
      </c>
      <c r="C894">
        <v>3</v>
      </c>
      <c r="D894" s="32">
        <v>43065.591307870367</v>
      </c>
      <c r="E894">
        <v>7</v>
      </c>
      <c r="F894" t="s">
        <v>15</v>
      </c>
    </row>
    <row r="895" spans="1:6">
      <c r="A895">
        <v>549669</v>
      </c>
      <c r="B895">
        <v>2</v>
      </c>
      <c r="C895">
        <v>1</v>
      </c>
      <c r="D895" s="32">
        <v>43066.528298611112</v>
      </c>
      <c r="E895">
        <v>6</v>
      </c>
      <c r="F895" t="s">
        <v>15</v>
      </c>
    </row>
    <row r="896" spans="1:6">
      <c r="A896">
        <v>701816</v>
      </c>
      <c r="B896">
        <v>2</v>
      </c>
      <c r="C896">
        <v>2</v>
      </c>
      <c r="D896" s="32">
        <v>43066.594895833332</v>
      </c>
      <c r="E896">
        <v>6</v>
      </c>
      <c r="F896" t="s">
        <v>15</v>
      </c>
    </row>
    <row r="897" spans="1:6">
      <c r="A897">
        <v>832027</v>
      </c>
      <c r="B897">
        <v>2</v>
      </c>
      <c r="C897">
        <v>1</v>
      </c>
      <c r="D897" s="32">
        <v>43069.706620370373</v>
      </c>
      <c r="E897">
        <v>3</v>
      </c>
      <c r="F897" t="s">
        <v>15</v>
      </c>
    </row>
    <row r="898" spans="1:6">
      <c r="A898">
        <v>913522</v>
      </c>
      <c r="B898">
        <v>2</v>
      </c>
      <c r="C898">
        <v>1</v>
      </c>
      <c r="D898" s="32">
        <v>43064.16983796296</v>
      </c>
      <c r="E898">
        <v>8</v>
      </c>
      <c r="F898" t="s">
        <v>15</v>
      </c>
    </row>
    <row r="899" spans="1:6">
      <c r="A899">
        <v>944710</v>
      </c>
      <c r="B899">
        <v>2</v>
      </c>
      <c r="C899">
        <v>1</v>
      </c>
      <c r="D899" s="32">
        <v>43068.689027777778</v>
      </c>
      <c r="E899">
        <v>4</v>
      </c>
      <c r="F899" t="s">
        <v>15</v>
      </c>
    </row>
    <row r="900" spans="1:6">
      <c r="A900">
        <v>193881</v>
      </c>
      <c r="B900">
        <v>2</v>
      </c>
      <c r="C900">
        <v>1</v>
      </c>
      <c r="D900" s="32">
        <v>43069.019583333335</v>
      </c>
      <c r="E900">
        <v>3</v>
      </c>
      <c r="F900" t="s">
        <v>15</v>
      </c>
    </row>
    <row r="901" spans="1:6">
      <c r="A901">
        <v>947448</v>
      </c>
      <c r="B901">
        <v>2</v>
      </c>
      <c r="C901">
        <v>1</v>
      </c>
      <c r="D901" s="32">
        <v>43064.721122685187</v>
      </c>
      <c r="E901">
        <v>8</v>
      </c>
      <c r="F901" t="s">
        <v>15</v>
      </c>
    </row>
    <row r="902" spans="1:6">
      <c r="A902">
        <v>225277</v>
      </c>
      <c r="B902">
        <v>2</v>
      </c>
      <c r="C902">
        <v>1</v>
      </c>
      <c r="D902" s="32">
        <v>43066.536168981482</v>
      </c>
      <c r="E902">
        <v>6</v>
      </c>
      <c r="F902" t="s">
        <v>15</v>
      </c>
    </row>
    <row r="903" spans="1:6">
      <c r="A903">
        <v>867740</v>
      </c>
      <c r="B903">
        <v>2</v>
      </c>
      <c r="C903">
        <v>1</v>
      </c>
      <c r="D903" s="32">
        <v>43065.316493055558</v>
      </c>
      <c r="E903">
        <v>7</v>
      </c>
      <c r="F903" t="s">
        <v>15</v>
      </c>
    </row>
    <row r="904" spans="1:6">
      <c r="A904">
        <v>504100</v>
      </c>
      <c r="B904">
        <v>2</v>
      </c>
      <c r="C904">
        <v>1</v>
      </c>
      <c r="D904" s="32">
        <v>43066.602754629632</v>
      </c>
      <c r="E904">
        <v>6</v>
      </c>
      <c r="F904" t="s">
        <v>15</v>
      </c>
    </row>
    <row r="905" spans="1:6">
      <c r="A905">
        <v>322040</v>
      </c>
      <c r="B905">
        <v>2</v>
      </c>
      <c r="C905">
        <v>1</v>
      </c>
      <c r="D905" s="32">
        <v>43065.813437500001</v>
      </c>
      <c r="E905">
        <v>7</v>
      </c>
      <c r="F905" t="s">
        <v>15</v>
      </c>
    </row>
    <row r="906" spans="1:6">
      <c r="A906">
        <v>818094</v>
      </c>
      <c r="B906">
        <v>2</v>
      </c>
      <c r="C906">
        <v>1</v>
      </c>
      <c r="D906" s="32">
        <v>43064.104895833334</v>
      </c>
      <c r="E906">
        <v>8</v>
      </c>
      <c r="F906" t="s">
        <v>15</v>
      </c>
    </row>
    <row r="907" spans="1:6">
      <c r="A907">
        <v>457075</v>
      </c>
      <c r="B907">
        <v>2</v>
      </c>
      <c r="C907">
        <v>1</v>
      </c>
      <c r="D907" s="32">
        <v>43065.332638888889</v>
      </c>
      <c r="E907">
        <v>7</v>
      </c>
      <c r="F907" t="s">
        <v>15</v>
      </c>
    </row>
    <row r="908" spans="1:6">
      <c r="A908">
        <v>884497</v>
      </c>
      <c r="B908">
        <v>2</v>
      </c>
      <c r="C908">
        <v>1</v>
      </c>
      <c r="D908" s="32">
        <v>43069.690532407411</v>
      </c>
      <c r="E908">
        <v>3</v>
      </c>
      <c r="F908" t="s">
        <v>15</v>
      </c>
    </row>
    <row r="909" spans="1:6">
      <c r="A909">
        <v>975958</v>
      </c>
      <c r="B909">
        <v>2</v>
      </c>
      <c r="C909">
        <v>1</v>
      </c>
      <c r="D909" s="32">
        <v>43067.545844907407</v>
      </c>
      <c r="E909">
        <v>5</v>
      </c>
      <c r="F909" t="s">
        <v>15</v>
      </c>
    </row>
    <row r="910" spans="1:6">
      <c r="A910">
        <v>478184</v>
      </c>
      <c r="B910">
        <v>2</v>
      </c>
      <c r="C910">
        <v>1</v>
      </c>
      <c r="D910" s="32">
        <v>43065.288831018515</v>
      </c>
      <c r="E910">
        <v>7</v>
      </c>
      <c r="F910" t="s">
        <v>15</v>
      </c>
    </row>
    <row r="911" spans="1:6">
      <c r="A911">
        <v>452337</v>
      </c>
      <c r="B911">
        <v>2</v>
      </c>
      <c r="C911">
        <v>1</v>
      </c>
      <c r="D911" s="32">
        <v>43067.638391203705</v>
      </c>
      <c r="E911">
        <v>5</v>
      </c>
      <c r="F911" t="s">
        <v>15</v>
      </c>
    </row>
    <row r="912" spans="1:6">
      <c r="A912">
        <v>560630</v>
      </c>
      <c r="B912">
        <v>2</v>
      </c>
      <c r="C912">
        <v>1</v>
      </c>
      <c r="D912" s="32">
        <v>43067.37295138889</v>
      </c>
      <c r="E912">
        <v>5</v>
      </c>
      <c r="F912" t="s">
        <v>15</v>
      </c>
    </row>
    <row r="913" spans="1:6">
      <c r="A913">
        <v>187445</v>
      </c>
      <c r="B913">
        <v>2</v>
      </c>
      <c r="C913">
        <v>1</v>
      </c>
      <c r="D913" s="32">
        <v>43069.64261574074</v>
      </c>
      <c r="E913">
        <v>3</v>
      </c>
      <c r="F913" t="s">
        <v>15</v>
      </c>
    </row>
    <row r="914" spans="1:6">
      <c r="A914">
        <v>391119</v>
      </c>
      <c r="B914">
        <v>2</v>
      </c>
      <c r="C914">
        <v>1</v>
      </c>
      <c r="D914" s="32">
        <v>43064.13622685185</v>
      </c>
      <c r="E914">
        <v>8</v>
      </c>
      <c r="F914" t="s">
        <v>15</v>
      </c>
    </row>
    <row r="915" spans="1:6">
      <c r="A915">
        <v>1009166</v>
      </c>
      <c r="B915">
        <v>2</v>
      </c>
      <c r="C915">
        <v>1</v>
      </c>
      <c r="D915" s="32">
        <v>43065.485277777778</v>
      </c>
      <c r="E915">
        <v>7</v>
      </c>
      <c r="F915" t="s">
        <v>15</v>
      </c>
    </row>
    <row r="916" spans="1:6">
      <c r="A916">
        <v>644736</v>
      </c>
      <c r="B916">
        <v>2</v>
      </c>
      <c r="C916">
        <v>1</v>
      </c>
      <c r="D916" s="32">
        <v>43065.828321759262</v>
      </c>
      <c r="E916">
        <v>7</v>
      </c>
      <c r="F916" t="s">
        <v>15</v>
      </c>
    </row>
    <row r="917" spans="1:6">
      <c r="A917">
        <v>366280</v>
      </c>
      <c r="B917">
        <v>2</v>
      </c>
      <c r="C917">
        <v>1</v>
      </c>
      <c r="D917" s="32">
        <v>43064.038344907407</v>
      </c>
      <c r="E917">
        <v>8</v>
      </c>
      <c r="F917" t="s">
        <v>15</v>
      </c>
    </row>
    <row r="918" spans="1:6">
      <c r="A918">
        <v>683115</v>
      </c>
      <c r="B918">
        <v>2</v>
      </c>
      <c r="C918">
        <v>1</v>
      </c>
      <c r="D918" s="32">
        <v>43068.652638888889</v>
      </c>
      <c r="E918">
        <v>4</v>
      </c>
      <c r="F918" t="s">
        <v>15</v>
      </c>
    </row>
    <row r="919" spans="1:6">
      <c r="A919">
        <v>844319</v>
      </c>
      <c r="B919">
        <v>2</v>
      </c>
      <c r="C919">
        <v>1</v>
      </c>
      <c r="D919" s="32">
        <v>43065.375196759262</v>
      </c>
      <c r="E919">
        <v>7</v>
      </c>
      <c r="F919" t="s">
        <v>15</v>
      </c>
    </row>
    <row r="920" spans="1:6">
      <c r="A920">
        <v>546706</v>
      </c>
      <c r="B920">
        <v>2</v>
      </c>
      <c r="C920">
        <v>1</v>
      </c>
      <c r="D920" s="32">
        <v>43068.388009259259</v>
      </c>
      <c r="E920">
        <v>4</v>
      </c>
      <c r="F920" t="s">
        <v>15</v>
      </c>
    </row>
    <row r="921" spans="1:6">
      <c r="A921">
        <v>926292</v>
      </c>
      <c r="B921">
        <v>2</v>
      </c>
      <c r="C921">
        <v>1</v>
      </c>
      <c r="D921" s="32">
        <v>43066.494398148148</v>
      </c>
      <c r="E921">
        <v>6</v>
      </c>
      <c r="F921" t="s">
        <v>15</v>
      </c>
    </row>
    <row r="922" spans="1:6">
      <c r="A922">
        <v>566653</v>
      </c>
      <c r="B922">
        <v>2</v>
      </c>
      <c r="C922">
        <v>1</v>
      </c>
      <c r="D922" s="32">
        <v>43066.70244212963</v>
      </c>
      <c r="E922">
        <v>6</v>
      </c>
      <c r="F922" t="s">
        <v>15</v>
      </c>
    </row>
    <row r="923" spans="1:6">
      <c r="A923">
        <v>307405</v>
      </c>
      <c r="B923">
        <v>2</v>
      </c>
      <c r="C923">
        <v>1</v>
      </c>
      <c r="D923" s="32">
        <v>43068.253171296295</v>
      </c>
      <c r="E923">
        <v>4</v>
      </c>
      <c r="F923" t="s">
        <v>15</v>
      </c>
    </row>
    <row r="924" spans="1:6">
      <c r="A924">
        <v>582532</v>
      </c>
      <c r="B924">
        <v>2</v>
      </c>
      <c r="C924">
        <v>3</v>
      </c>
      <c r="D924" s="32">
        <v>43069.089756944442</v>
      </c>
      <c r="E924">
        <v>3</v>
      </c>
      <c r="F924" t="s">
        <v>15</v>
      </c>
    </row>
    <row r="925" spans="1:6">
      <c r="A925">
        <v>21540</v>
      </c>
      <c r="B925">
        <v>2</v>
      </c>
      <c r="C925">
        <v>1</v>
      </c>
      <c r="D925" s="32">
        <v>43068.479027777779</v>
      </c>
      <c r="E925">
        <v>4</v>
      </c>
      <c r="F925" t="s">
        <v>15</v>
      </c>
    </row>
    <row r="926" spans="1:6">
      <c r="A926">
        <v>449774</v>
      </c>
      <c r="B926">
        <v>2</v>
      </c>
      <c r="C926">
        <v>1</v>
      </c>
      <c r="D926" s="32">
        <v>43065.263599537036</v>
      </c>
      <c r="E926">
        <v>7</v>
      </c>
      <c r="F926" t="s">
        <v>15</v>
      </c>
    </row>
    <row r="927" spans="1:6">
      <c r="A927">
        <v>814256</v>
      </c>
      <c r="B927">
        <v>2</v>
      </c>
      <c r="C927">
        <v>1</v>
      </c>
      <c r="D927" s="32">
        <v>43064.058807870373</v>
      </c>
      <c r="E927">
        <v>8</v>
      </c>
      <c r="F927" t="s">
        <v>15</v>
      </c>
    </row>
    <row r="928" spans="1:6">
      <c r="A928">
        <v>747251</v>
      </c>
      <c r="B928">
        <v>2</v>
      </c>
      <c r="C928">
        <v>1</v>
      </c>
      <c r="D928" s="32">
        <v>43065.536400462966</v>
      </c>
      <c r="E928">
        <v>7</v>
      </c>
      <c r="F928" t="s">
        <v>15</v>
      </c>
    </row>
    <row r="929" spans="1:6">
      <c r="A929">
        <v>669394</v>
      </c>
      <c r="B929">
        <v>2</v>
      </c>
      <c r="C929">
        <v>1</v>
      </c>
      <c r="D929" s="32">
        <v>43069.659050925926</v>
      </c>
      <c r="E929">
        <v>3</v>
      </c>
      <c r="F929" t="s">
        <v>15</v>
      </c>
    </row>
    <row r="930" spans="1:6">
      <c r="A930">
        <v>148966</v>
      </c>
      <c r="B930">
        <v>2</v>
      </c>
      <c r="C930">
        <v>1</v>
      </c>
      <c r="D930" s="32">
        <v>43065.607152777775</v>
      </c>
      <c r="E930">
        <v>7</v>
      </c>
      <c r="F930" t="s">
        <v>15</v>
      </c>
    </row>
    <row r="931" spans="1:6">
      <c r="A931">
        <v>598413</v>
      </c>
      <c r="B931">
        <v>2</v>
      </c>
      <c r="C931">
        <v>1</v>
      </c>
      <c r="D931" s="32">
        <v>43064.889479166668</v>
      </c>
      <c r="E931">
        <v>8</v>
      </c>
      <c r="F931" t="s">
        <v>15</v>
      </c>
    </row>
    <row r="932" spans="1:6">
      <c r="A932">
        <v>744156</v>
      </c>
      <c r="B932">
        <v>2</v>
      </c>
      <c r="C932">
        <v>1</v>
      </c>
      <c r="D932" s="32">
        <v>43066.437152777777</v>
      </c>
      <c r="E932">
        <v>6</v>
      </c>
      <c r="F932" t="s">
        <v>15</v>
      </c>
    </row>
    <row r="933" spans="1:6">
      <c r="A933">
        <v>527477</v>
      </c>
      <c r="B933">
        <v>2</v>
      </c>
      <c r="C933">
        <v>1</v>
      </c>
      <c r="D933" s="32">
        <v>43067.899930555555</v>
      </c>
      <c r="E933">
        <v>5</v>
      </c>
      <c r="F933" t="s">
        <v>15</v>
      </c>
    </row>
    <row r="934" spans="1:6">
      <c r="A934">
        <v>396747</v>
      </c>
      <c r="B934">
        <v>2</v>
      </c>
      <c r="C934">
        <v>1</v>
      </c>
      <c r="D934" s="32">
        <v>43067.20212962963</v>
      </c>
      <c r="E934">
        <v>5</v>
      </c>
      <c r="F934" t="s">
        <v>15</v>
      </c>
    </row>
    <row r="935" spans="1:6">
      <c r="A935">
        <v>836241</v>
      </c>
      <c r="B935">
        <v>2</v>
      </c>
      <c r="C935">
        <v>1</v>
      </c>
      <c r="D935" s="32">
        <v>43067.024351851855</v>
      </c>
      <c r="E935">
        <v>5</v>
      </c>
      <c r="F935" t="s">
        <v>15</v>
      </c>
    </row>
    <row r="936" spans="1:6">
      <c r="A936">
        <v>371422</v>
      </c>
      <c r="B936">
        <v>2</v>
      </c>
      <c r="C936">
        <v>1</v>
      </c>
      <c r="D936" s="32">
        <v>43069.667766203704</v>
      </c>
      <c r="E936">
        <v>3</v>
      </c>
      <c r="F936" t="s">
        <v>15</v>
      </c>
    </row>
    <row r="937" spans="1:6">
      <c r="A937">
        <v>774469</v>
      </c>
      <c r="B937">
        <v>2</v>
      </c>
      <c r="C937">
        <v>1</v>
      </c>
      <c r="D937" s="32">
        <v>43064.249942129631</v>
      </c>
      <c r="E937">
        <v>8</v>
      </c>
      <c r="F937" t="s">
        <v>15</v>
      </c>
    </row>
    <row r="938" spans="1:6">
      <c r="A938">
        <v>93966</v>
      </c>
      <c r="B938">
        <v>2</v>
      </c>
      <c r="C938">
        <v>1</v>
      </c>
      <c r="D938" s="32">
        <v>43068.703761574077</v>
      </c>
      <c r="E938">
        <v>4</v>
      </c>
      <c r="F938" t="s">
        <v>15</v>
      </c>
    </row>
    <row r="939" spans="1:6">
      <c r="A939">
        <v>527733</v>
      </c>
      <c r="B939">
        <v>2</v>
      </c>
      <c r="C939">
        <v>2</v>
      </c>
      <c r="D939" s="32">
        <v>43066.53800925926</v>
      </c>
      <c r="E939">
        <v>6</v>
      </c>
      <c r="F939" t="s">
        <v>15</v>
      </c>
    </row>
    <row r="940" spans="1:6">
      <c r="A940">
        <v>638997</v>
      </c>
      <c r="B940">
        <v>2</v>
      </c>
      <c r="C940">
        <v>1</v>
      </c>
      <c r="D940" s="32">
        <v>43065.369618055556</v>
      </c>
      <c r="E940">
        <v>7</v>
      </c>
      <c r="F940" t="s">
        <v>15</v>
      </c>
    </row>
    <row r="941" spans="1:6">
      <c r="A941">
        <v>771656</v>
      </c>
      <c r="B941">
        <v>2</v>
      </c>
      <c r="C941">
        <v>1</v>
      </c>
      <c r="D941" s="32">
        <v>43067.236064814817</v>
      </c>
      <c r="E941">
        <v>5</v>
      </c>
      <c r="F941" t="s">
        <v>15</v>
      </c>
    </row>
    <row r="942" spans="1:6">
      <c r="A942">
        <v>311550</v>
      </c>
      <c r="B942">
        <v>2</v>
      </c>
      <c r="C942">
        <v>1</v>
      </c>
      <c r="D942" s="32">
        <v>43069.427152777775</v>
      </c>
      <c r="E942">
        <v>3</v>
      </c>
      <c r="F942" t="s">
        <v>15</v>
      </c>
    </row>
    <row r="943" spans="1:6">
      <c r="A943">
        <v>878608</v>
      </c>
      <c r="B943">
        <v>2</v>
      </c>
      <c r="C943">
        <v>1</v>
      </c>
      <c r="D943" s="32">
        <v>43066.19122685185</v>
      </c>
      <c r="E943">
        <v>6</v>
      </c>
      <c r="F943" t="s">
        <v>15</v>
      </c>
    </row>
    <row r="944" spans="1:6">
      <c r="A944">
        <v>347902</v>
      </c>
      <c r="B944">
        <v>2</v>
      </c>
      <c r="C944">
        <v>1</v>
      </c>
      <c r="D944" s="32">
        <v>43069.528148148151</v>
      </c>
      <c r="E944">
        <v>3</v>
      </c>
      <c r="F944" t="s">
        <v>15</v>
      </c>
    </row>
    <row r="945" spans="1:6">
      <c r="A945">
        <v>339570</v>
      </c>
      <c r="B945">
        <v>2</v>
      </c>
      <c r="C945">
        <v>1</v>
      </c>
      <c r="D945" s="32">
        <v>43067.165196759262</v>
      </c>
      <c r="E945">
        <v>5</v>
      </c>
      <c r="F945" t="s">
        <v>15</v>
      </c>
    </row>
    <row r="946" spans="1:6">
      <c r="A946">
        <v>143689</v>
      </c>
      <c r="B946">
        <v>2</v>
      </c>
      <c r="C946">
        <v>1</v>
      </c>
      <c r="D946" s="32">
        <v>43066.514421296299</v>
      </c>
      <c r="E946">
        <v>6</v>
      </c>
      <c r="F946" t="s">
        <v>15</v>
      </c>
    </row>
    <row r="947" spans="1:6">
      <c r="A947">
        <v>638538</v>
      </c>
      <c r="B947">
        <v>2</v>
      </c>
      <c r="C947">
        <v>1</v>
      </c>
      <c r="D947" s="32">
        <v>43069.037731481483</v>
      </c>
      <c r="E947">
        <v>3</v>
      </c>
      <c r="F947" t="s">
        <v>15</v>
      </c>
    </row>
    <row r="948" spans="1:6">
      <c r="A948">
        <v>176818</v>
      </c>
      <c r="B948">
        <v>2</v>
      </c>
      <c r="C948">
        <v>1</v>
      </c>
      <c r="D948" s="32">
        <v>43064.528900462959</v>
      </c>
      <c r="E948">
        <v>8</v>
      </c>
      <c r="F948" t="s">
        <v>15</v>
      </c>
    </row>
    <row r="949" spans="1:6">
      <c r="A949">
        <v>307387</v>
      </c>
      <c r="B949">
        <v>2</v>
      </c>
      <c r="C949">
        <v>1</v>
      </c>
      <c r="D949" s="32">
        <v>43065.565115740741</v>
      </c>
      <c r="E949">
        <v>7</v>
      </c>
      <c r="F949" t="s">
        <v>15</v>
      </c>
    </row>
    <row r="950" spans="1:6">
      <c r="A950">
        <v>721917</v>
      </c>
      <c r="B950">
        <v>2</v>
      </c>
      <c r="C950">
        <v>2</v>
      </c>
      <c r="D950" s="32">
        <v>43069.392916666664</v>
      </c>
      <c r="E950">
        <v>3</v>
      </c>
      <c r="F950" t="s">
        <v>15</v>
      </c>
    </row>
    <row r="951" spans="1:6">
      <c r="A951">
        <v>780692</v>
      </c>
      <c r="B951">
        <v>2</v>
      </c>
      <c r="C951">
        <v>1</v>
      </c>
      <c r="D951" s="32">
        <v>43067.560659722221</v>
      </c>
      <c r="E951">
        <v>5</v>
      </c>
      <c r="F951" t="s">
        <v>15</v>
      </c>
    </row>
    <row r="952" spans="1:6">
      <c r="A952">
        <v>523499</v>
      </c>
      <c r="B952">
        <v>2</v>
      </c>
      <c r="C952">
        <v>1</v>
      </c>
      <c r="D952" s="32">
        <v>43066.050138888888</v>
      </c>
      <c r="E952">
        <v>6</v>
      </c>
      <c r="F952" t="s">
        <v>15</v>
      </c>
    </row>
    <row r="953" spans="1:6">
      <c r="A953">
        <v>308525</v>
      </c>
      <c r="B953">
        <v>2</v>
      </c>
      <c r="C953">
        <v>2</v>
      </c>
      <c r="D953" s="32">
        <v>43066.184340277781</v>
      </c>
      <c r="E953">
        <v>6</v>
      </c>
      <c r="F953" t="s">
        <v>15</v>
      </c>
    </row>
    <row r="954" spans="1:6">
      <c r="A954">
        <v>923747</v>
      </c>
      <c r="B954">
        <v>2</v>
      </c>
      <c r="C954">
        <v>1</v>
      </c>
      <c r="D954" s="32">
        <v>43064.626863425925</v>
      </c>
      <c r="E954">
        <v>8</v>
      </c>
      <c r="F954" t="s">
        <v>15</v>
      </c>
    </row>
    <row r="955" spans="1:6">
      <c r="A955">
        <v>432573</v>
      </c>
      <c r="B955">
        <v>2</v>
      </c>
      <c r="C955">
        <v>1</v>
      </c>
      <c r="D955" s="32">
        <v>43069.565497685187</v>
      </c>
      <c r="E955">
        <v>3</v>
      </c>
      <c r="F955" t="s">
        <v>15</v>
      </c>
    </row>
    <row r="956" spans="1:6">
      <c r="A956">
        <v>978835</v>
      </c>
      <c r="B956">
        <v>2</v>
      </c>
      <c r="C956">
        <v>1</v>
      </c>
      <c r="D956" s="32">
        <v>43067.202025462961</v>
      </c>
      <c r="E956">
        <v>5</v>
      </c>
      <c r="F956" t="s">
        <v>15</v>
      </c>
    </row>
    <row r="957" spans="1:6">
      <c r="A957">
        <v>919846</v>
      </c>
      <c r="B957">
        <v>2</v>
      </c>
      <c r="C957">
        <v>2</v>
      </c>
      <c r="D957" s="32">
        <v>43068.684293981481</v>
      </c>
      <c r="E957">
        <v>4</v>
      </c>
      <c r="F957" t="s">
        <v>15</v>
      </c>
    </row>
    <row r="958" spans="1:6">
      <c r="A958">
        <v>974450</v>
      </c>
      <c r="B958">
        <v>2</v>
      </c>
      <c r="C958">
        <v>1</v>
      </c>
      <c r="D958" s="32">
        <v>43064.250092592592</v>
      </c>
      <c r="E958">
        <v>8</v>
      </c>
      <c r="F958" t="s">
        <v>15</v>
      </c>
    </row>
    <row r="959" spans="1:6">
      <c r="A959">
        <v>857202</v>
      </c>
      <c r="B959">
        <v>2</v>
      </c>
      <c r="C959">
        <v>1</v>
      </c>
      <c r="D959" s="32">
        <v>43064.693738425929</v>
      </c>
      <c r="E959">
        <v>8</v>
      </c>
      <c r="F959" t="s">
        <v>15</v>
      </c>
    </row>
    <row r="960" spans="1:6">
      <c r="A960">
        <v>221031</v>
      </c>
      <c r="B960">
        <v>2</v>
      </c>
      <c r="C960">
        <v>1</v>
      </c>
      <c r="D960" s="32">
        <v>43065.084247685183</v>
      </c>
      <c r="E960">
        <v>7</v>
      </c>
      <c r="F960" t="s">
        <v>15</v>
      </c>
    </row>
    <row r="961" spans="1:6">
      <c r="A961">
        <v>868186</v>
      </c>
      <c r="B961">
        <v>2</v>
      </c>
      <c r="C961">
        <v>2</v>
      </c>
      <c r="D961" s="32">
        <v>43069.598495370374</v>
      </c>
      <c r="E961">
        <v>3</v>
      </c>
      <c r="F961" t="s">
        <v>15</v>
      </c>
    </row>
    <row r="962" spans="1:6">
      <c r="A962">
        <v>615821</v>
      </c>
      <c r="B962">
        <v>2</v>
      </c>
      <c r="C962">
        <v>1</v>
      </c>
      <c r="D962" s="32">
        <v>43064.836643518516</v>
      </c>
      <c r="E962">
        <v>8</v>
      </c>
      <c r="F962" t="s">
        <v>15</v>
      </c>
    </row>
    <row r="963" spans="1:6">
      <c r="A963">
        <v>226838</v>
      </c>
      <c r="B963">
        <v>2</v>
      </c>
      <c r="C963">
        <v>1</v>
      </c>
      <c r="D963" s="32">
        <v>43066.245567129627</v>
      </c>
      <c r="E963">
        <v>6</v>
      </c>
      <c r="F963" t="s">
        <v>15</v>
      </c>
    </row>
    <row r="964" spans="1:6">
      <c r="A964">
        <v>98362</v>
      </c>
      <c r="B964">
        <v>2</v>
      </c>
      <c r="C964">
        <v>1</v>
      </c>
      <c r="D964" s="32">
        <v>43067.614270833335</v>
      </c>
      <c r="E964">
        <v>5</v>
      </c>
      <c r="F964" t="s">
        <v>15</v>
      </c>
    </row>
    <row r="965" spans="1:6">
      <c r="A965">
        <v>238713</v>
      </c>
      <c r="B965">
        <v>2</v>
      </c>
      <c r="C965">
        <v>1</v>
      </c>
      <c r="D965" s="32">
        <v>43068.164618055554</v>
      </c>
      <c r="E965">
        <v>4</v>
      </c>
      <c r="F965" t="s">
        <v>15</v>
      </c>
    </row>
    <row r="966" spans="1:6">
      <c r="A966">
        <v>642216</v>
      </c>
      <c r="B966">
        <v>2</v>
      </c>
      <c r="C966">
        <v>1</v>
      </c>
      <c r="D966" s="32">
        <v>43068.487453703703</v>
      </c>
      <c r="E966">
        <v>4</v>
      </c>
      <c r="F966" t="s">
        <v>15</v>
      </c>
    </row>
    <row r="967" spans="1:6">
      <c r="A967">
        <v>885323</v>
      </c>
      <c r="B967">
        <v>2</v>
      </c>
      <c r="C967">
        <v>1</v>
      </c>
      <c r="D967" s="32">
        <v>43069.036203703705</v>
      </c>
      <c r="E967">
        <v>3</v>
      </c>
      <c r="F967" t="s">
        <v>15</v>
      </c>
    </row>
    <row r="968" spans="1:6">
      <c r="A968">
        <v>687605</v>
      </c>
      <c r="B968">
        <v>2</v>
      </c>
      <c r="C968">
        <v>1</v>
      </c>
      <c r="D968" s="32">
        <v>43064.603518518517</v>
      </c>
      <c r="E968">
        <v>8</v>
      </c>
      <c r="F968" t="s">
        <v>15</v>
      </c>
    </row>
    <row r="969" spans="1:6">
      <c r="A969">
        <v>464452</v>
      </c>
      <c r="B969">
        <v>2</v>
      </c>
      <c r="C969">
        <v>2</v>
      </c>
      <c r="D969" s="32">
        <v>43067.230069444442</v>
      </c>
      <c r="E969">
        <v>5</v>
      </c>
      <c r="F969" t="s">
        <v>15</v>
      </c>
    </row>
    <row r="970" spans="1:6">
      <c r="A970">
        <v>230332</v>
      </c>
      <c r="B970">
        <v>2</v>
      </c>
      <c r="C970">
        <v>1</v>
      </c>
      <c r="D970" s="32">
        <v>43065.161527777775</v>
      </c>
      <c r="E970">
        <v>7</v>
      </c>
      <c r="F970" t="s">
        <v>15</v>
      </c>
    </row>
    <row r="971" spans="1:6">
      <c r="A971">
        <v>161550</v>
      </c>
      <c r="B971">
        <v>2</v>
      </c>
      <c r="C971">
        <v>2</v>
      </c>
      <c r="D971" s="32">
        <v>43069.601446759261</v>
      </c>
      <c r="E971">
        <v>3</v>
      </c>
      <c r="F971" t="s">
        <v>15</v>
      </c>
    </row>
    <row r="972" spans="1:6">
      <c r="A972">
        <v>32232</v>
      </c>
      <c r="B972">
        <v>2</v>
      </c>
      <c r="C972">
        <v>1</v>
      </c>
      <c r="D972" s="32">
        <v>43067.591539351852</v>
      </c>
      <c r="E972">
        <v>5</v>
      </c>
      <c r="F972" t="s">
        <v>15</v>
      </c>
    </row>
    <row r="973" spans="1:6">
      <c r="A973">
        <v>695300</v>
      </c>
      <c r="B973">
        <v>2</v>
      </c>
      <c r="C973">
        <v>1</v>
      </c>
      <c r="D973" s="32">
        <v>43065.176631944443</v>
      </c>
      <c r="E973">
        <v>7</v>
      </c>
      <c r="F973" t="s">
        <v>15</v>
      </c>
    </row>
    <row r="974" spans="1:6">
      <c r="A974">
        <v>879999</v>
      </c>
      <c r="B974">
        <v>2</v>
      </c>
      <c r="C974">
        <v>1</v>
      </c>
      <c r="D974" s="32">
        <v>43068.650266203702</v>
      </c>
      <c r="E974">
        <v>4</v>
      </c>
      <c r="F974" t="s">
        <v>15</v>
      </c>
    </row>
    <row r="975" spans="1:6">
      <c r="A975">
        <v>264731</v>
      </c>
      <c r="B975">
        <v>2</v>
      </c>
      <c r="C975">
        <v>1</v>
      </c>
      <c r="D975" s="32">
        <v>43064.35087962963</v>
      </c>
      <c r="E975">
        <v>8</v>
      </c>
      <c r="F975" t="s">
        <v>15</v>
      </c>
    </row>
    <row r="976" spans="1:6">
      <c r="A976">
        <v>916605</v>
      </c>
      <c r="B976">
        <v>2</v>
      </c>
      <c r="C976">
        <v>1</v>
      </c>
      <c r="D976" s="32">
        <v>43064.125752314816</v>
      </c>
      <c r="E976">
        <v>8</v>
      </c>
      <c r="F976" t="s">
        <v>15</v>
      </c>
    </row>
    <row r="977" spans="1:6">
      <c r="A977">
        <v>945105</v>
      </c>
      <c r="B977">
        <v>2</v>
      </c>
      <c r="C977">
        <v>1</v>
      </c>
      <c r="D977" s="32">
        <v>43066.136076388888</v>
      </c>
      <c r="E977">
        <v>6</v>
      </c>
      <c r="F977" t="s">
        <v>15</v>
      </c>
    </row>
    <row r="978" spans="1:6">
      <c r="A978">
        <v>343293</v>
      </c>
      <c r="B978">
        <v>2</v>
      </c>
      <c r="C978">
        <v>1</v>
      </c>
      <c r="D978" s="32">
        <v>43065.286261574074</v>
      </c>
      <c r="E978">
        <v>7</v>
      </c>
      <c r="F978" t="s">
        <v>15</v>
      </c>
    </row>
    <row r="979" spans="1:6">
      <c r="A979">
        <v>605537</v>
      </c>
      <c r="B979">
        <v>2</v>
      </c>
      <c r="C979">
        <v>1</v>
      </c>
      <c r="D979" s="32">
        <v>43064.511296296296</v>
      </c>
      <c r="E979">
        <v>8</v>
      </c>
      <c r="F979" t="s">
        <v>15</v>
      </c>
    </row>
    <row r="980" spans="1:6">
      <c r="A980">
        <v>917098</v>
      </c>
      <c r="B980">
        <v>2</v>
      </c>
      <c r="C980">
        <v>1</v>
      </c>
      <c r="D980" s="32">
        <v>43065.200358796297</v>
      </c>
      <c r="E980">
        <v>7</v>
      </c>
      <c r="F980" t="s">
        <v>15</v>
      </c>
    </row>
    <row r="981" spans="1:6">
      <c r="A981">
        <v>81822</v>
      </c>
      <c r="B981">
        <v>2</v>
      </c>
      <c r="C981">
        <v>4</v>
      </c>
      <c r="D981" s="32">
        <v>43067.425578703704</v>
      </c>
      <c r="E981">
        <v>5</v>
      </c>
      <c r="F981" t="s">
        <v>15</v>
      </c>
    </row>
    <row r="982" spans="1:6">
      <c r="A982">
        <v>728884</v>
      </c>
      <c r="B982">
        <v>2</v>
      </c>
      <c r="C982">
        <v>1</v>
      </c>
      <c r="D982" s="32">
        <v>43066.317650462966</v>
      </c>
      <c r="E982">
        <v>6</v>
      </c>
      <c r="F982" t="s">
        <v>15</v>
      </c>
    </row>
    <row r="983" spans="1:6">
      <c r="A983">
        <v>804944</v>
      </c>
      <c r="B983">
        <v>2</v>
      </c>
      <c r="C983">
        <v>1</v>
      </c>
      <c r="D983" s="32">
        <v>43067.776967592596</v>
      </c>
      <c r="E983">
        <v>5</v>
      </c>
      <c r="F983" t="s">
        <v>15</v>
      </c>
    </row>
    <row r="984" spans="1:6">
      <c r="A984">
        <v>456898</v>
      </c>
      <c r="B984">
        <v>2</v>
      </c>
      <c r="C984">
        <v>1</v>
      </c>
      <c r="D984" s="32">
        <v>43068.386724537035</v>
      </c>
      <c r="E984">
        <v>4</v>
      </c>
      <c r="F984" t="s">
        <v>15</v>
      </c>
    </row>
    <row r="985" spans="1:6">
      <c r="A985">
        <v>664327</v>
      </c>
      <c r="B985">
        <v>2</v>
      </c>
      <c r="C985">
        <v>1</v>
      </c>
      <c r="D985" s="32">
        <v>43065.576203703706</v>
      </c>
      <c r="E985">
        <v>7</v>
      </c>
      <c r="F985" t="s">
        <v>15</v>
      </c>
    </row>
    <row r="986" spans="1:6">
      <c r="A986">
        <v>982608</v>
      </c>
      <c r="B986">
        <v>2</v>
      </c>
      <c r="C986">
        <v>1</v>
      </c>
      <c r="D986" s="32">
        <v>43064.315648148149</v>
      </c>
      <c r="E986">
        <v>8</v>
      </c>
      <c r="F986" t="s">
        <v>15</v>
      </c>
    </row>
    <row r="987" spans="1:6">
      <c r="A987">
        <v>448586</v>
      </c>
      <c r="B987">
        <v>2</v>
      </c>
      <c r="C987">
        <v>1</v>
      </c>
      <c r="D987" s="32">
        <v>43067.657152777778</v>
      </c>
      <c r="E987">
        <v>5</v>
      </c>
      <c r="F987" t="s">
        <v>15</v>
      </c>
    </row>
    <row r="988" spans="1:6">
      <c r="A988">
        <v>776409</v>
      </c>
      <c r="B988">
        <v>2</v>
      </c>
      <c r="C988">
        <v>2</v>
      </c>
      <c r="D988" s="32">
        <v>43065.657037037039</v>
      </c>
      <c r="E988">
        <v>7</v>
      </c>
      <c r="F988" t="s">
        <v>15</v>
      </c>
    </row>
    <row r="989" spans="1:6">
      <c r="A989">
        <v>466235</v>
      </c>
      <c r="B989">
        <v>2</v>
      </c>
      <c r="C989">
        <v>1</v>
      </c>
      <c r="D989" s="32">
        <v>43067.16369212963</v>
      </c>
      <c r="E989">
        <v>5</v>
      </c>
      <c r="F989" t="s">
        <v>15</v>
      </c>
    </row>
    <row r="990" spans="1:6">
      <c r="A990">
        <v>378435</v>
      </c>
      <c r="B990">
        <v>2</v>
      </c>
      <c r="C990">
        <v>1</v>
      </c>
      <c r="D990" s="32">
        <v>43069.507037037038</v>
      </c>
      <c r="E990">
        <v>3</v>
      </c>
      <c r="F990" t="s">
        <v>15</v>
      </c>
    </row>
    <row r="991" spans="1:6">
      <c r="A991">
        <v>851841</v>
      </c>
      <c r="B991">
        <v>2</v>
      </c>
      <c r="C991">
        <v>1</v>
      </c>
      <c r="D991" s="32">
        <v>43069.477581018517</v>
      </c>
      <c r="E991">
        <v>3</v>
      </c>
      <c r="F991" t="s">
        <v>15</v>
      </c>
    </row>
    <row r="992" spans="1:6">
      <c r="A992">
        <v>803053</v>
      </c>
      <c r="B992">
        <v>2</v>
      </c>
      <c r="C992">
        <v>1</v>
      </c>
      <c r="D992" s="32">
        <v>43068.201226851852</v>
      </c>
      <c r="E992">
        <v>4</v>
      </c>
      <c r="F992" t="s">
        <v>15</v>
      </c>
    </row>
    <row r="993" spans="1:6">
      <c r="A993">
        <v>785559</v>
      </c>
      <c r="B993">
        <v>2</v>
      </c>
      <c r="C993">
        <v>1</v>
      </c>
      <c r="D993" s="32">
        <v>43069.25277777778</v>
      </c>
      <c r="E993">
        <v>3</v>
      </c>
      <c r="F993" t="s">
        <v>15</v>
      </c>
    </row>
    <row r="994" spans="1:6">
      <c r="A994">
        <v>905304</v>
      </c>
      <c r="B994">
        <v>2</v>
      </c>
      <c r="C994">
        <v>1</v>
      </c>
      <c r="D994" s="32">
        <v>43065.351377314815</v>
      </c>
      <c r="E994">
        <v>7</v>
      </c>
      <c r="F994" t="s">
        <v>15</v>
      </c>
    </row>
    <row r="995" spans="1:6">
      <c r="A995">
        <v>116796</v>
      </c>
      <c r="B995">
        <v>2</v>
      </c>
      <c r="C995">
        <v>1</v>
      </c>
      <c r="D995" s="32">
        <v>43065.512592592589</v>
      </c>
      <c r="E995">
        <v>7</v>
      </c>
      <c r="F995" t="s">
        <v>15</v>
      </c>
    </row>
    <row r="996" spans="1:6">
      <c r="A996">
        <v>120783</v>
      </c>
      <c r="B996">
        <v>2</v>
      </c>
      <c r="C996">
        <v>1</v>
      </c>
      <c r="D996" s="32">
        <v>43065.081909722219</v>
      </c>
      <c r="E996">
        <v>7</v>
      </c>
      <c r="F996" t="s">
        <v>15</v>
      </c>
    </row>
    <row r="997" spans="1:6">
      <c r="A997">
        <v>637708</v>
      </c>
      <c r="B997">
        <v>2</v>
      </c>
      <c r="C997">
        <v>1</v>
      </c>
      <c r="D997" s="32">
        <v>43068.640868055554</v>
      </c>
      <c r="E997">
        <v>4</v>
      </c>
      <c r="F997" t="s">
        <v>15</v>
      </c>
    </row>
    <row r="998" spans="1:6">
      <c r="A998">
        <v>842311</v>
      </c>
      <c r="B998">
        <v>2</v>
      </c>
      <c r="C998">
        <v>1</v>
      </c>
      <c r="D998" s="32">
        <v>43065.343263888892</v>
      </c>
      <c r="E998">
        <v>7</v>
      </c>
      <c r="F998" t="s">
        <v>15</v>
      </c>
    </row>
    <row r="999" spans="1:6">
      <c r="A999">
        <v>21550</v>
      </c>
      <c r="B999">
        <v>2</v>
      </c>
      <c r="C999">
        <v>1</v>
      </c>
      <c r="D999" s="32">
        <v>43066.473414351851</v>
      </c>
      <c r="E999">
        <v>6</v>
      </c>
      <c r="F999" t="s">
        <v>15</v>
      </c>
    </row>
    <row r="1000" spans="1:6">
      <c r="A1000">
        <v>11393</v>
      </c>
      <c r="B1000">
        <v>2</v>
      </c>
      <c r="C1000">
        <v>1</v>
      </c>
      <c r="D1000" s="32">
        <v>43064.341273148151</v>
      </c>
      <c r="E1000">
        <v>8</v>
      </c>
      <c r="F1000" t="s">
        <v>15</v>
      </c>
    </row>
    <row r="1001" spans="1:6">
      <c r="A1001">
        <v>955310</v>
      </c>
      <c r="B1001">
        <v>2</v>
      </c>
      <c r="C1001">
        <v>1</v>
      </c>
      <c r="D1001" s="32">
        <v>43069.379629629628</v>
      </c>
      <c r="E1001">
        <v>3</v>
      </c>
      <c r="F1001" t="s">
        <v>15</v>
      </c>
    </row>
    <row r="1002" spans="1:6">
      <c r="A1002">
        <v>1015660</v>
      </c>
      <c r="B1002">
        <v>2</v>
      </c>
      <c r="C1002">
        <v>2</v>
      </c>
      <c r="D1002" s="32">
        <v>43069.630324074074</v>
      </c>
      <c r="E1002">
        <v>3</v>
      </c>
      <c r="F1002" t="s">
        <v>15</v>
      </c>
    </row>
    <row r="1003" spans="1:6">
      <c r="A1003">
        <v>609168</v>
      </c>
      <c r="B1003">
        <v>2</v>
      </c>
      <c r="C1003">
        <v>1</v>
      </c>
      <c r="D1003" s="32">
        <v>43066.387743055559</v>
      </c>
      <c r="E1003">
        <v>6</v>
      </c>
      <c r="F1003" t="s">
        <v>15</v>
      </c>
    </row>
    <row r="1004" spans="1:6">
      <c r="A1004">
        <v>407811</v>
      </c>
      <c r="B1004">
        <v>2</v>
      </c>
      <c r="C1004">
        <v>1</v>
      </c>
      <c r="D1004" s="32">
        <v>43067.563437500001</v>
      </c>
      <c r="E1004">
        <v>5</v>
      </c>
      <c r="F1004" t="s">
        <v>15</v>
      </c>
    </row>
    <row r="1005" spans="1:6">
      <c r="A1005">
        <v>890261</v>
      </c>
      <c r="B1005">
        <v>2</v>
      </c>
      <c r="C1005">
        <v>1</v>
      </c>
      <c r="D1005" s="32">
        <v>43069.269074074073</v>
      </c>
      <c r="E1005">
        <v>3</v>
      </c>
      <c r="F1005" t="s">
        <v>15</v>
      </c>
    </row>
    <row r="1006" spans="1:6">
      <c r="A1006">
        <v>304217</v>
      </c>
      <c r="B1006">
        <v>2</v>
      </c>
      <c r="C1006">
        <v>1</v>
      </c>
      <c r="D1006" s="32">
        <v>43067.309861111113</v>
      </c>
      <c r="E1006">
        <v>5</v>
      </c>
      <c r="F1006" t="s">
        <v>15</v>
      </c>
    </row>
    <row r="1007" spans="1:6">
      <c r="A1007">
        <v>527099</v>
      </c>
      <c r="B1007">
        <v>2</v>
      </c>
      <c r="C1007">
        <v>1</v>
      </c>
      <c r="D1007" s="32">
        <v>43066.486643518518</v>
      </c>
      <c r="E1007">
        <v>6</v>
      </c>
      <c r="F1007" t="s">
        <v>15</v>
      </c>
    </row>
    <row r="1008" spans="1:6">
      <c r="A1008">
        <v>74250</v>
      </c>
      <c r="B1008">
        <v>2</v>
      </c>
      <c r="C1008">
        <v>2</v>
      </c>
      <c r="D1008" s="32">
        <v>43067.314895833333</v>
      </c>
      <c r="E1008">
        <v>5</v>
      </c>
      <c r="F1008" t="s">
        <v>15</v>
      </c>
    </row>
    <row r="1009" spans="1:6">
      <c r="A1009">
        <v>341395</v>
      </c>
      <c r="B1009">
        <v>2</v>
      </c>
      <c r="C1009">
        <v>2</v>
      </c>
      <c r="D1009" s="32">
        <v>43067.230868055558</v>
      </c>
      <c r="E1009">
        <v>5</v>
      </c>
      <c r="F1009" t="s">
        <v>15</v>
      </c>
    </row>
    <row r="1010" spans="1:6">
      <c r="A1010">
        <v>738560</v>
      </c>
      <c r="B1010">
        <v>2</v>
      </c>
      <c r="C1010">
        <v>1</v>
      </c>
      <c r="D1010" s="32">
        <v>43067.244131944448</v>
      </c>
      <c r="E1010">
        <v>5</v>
      </c>
      <c r="F1010" t="s">
        <v>15</v>
      </c>
    </row>
    <row r="1011" spans="1:6">
      <c r="A1011">
        <v>539604</v>
      </c>
      <c r="B1011">
        <v>2</v>
      </c>
      <c r="C1011">
        <v>1</v>
      </c>
      <c r="D1011" s="32">
        <v>43069.317615740743</v>
      </c>
      <c r="E1011">
        <v>3</v>
      </c>
      <c r="F1011" t="s">
        <v>15</v>
      </c>
    </row>
    <row r="1012" spans="1:6">
      <c r="A1012">
        <v>637099</v>
      </c>
      <c r="B1012">
        <v>2</v>
      </c>
      <c r="C1012">
        <v>1</v>
      </c>
      <c r="D1012" s="32">
        <v>43068.63590277778</v>
      </c>
      <c r="E1012">
        <v>4</v>
      </c>
      <c r="F1012" t="s">
        <v>15</v>
      </c>
    </row>
    <row r="1013" spans="1:6">
      <c r="A1013">
        <v>861209</v>
      </c>
      <c r="B1013">
        <v>2</v>
      </c>
      <c r="C1013">
        <v>2</v>
      </c>
      <c r="D1013" s="32">
        <v>43069.060324074075</v>
      </c>
      <c r="E1013">
        <v>3</v>
      </c>
      <c r="F1013" t="s">
        <v>15</v>
      </c>
    </row>
    <row r="1014" spans="1:6">
      <c r="A1014">
        <v>92310</v>
      </c>
      <c r="B1014">
        <v>2</v>
      </c>
      <c r="C1014">
        <v>1</v>
      </c>
      <c r="D1014" s="32">
        <v>43069.631550925929</v>
      </c>
      <c r="E1014">
        <v>3</v>
      </c>
      <c r="F1014" t="s">
        <v>15</v>
      </c>
    </row>
    <row r="1015" spans="1:6">
      <c r="A1015">
        <v>471960</v>
      </c>
      <c r="B1015">
        <v>2</v>
      </c>
      <c r="C1015">
        <v>1</v>
      </c>
      <c r="D1015" s="32">
        <v>43065.505312499998</v>
      </c>
      <c r="E1015">
        <v>7</v>
      </c>
      <c r="F1015" t="s">
        <v>15</v>
      </c>
    </row>
    <row r="1016" spans="1:6">
      <c r="A1016">
        <v>384583</v>
      </c>
      <c r="B1016">
        <v>2</v>
      </c>
      <c r="C1016">
        <v>1</v>
      </c>
      <c r="D1016" s="32">
        <v>43066.691967592589</v>
      </c>
      <c r="E1016">
        <v>6</v>
      </c>
      <c r="F1016" t="s">
        <v>15</v>
      </c>
    </row>
    <row r="1017" spans="1:6">
      <c r="A1017">
        <v>499074</v>
      </c>
      <c r="B1017">
        <v>2</v>
      </c>
      <c r="C1017">
        <v>1</v>
      </c>
      <c r="D1017" s="32">
        <v>43066.507638888892</v>
      </c>
      <c r="E1017">
        <v>6</v>
      </c>
      <c r="F1017" t="s">
        <v>15</v>
      </c>
    </row>
    <row r="1018" spans="1:6">
      <c r="A1018">
        <v>1009955</v>
      </c>
      <c r="B1018">
        <v>2</v>
      </c>
      <c r="C1018">
        <v>2</v>
      </c>
      <c r="D1018" s="32">
        <v>43068.671701388892</v>
      </c>
      <c r="E1018">
        <v>4</v>
      </c>
      <c r="F1018" t="s">
        <v>15</v>
      </c>
    </row>
    <row r="1019" spans="1:6">
      <c r="A1019">
        <v>66525</v>
      </c>
      <c r="B1019">
        <v>2</v>
      </c>
      <c r="C1019">
        <v>1</v>
      </c>
      <c r="D1019" s="32">
        <v>43066.475335648145</v>
      </c>
      <c r="E1019">
        <v>6</v>
      </c>
      <c r="F1019" t="s">
        <v>15</v>
      </c>
    </row>
    <row r="1020" spans="1:6">
      <c r="A1020">
        <v>327813</v>
      </c>
      <c r="B1020">
        <v>2</v>
      </c>
      <c r="C1020">
        <v>1</v>
      </c>
      <c r="D1020" s="32">
        <v>43068.606423611112</v>
      </c>
      <c r="E1020">
        <v>4</v>
      </c>
      <c r="F1020" t="s">
        <v>15</v>
      </c>
    </row>
    <row r="1021" spans="1:6">
      <c r="A1021">
        <v>445009</v>
      </c>
      <c r="B1021">
        <v>2</v>
      </c>
      <c r="C1021">
        <v>1</v>
      </c>
      <c r="D1021" s="32">
        <v>43064.099687499998</v>
      </c>
      <c r="E1021">
        <v>8</v>
      </c>
      <c r="F1021" t="s">
        <v>15</v>
      </c>
    </row>
    <row r="1022" spans="1:6">
      <c r="A1022">
        <v>994912</v>
      </c>
      <c r="B1022">
        <v>2</v>
      </c>
      <c r="C1022">
        <v>1</v>
      </c>
      <c r="D1022" s="32">
        <v>43069.522094907406</v>
      </c>
      <c r="E1022">
        <v>3</v>
      </c>
      <c r="F1022" t="s">
        <v>15</v>
      </c>
    </row>
    <row r="1023" spans="1:6">
      <c r="A1023">
        <v>19891</v>
      </c>
      <c r="B1023">
        <v>2</v>
      </c>
      <c r="C1023">
        <v>1</v>
      </c>
      <c r="D1023" s="32">
        <v>43064.421851851854</v>
      </c>
      <c r="E1023">
        <v>8</v>
      </c>
      <c r="F1023" t="s">
        <v>15</v>
      </c>
    </row>
    <row r="1024" spans="1:6">
      <c r="A1024">
        <v>420316</v>
      </c>
      <c r="B1024">
        <v>2</v>
      </c>
      <c r="C1024">
        <v>1</v>
      </c>
      <c r="D1024" s="32">
        <v>43064.544988425929</v>
      </c>
      <c r="E1024">
        <v>8</v>
      </c>
      <c r="F1024" t="s">
        <v>15</v>
      </c>
    </row>
    <row r="1025" spans="1:6">
      <c r="A1025">
        <v>39733</v>
      </c>
      <c r="B1025">
        <v>2</v>
      </c>
      <c r="C1025">
        <v>1</v>
      </c>
      <c r="D1025" s="32">
        <v>43065.271493055552</v>
      </c>
      <c r="E1025">
        <v>7</v>
      </c>
      <c r="F1025" t="s">
        <v>15</v>
      </c>
    </row>
    <row r="1026" spans="1:6">
      <c r="A1026">
        <v>525903</v>
      </c>
      <c r="B1026">
        <v>2</v>
      </c>
      <c r="C1026">
        <v>1</v>
      </c>
      <c r="D1026" s="32">
        <v>43067.567488425928</v>
      </c>
      <c r="E1026">
        <v>5</v>
      </c>
      <c r="F1026" t="s">
        <v>15</v>
      </c>
    </row>
    <row r="1027" spans="1:6">
      <c r="A1027">
        <v>136011</v>
      </c>
      <c r="B1027">
        <v>2</v>
      </c>
      <c r="C1027">
        <v>1</v>
      </c>
      <c r="D1027" s="32">
        <v>43066.473391203705</v>
      </c>
      <c r="E1027">
        <v>6</v>
      </c>
      <c r="F1027" t="s">
        <v>15</v>
      </c>
    </row>
    <row r="1028" spans="1:6">
      <c r="A1028">
        <v>895556</v>
      </c>
      <c r="B1028">
        <v>2</v>
      </c>
      <c r="C1028">
        <v>1</v>
      </c>
      <c r="D1028" s="32">
        <v>43067.10837962963</v>
      </c>
      <c r="E1028">
        <v>5</v>
      </c>
      <c r="F1028" t="s">
        <v>15</v>
      </c>
    </row>
    <row r="1029" spans="1:6">
      <c r="A1029">
        <v>428247</v>
      </c>
      <c r="B1029">
        <v>2</v>
      </c>
      <c r="C1029">
        <v>1</v>
      </c>
      <c r="D1029" s="32">
        <v>43068.318657407406</v>
      </c>
      <c r="E1029">
        <v>4</v>
      </c>
      <c r="F1029" t="s">
        <v>15</v>
      </c>
    </row>
    <row r="1030" spans="1:6">
      <c r="A1030">
        <v>655701</v>
      </c>
      <c r="B1030">
        <v>2</v>
      </c>
      <c r="C1030">
        <v>2</v>
      </c>
      <c r="D1030" s="32">
        <v>43069.167453703703</v>
      </c>
      <c r="E1030">
        <v>3</v>
      </c>
      <c r="F1030" t="s">
        <v>15</v>
      </c>
    </row>
    <row r="1031" spans="1:6">
      <c r="A1031">
        <v>855688</v>
      </c>
      <c r="B1031">
        <v>2</v>
      </c>
      <c r="C1031">
        <v>1</v>
      </c>
      <c r="D1031" s="32">
        <v>43066.510787037034</v>
      </c>
      <c r="E1031">
        <v>6</v>
      </c>
      <c r="F1031" t="s">
        <v>15</v>
      </c>
    </row>
    <row r="1032" spans="1:6">
      <c r="A1032">
        <v>764752</v>
      </c>
      <c r="B1032">
        <v>2</v>
      </c>
      <c r="C1032">
        <v>1</v>
      </c>
      <c r="D1032" s="32">
        <v>43065.582673611112</v>
      </c>
      <c r="E1032">
        <v>7</v>
      </c>
      <c r="F1032" t="s">
        <v>15</v>
      </c>
    </row>
    <row r="1033" spans="1:6">
      <c r="A1033">
        <v>131770</v>
      </c>
      <c r="B1033">
        <v>2</v>
      </c>
      <c r="C1033">
        <v>1</v>
      </c>
      <c r="D1033" s="32">
        <v>43064.479016203702</v>
      </c>
      <c r="E1033">
        <v>8</v>
      </c>
      <c r="F1033" t="s">
        <v>15</v>
      </c>
    </row>
    <row r="1034" spans="1:6">
      <c r="A1034">
        <v>964613</v>
      </c>
      <c r="B1034">
        <v>2</v>
      </c>
      <c r="C1034">
        <v>1</v>
      </c>
      <c r="D1034" s="32">
        <v>43064.010821759257</v>
      </c>
      <c r="E1034">
        <v>8</v>
      </c>
      <c r="F1034" t="s">
        <v>15</v>
      </c>
    </row>
    <row r="1035" spans="1:6">
      <c r="A1035">
        <v>88136</v>
      </c>
      <c r="B1035">
        <v>2</v>
      </c>
      <c r="C1035">
        <v>1</v>
      </c>
      <c r="D1035" s="32">
        <v>43066.579351851855</v>
      </c>
      <c r="E1035">
        <v>6</v>
      </c>
      <c r="F1035" t="s">
        <v>15</v>
      </c>
    </row>
    <row r="1036" spans="1:6">
      <c r="A1036">
        <v>334132</v>
      </c>
      <c r="B1036">
        <v>2</v>
      </c>
      <c r="C1036">
        <v>1</v>
      </c>
      <c r="D1036" s="32">
        <v>43067.143333333333</v>
      </c>
      <c r="E1036">
        <v>5</v>
      </c>
      <c r="F1036" t="s">
        <v>15</v>
      </c>
    </row>
    <row r="1037" spans="1:6">
      <c r="A1037">
        <v>882774</v>
      </c>
      <c r="B1037">
        <v>2</v>
      </c>
      <c r="C1037">
        <v>1</v>
      </c>
      <c r="D1037" s="32">
        <v>43064.857581018521</v>
      </c>
      <c r="E1037">
        <v>8</v>
      </c>
      <c r="F1037" t="s">
        <v>15</v>
      </c>
    </row>
    <row r="1038" spans="1:6">
      <c r="A1038">
        <v>110126</v>
      </c>
      <c r="B1038">
        <v>2</v>
      </c>
      <c r="C1038">
        <v>1</v>
      </c>
      <c r="D1038" s="32">
        <v>43067.253460648149</v>
      </c>
      <c r="E1038">
        <v>5</v>
      </c>
      <c r="F1038" t="s">
        <v>15</v>
      </c>
    </row>
    <row r="1039" spans="1:6">
      <c r="A1039">
        <v>649767</v>
      </c>
      <c r="B1039">
        <v>2</v>
      </c>
      <c r="C1039">
        <v>1</v>
      </c>
      <c r="D1039" s="32">
        <v>43068.999016203707</v>
      </c>
      <c r="E1039">
        <v>4</v>
      </c>
      <c r="F1039" t="s">
        <v>15</v>
      </c>
    </row>
    <row r="1040" spans="1:6">
      <c r="A1040">
        <v>973487</v>
      </c>
      <c r="B1040">
        <v>2</v>
      </c>
      <c r="C1040">
        <v>1</v>
      </c>
      <c r="D1040" s="32">
        <v>43065.669490740744</v>
      </c>
      <c r="E1040">
        <v>7</v>
      </c>
      <c r="F1040" t="s">
        <v>15</v>
      </c>
    </row>
    <row r="1041" spans="1:6">
      <c r="A1041">
        <v>326013</v>
      </c>
      <c r="B1041">
        <v>2</v>
      </c>
      <c r="C1041">
        <v>1</v>
      </c>
      <c r="D1041" s="32">
        <v>43068.527928240743</v>
      </c>
      <c r="E1041">
        <v>4</v>
      </c>
      <c r="F1041" t="s">
        <v>15</v>
      </c>
    </row>
    <row r="1042" spans="1:6">
      <c r="A1042">
        <v>180568</v>
      </c>
      <c r="B1042">
        <v>2</v>
      </c>
      <c r="C1042">
        <v>1</v>
      </c>
      <c r="D1042" s="32">
        <v>43068.240057870367</v>
      </c>
      <c r="E1042">
        <v>4</v>
      </c>
      <c r="F1042" t="s">
        <v>15</v>
      </c>
    </row>
    <row r="1043" spans="1:6">
      <c r="A1043">
        <v>505149</v>
      </c>
      <c r="B1043">
        <v>2</v>
      </c>
      <c r="C1043">
        <v>1</v>
      </c>
      <c r="D1043" s="32">
        <v>43069.10527777778</v>
      </c>
      <c r="E1043">
        <v>3</v>
      </c>
      <c r="F1043" t="s">
        <v>15</v>
      </c>
    </row>
    <row r="1044" spans="1:6">
      <c r="A1044">
        <v>931364</v>
      </c>
      <c r="B1044">
        <v>2</v>
      </c>
      <c r="C1044">
        <v>1</v>
      </c>
      <c r="D1044" s="32">
        <v>43067.605578703704</v>
      </c>
      <c r="E1044">
        <v>5</v>
      </c>
      <c r="F1044" t="s">
        <v>15</v>
      </c>
    </row>
    <row r="1045" spans="1:6">
      <c r="A1045">
        <v>302960</v>
      </c>
      <c r="B1045">
        <v>2</v>
      </c>
      <c r="C1045">
        <v>1</v>
      </c>
      <c r="D1045" s="32">
        <v>43064.526585648149</v>
      </c>
      <c r="E1045">
        <v>8</v>
      </c>
      <c r="F1045" t="s">
        <v>15</v>
      </c>
    </row>
    <row r="1046" spans="1:6">
      <c r="A1046">
        <v>986389</v>
      </c>
      <c r="B1046">
        <v>2</v>
      </c>
      <c r="C1046">
        <v>1</v>
      </c>
      <c r="D1046" s="32">
        <v>43065.314456018517</v>
      </c>
      <c r="E1046">
        <v>7</v>
      </c>
      <c r="F1046" t="s">
        <v>15</v>
      </c>
    </row>
    <row r="1047" spans="1:6">
      <c r="A1047">
        <v>973886</v>
      </c>
      <c r="B1047">
        <v>2</v>
      </c>
      <c r="C1047">
        <v>2</v>
      </c>
      <c r="D1047" s="32">
        <v>43067.775243055556</v>
      </c>
      <c r="E1047">
        <v>5</v>
      </c>
      <c r="F1047" t="s">
        <v>15</v>
      </c>
    </row>
    <row r="1048" spans="1:6">
      <c r="A1048">
        <v>232861</v>
      </c>
      <c r="B1048">
        <v>2</v>
      </c>
      <c r="C1048">
        <v>1</v>
      </c>
      <c r="D1048" s="32">
        <v>43066.630312499998</v>
      </c>
      <c r="E1048">
        <v>6</v>
      </c>
      <c r="F1048" t="s">
        <v>15</v>
      </c>
    </row>
    <row r="1049" spans="1:6">
      <c r="A1049">
        <v>93633</v>
      </c>
      <c r="B1049">
        <v>2</v>
      </c>
      <c r="C1049">
        <v>1</v>
      </c>
      <c r="D1049" s="32">
        <v>43064.800034722219</v>
      </c>
      <c r="E1049">
        <v>8</v>
      </c>
      <c r="F1049" t="s">
        <v>15</v>
      </c>
    </row>
    <row r="1050" spans="1:6">
      <c r="A1050">
        <v>666432</v>
      </c>
      <c r="B1050">
        <v>2</v>
      </c>
      <c r="C1050">
        <v>1</v>
      </c>
      <c r="D1050" s="32">
        <v>43066.618275462963</v>
      </c>
      <c r="E1050">
        <v>6</v>
      </c>
      <c r="F1050" t="s">
        <v>15</v>
      </c>
    </row>
    <row r="1051" spans="1:6">
      <c r="A1051">
        <v>709752</v>
      </c>
      <c r="B1051">
        <v>2</v>
      </c>
      <c r="C1051">
        <v>1</v>
      </c>
      <c r="D1051" s="32">
        <v>43069.727395833332</v>
      </c>
      <c r="E1051">
        <v>3</v>
      </c>
      <c r="F1051" t="s">
        <v>15</v>
      </c>
    </row>
    <row r="1052" spans="1:6">
      <c r="A1052">
        <v>319896</v>
      </c>
      <c r="B1052">
        <v>2</v>
      </c>
      <c r="C1052">
        <v>1</v>
      </c>
      <c r="D1052" s="32">
        <v>43068.28800925926</v>
      </c>
      <c r="E1052">
        <v>4</v>
      </c>
      <c r="F1052" t="s">
        <v>15</v>
      </c>
    </row>
    <row r="1053" spans="1:6">
      <c r="A1053">
        <v>858631</v>
      </c>
      <c r="B1053">
        <v>2</v>
      </c>
      <c r="C1053">
        <v>1</v>
      </c>
      <c r="D1053" s="32">
        <v>43065.46634259259</v>
      </c>
      <c r="E1053">
        <v>7</v>
      </c>
      <c r="F1053" t="s">
        <v>15</v>
      </c>
    </row>
    <row r="1054" spans="1:6">
      <c r="A1054">
        <v>109170</v>
      </c>
      <c r="B1054">
        <v>2</v>
      </c>
      <c r="C1054">
        <v>1</v>
      </c>
      <c r="D1054" s="32">
        <v>43069.157997685186</v>
      </c>
      <c r="E1054">
        <v>3</v>
      </c>
      <c r="F1054" t="s">
        <v>15</v>
      </c>
    </row>
    <row r="1055" spans="1:6">
      <c r="A1055">
        <v>330515</v>
      </c>
      <c r="B1055">
        <v>2</v>
      </c>
      <c r="C1055">
        <v>1</v>
      </c>
      <c r="D1055" s="32">
        <v>43067.602847222224</v>
      </c>
      <c r="E1055">
        <v>5</v>
      </c>
      <c r="F1055" t="s">
        <v>15</v>
      </c>
    </row>
    <row r="1056" spans="1:6">
      <c r="A1056">
        <v>15016</v>
      </c>
      <c r="B1056">
        <v>2</v>
      </c>
      <c r="C1056">
        <v>1</v>
      </c>
      <c r="D1056" s="32">
        <v>43067.601203703707</v>
      </c>
      <c r="E1056">
        <v>5</v>
      </c>
      <c r="F1056" t="s">
        <v>15</v>
      </c>
    </row>
    <row r="1057" spans="1:6">
      <c r="A1057">
        <v>117</v>
      </c>
      <c r="B1057">
        <v>2</v>
      </c>
      <c r="C1057">
        <v>1</v>
      </c>
      <c r="D1057" s="32">
        <v>43065.740856481483</v>
      </c>
      <c r="E1057">
        <v>7</v>
      </c>
      <c r="F1057" t="s">
        <v>15</v>
      </c>
    </row>
    <row r="1058" spans="1:6">
      <c r="A1058">
        <v>628531</v>
      </c>
      <c r="B1058">
        <v>2</v>
      </c>
      <c r="C1058">
        <v>1</v>
      </c>
      <c r="D1058" s="32">
        <v>43068.631168981483</v>
      </c>
      <c r="E1058">
        <v>4</v>
      </c>
      <c r="F1058" t="s">
        <v>15</v>
      </c>
    </row>
    <row r="1059" spans="1:6">
      <c r="A1059">
        <v>849913</v>
      </c>
      <c r="B1059">
        <v>2</v>
      </c>
      <c r="C1059">
        <v>1</v>
      </c>
      <c r="D1059" s="32">
        <v>43065.602083333331</v>
      </c>
      <c r="E1059">
        <v>7</v>
      </c>
      <c r="F1059" t="s">
        <v>15</v>
      </c>
    </row>
    <row r="1060" spans="1:6">
      <c r="A1060">
        <v>270678</v>
      </c>
      <c r="B1060">
        <v>2</v>
      </c>
      <c r="C1060">
        <v>1</v>
      </c>
      <c r="D1060" s="32">
        <v>43067.121898148151</v>
      </c>
      <c r="E1060">
        <v>5</v>
      </c>
      <c r="F1060" t="s">
        <v>15</v>
      </c>
    </row>
    <row r="1061" spans="1:6">
      <c r="A1061">
        <v>773508</v>
      </c>
      <c r="B1061">
        <v>2</v>
      </c>
      <c r="C1061">
        <v>1</v>
      </c>
      <c r="D1061" s="32">
        <v>43065.372465277775</v>
      </c>
      <c r="E1061">
        <v>7</v>
      </c>
      <c r="F1061" t="s">
        <v>15</v>
      </c>
    </row>
    <row r="1062" spans="1:6">
      <c r="A1062">
        <v>195258</v>
      </c>
      <c r="B1062">
        <v>2</v>
      </c>
      <c r="C1062">
        <v>1</v>
      </c>
      <c r="D1062" s="32">
        <v>43067.659918981481</v>
      </c>
      <c r="E1062">
        <v>5</v>
      </c>
      <c r="F1062" t="s">
        <v>15</v>
      </c>
    </row>
    <row r="1063" spans="1:6">
      <c r="A1063">
        <v>641817</v>
      </c>
      <c r="B1063">
        <v>2</v>
      </c>
      <c r="C1063">
        <v>1</v>
      </c>
      <c r="D1063" s="32">
        <v>43066.647824074076</v>
      </c>
      <c r="E1063">
        <v>6</v>
      </c>
      <c r="F1063" t="s">
        <v>15</v>
      </c>
    </row>
    <row r="1064" spans="1:6">
      <c r="A1064">
        <v>990208</v>
      </c>
      <c r="B1064">
        <v>2</v>
      </c>
      <c r="C1064">
        <v>1</v>
      </c>
      <c r="D1064" s="32">
        <v>43068.462337962963</v>
      </c>
      <c r="E1064">
        <v>4</v>
      </c>
      <c r="F1064" t="s">
        <v>15</v>
      </c>
    </row>
    <row r="1065" spans="1:6">
      <c r="A1065">
        <v>96415</v>
      </c>
      <c r="B1065">
        <v>2</v>
      </c>
      <c r="C1065">
        <v>1</v>
      </c>
      <c r="D1065" s="32">
        <v>43069.700752314813</v>
      </c>
      <c r="E1065">
        <v>3</v>
      </c>
      <c r="F1065" t="s">
        <v>15</v>
      </c>
    </row>
    <row r="1066" spans="1:6">
      <c r="A1066">
        <v>610548</v>
      </c>
      <c r="B1066">
        <v>2</v>
      </c>
      <c r="C1066">
        <v>1</v>
      </c>
      <c r="D1066" s="32">
        <v>43065.58965277778</v>
      </c>
      <c r="E1066">
        <v>7</v>
      </c>
      <c r="F1066" t="s">
        <v>15</v>
      </c>
    </row>
    <row r="1067" spans="1:6">
      <c r="A1067">
        <v>636932</v>
      </c>
      <c r="B1067">
        <v>2</v>
      </c>
      <c r="C1067">
        <v>1</v>
      </c>
      <c r="D1067" s="32">
        <v>43066.581967592596</v>
      </c>
      <c r="E1067">
        <v>6</v>
      </c>
      <c r="F1067" t="s">
        <v>15</v>
      </c>
    </row>
    <row r="1068" spans="1:6">
      <c r="A1068">
        <v>188965</v>
      </c>
      <c r="B1068">
        <v>2</v>
      </c>
      <c r="C1068">
        <v>1</v>
      </c>
      <c r="D1068" s="32">
        <v>43069.577951388892</v>
      </c>
      <c r="E1068">
        <v>3</v>
      </c>
      <c r="F1068" t="s">
        <v>15</v>
      </c>
    </row>
    <row r="1069" spans="1:6">
      <c r="A1069">
        <v>938520</v>
      </c>
      <c r="B1069">
        <v>2</v>
      </c>
      <c r="C1069">
        <v>1</v>
      </c>
      <c r="D1069" s="32">
        <v>43068.264444444445</v>
      </c>
      <c r="E1069">
        <v>4</v>
      </c>
      <c r="F1069" t="s">
        <v>15</v>
      </c>
    </row>
    <row r="1070" spans="1:6">
      <c r="A1070">
        <v>213970</v>
      </c>
      <c r="B1070">
        <v>2</v>
      </c>
      <c r="C1070">
        <v>1</v>
      </c>
      <c r="D1070" s="32">
        <v>43066.673206018517</v>
      </c>
      <c r="E1070">
        <v>6</v>
      </c>
      <c r="F1070" t="s">
        <v>15</v>
      </c>
    </row>
    <row r="1071" spans="1:6">
      <c r="A1071">
        <v>501018</v>
      </c>
      <c r="B1071">
        <v>2</v>
      </c>
      <c r="C1071">
        <v>1</v>
      </c>
      <c r="D1071" s="32">
        <v>43066.371782407405</v>
      </c>
      <c r="E1071">
        <v>6</v>
      </c>
      <c r="F1071" t="s">
        <v>15</v>
      </c>
    </row>
    <row r="1072" spans="1:6">
      <c r="A1072">
        <v>481857</v>
      </c>
      <c r="B1072">
        <v>2</v>
      </c>
      <c r="C1072">
        <v>2</v>
      </c>
      <c r="D1072" s="32">
        <v>43065.08798611111</v>
      </c>
      <c r="E1072">
        <v>7</v>
      </c>
      <c r="F1072" t="s">
        <v>15</v>
      </c>
    </row>
    <row r="1073" spans="1:6">
      <c r="A1073">
        <v>943527</v>
      </c>
      <c r="B1073">
        <v>2</v>
      </c>
      <c r="C1073">
        <v>1</v>
      </c>
      <c r="D1073" s="32">
        <v>43065.102060185185</v>
      </c>
      <c r="E1073">
        <v>7</v>
      </c>
      <c r="F1073" t="s">
        <v>15</v>
      </c>
    </row>
    <row r="1074" spans="1:6">
      <c r="A1074">
        <v>812398</v>
      </c>
      <c r="B1074">
        <v>2</v>
      </c>
      <c r="C1074">
        <v>1</v>
      </c>
      <c r="D1074" s="32">
        <v>43065.23847222222</v>
      </c>
      <c r="E1074">
        <v>7</v>
      </c>
      <c r="F1074" t="s">
        <v>15</v>
      </c>
    </row>
    <row r="1075" spans="1:6">
      <c r="A1075">
        <v>607756</v>
      </c>
      <c r="B1075">
        <v>2</v>
      </c>
      <c r="C1075">
        <v>1</v>
      </c>
      <c r="D1075" s="32">
        <v>43064.057881944442</v>
      </c>
      <c r="E1075">
        <v>8</v>
      </c>
      <c r="F1075" t="s">
        <v>15</v>
      </c>
    </row>
    <row r="1076" spans="1:6">
      <c r="A1076">
        <v>703108</v>
      </c>
      <c r="B1076">
        <v>2</v>
      </c>
      <c r="C1076">
        <v>1</v>
      </c>
      <c r="D1076" s="32">
        <v>43067.201562499999</v>
      </c>
      <c r="E1076">
        <v>5</v>
      </c>
      <c r="F1076" t="s">
        <v>15</v>
      </c>
    </row>
    <row r="1077" spans="1:6">
      <c r="A1077">
        <v>864463</v>
      </c>
      <c r="B1077">
        <v>2</v>
      </c>
      <c r="C1077">
        <v>1</v>
      </c>
      <c r="D1077" s="32">
        <v>43065.618449074071</v>
      </c>
      <c r="E1077">
        <v>7</v>
      </c>
      <c r="F1077" t="s">
        <v>15</v>
      </c>
    </row>
    <row r="1078" spans="1:6">
      <c r="A1078">
        <v>942210</v>
      </c>
      <c r="B1078">
        <v>2</v>
      </c>
      <c r="C1078">
        <v>1</v>
      </c>
      <c r="D1078" s="32">
        <v>43064.565196759257</v>
      </c>
      <c r="E1078">
        <v>8</v>
      </c>
      <c r="F1078" t="s">
        <v>15</v>
      </c>
    </row>
    <row r="1079" spans="1:6">
      <c r="A1079">
        <v>355154</v>
      </c>
      <c r="B1079">
        <v>2</v>
      </c>
      <c r="C1079">
        <v>1</v>
      </c>
      <c r="D1079" s="32">
        <v>43066.34207175926</v>
      </c>
      <c r="E1079">
        <v>6</v>
      </c>
      <c r="F1079" t="s">
        <v>15</v>
      </c>
    </row>
    <row r="1080" spans="1:6">
      <c r="A1080">
        <v>263793</v>
      </c>
      <c r="B1080">
        <v>2</v>
      </c>
      <c r="C1080">
        <v>1</v>
      </c>
      <c r="D1080" s="32">
        <v>43065.101203703707</v>
      </c>
      <c r="E1080">
        <v>7</v>
      </c>
      <c r="F1080" t="s">
        <v>15</v>
      </c>
    </row>
    <row r="1081" spans="1:6">
      <c r="A1081">
        <v>800746</v>
      </c>
      <c r="B1081">
        <v>2</v>
      </c>
      <c r="C1081">
        <v>1</v>
      </c>
      <c r="D1081" s="32">
        <v>43065.013564814813</v>
      </c>
      <c r="E1081">
        <v>7</v>
      </c>
      <c r="F1081" t="s">
        <v>15</v>
      </c>
    </row>
    <row r="1082" spans="1:6">
      <c r="A1082">
        <v>865057</v>
      </c>
      <c r="B1082">
        <v>2</v>
      </c>
      <c r="C1082">
        <v>1</v>
      </c>
      <c r="D1082" s="32">
        <v>43068.203611111108</v>
      </c>
      <c r="E1082">
        <v>4</v>
      </c>
      <c r="F1082" t="s">
        <v>15</v>
      </c>
    </row>
    <row r="1083" spans="1:6">
      <c r="A1083">
        <v>417764</v>
      </c>
      <c r="B1083">
        <v>2</v>
      </c>
      <c r="C1083">
        <v>1</v>
      </c>
      <c r="D1083" s="32">
        <v>43068.566145833334</v>
      </c>
      <c r="E1083">
        <v>4</v>
      </c>
      <c r="F1083" t="s">
        <v>15</v>
      </c>
    </row>
    <row r="1084" spans="1:6">
      <c r="A1084">
        <v>651101</v>
      </c>
      <c r="B1084">
        <v>2</v>
      </c>
      <c r="C1084">
        <v>1</v>
      </c>
      <c r="D1084" s="32">
        <v>43068.137442129628</v>
      </c>
      <c r="E1084">
        <v>4</v>
      </c>
      <c r="F1084" t="s">
        <v>15</v>
      </c>
    </row>
    <row r="1085" spans="1:6">
      <c r="A1085">
        <v>453297</v>
      </c>
      <c r="B1085">
        <v>2</v>
      </c>
      <c r="C1085">
        <v>1</v>
      </c>
      <c r="D1085" s="32">
        <v>43067.548981481479</v>
      </c>
      <c r="E1085">
        <v>5</v>
      </c>
      <c r="F1085" t="s">
        <v>15</v>
      </c>
    </row>
    <row r="1086" spans="1:6">
      <c r="A1086">
        <v>665052</v>
      </c>
      <c r="B1086">
        <v>2</v>
      </c>
      <c r="C1086">
        <v>2</v>
      </c>
      <c r="D1086" s="32">
        <v>43065.48296296296</v>
      </c>
      <c r="E1086">
        <v>7</v>
      </c>
      <c r="F1086" t="s">
        <v>15</v>
      </c>
    </row>
    <row r="1087" spans="1:6">
      <c r="A1087">
        <v>508625</v>
      </c>
      <c r="B1087">
        <v>2</v>
      </c>
      <c r="C1087">
        <v>1</v>
      </c>
      <c r="D1087" s="32">
        <v>43069.636562500003</v>
      </c>
      <c r="E1087">
        <v>3</v>
      </c>
      <c r="F1087" t="s">
        <v>15</v>
      </c>
    </row>
    <row r="1088" spans="1:6">
      <c r="A1088">
        <v>46641</v>
      </c>
      <c r="B1088">
        <v>2</v>
      </c>
      <c r="C1088">
        <v>1</v>
      </c>
      <c r="D1088" s="32">
        <v>43064.556597222225</v>
      </c>
      <c r="E1088">
        <v>8</v>
      </c>
      <c r="F1088" t="s">
        <v>15</v>
      </c>
    </row>
    <row r="1089" spans="1:6">
      <c r="A1089">
        <v>674012</v>
      </c>
      <c r="B1089">
        <v>2</v>
      </c>
      <c r="C1089">
        <v>1</v>
      </c>
      <c r="D1089" s="32">
        <v>43065.521412037036</v>
      </c>
      <c r="E1089">
        <v>7</v>
      </c>
      <c r="F1089" t="s">
        <v>15</v>
      </c>
    </row>
    <row r="1090" spans="1:6">
      <c r="A1090">
        <v>982745</v>
      </c>
      <c r="B1090">
        <v>2</v>
      </c>
      <c r="C1090">
        <v>2</v>
      </c>
      <c r="D1090" s="32">
        <v>43068.238067129627</v>
      </c>
      <c r="E1090">
        <v>4</v>
      </c>
      <c r="F1090" t="s">
        <v>15</v>
      </c>
    </row>
    <row r="1091" spans="1:6">
      <c r="A1091">
        <v>488102</v>
      </c>
      <c r="B1091">
        <v>2</v>
      </c>
      <c r="C1091">
        <v>1</v>
      </c>
      <c r="D1091" s="32">
        <v>43068.46193287037</v>
      </c>
      <c r="E1091">
        <v>4</v>
      </c>
      <c r="F1091" t="s">
        <v>15</v>
      </c>
    </row>
    <row r="1092" spans="1:6">
      <c r="A1092">
        <v>940420</v>
      </c>
      <c r="B1092">
        <v>2</v>
      </c>
      <c r="C1092">
        <v>1</v>
      </c>
      <c r="D1092" s="32">
        <v>43067.098263888889</v>
      </c>
      <c r="E1092">
        <v>5</v>
      </c>
      <c r="F1092" t="s">
        <v>15</v>
      </c>
    </row>
    <row r="1093" spans="1:6">
      <c r="A1093">
        <v>453911</v>
      </c>
      <c r="B1093">
        <v>2</v>
      </c>
      <c r="C1093">
        <v>1</v>
      </c>
      <c r="D1093" s="32">
        <v>43064.453310185185</v>
      </c>
      <c r="E1093">
        <v>8</v>
      </c>
      <c r="F1093" t="s">
        <v>15</v>
      </c>
    </row>
    <row r="1094" spans="1:6">
      <c r="A1094">
        <v>978019</v>
      </c>
      <c r="B1094">
        <v>2</v>
      </c>
      <c r="C1094">
        <v>1</v>
      </c>
      <c r="D1094" s="32">
        <v>43066.361168981479</v>
      </c>
      <c r="E1094">
        <v>6</v>
      </c>
      <c r="F1094" t="s">
        <v>15</v>
      </c>
    </row>
    <row r="1095" spans="1:6">
      <c r="A1095">
        <v>320664</v>
      </c>
      <c r="B1095">
        <v>2</v>
      </c>
      <c r="C1095">
        <v>1</v>
      </c>
      <c r="D1095" s="32">
        <v>43068.621666666666</v>
      </c>
      <c r="E1095">
        <v>4</v>
      </c>
      <c r="F1095" t="s">
        <v>15</v>
      </c>
    </row>
    <row r="1096" spans="1:6">
      <c r="A1096">
        <v>118382</v>
      </c>
      <c r="B1096">
        <v>2</v>
      </c>
      <c r="C1096">
        <v>1</v>
      </c>
      <c r="D1096" s="32">
        <v>43068.676932870374</v>
      </c>
      <c r="E1096">
        <v>4</v>
      </c>
      <c r="F1096" t="s">
        <v>15</v>
      </c>
    </row>
    <row r="1097" spans="1:6">
      <c r="A1097">
        <v>444958</v>
      </c>
      <c r="B1097">
        <v>2</v>
      </c>
      <c r="C1097">
        <v>1</v>
      </c>
      <c r="D1097" s="32">
        <v>43069.254374999997</v>
      </c>
      <c r="E1097">
        <v>3</v>
      </c>
      <c r="F1097" t="s">
        <v>15</v>
      </c>
    </row>
    <row r="1098" spans="1:6">
      <c r="A1098">
        <v>463719</v>
      </c>
      <c r="B1098">
        <v>2</v>
      </c>
      <c r="C1098">
        <v>2</v>
      </c>
      <c r="D1098" s="32">
        <v>43068.343101851853</v>
      </c>
      <c r="E1098">
        <v>4</v>
      </c>
      <c r="F1098" t="s">
        <v>15</v>
      </c>
    </row>
    <row r="1099" spans="1:6">
      <c r="A1099">
        <v>985892</v>
      </c>
      <c r="B1099">
        <v>2</v>
      </c>
      <c r="C1099">
        <v>1</v>
      </c>
      <c r="D1099" s="32">
        <v>43069.278356481482</v>
      </c>
      <c r="E1099">
        <v>3</v>
      </c>
      <c r="F1099" t="s">
        <v>15</v>
      </c>
    </row>
    <row r="1100" spans="1:6">
      <c r="A1100">
        <v>358300</v>
      </c>
      <c r="B1100">
        <v>2</v>
      </c>
      <c r="C1100">
        <v>1</v>
      </c>
      <c r="D1100" s="32">
        <v>43069.083449074074</v>
      </c>
      <c r="E1100">
        <v>3</v>
      </c>
      <c r="F1100" t="s">
        <v>15</v>
      </c>
    </row>
    <row r="1101" spans="1:6">
      <c r="A1101">
        <v>811763</v>
      </c>
      <c r="B1101">
        <v>2</v>
      </c>
      <c r="C1101">
        <v>1</v>
      </c>
      <c r="D1101" s="32">
        <v>43064.655752314815</v>
      </c>
      <c r="E1101">
        <v>8</v>
      </c>
      <c r="F1101" t="s">
        <v>15</v>
      </c>
    </row>
    <row r="1102" spans="1:6">
      <c r="A1102">
        <v>488145</v>
      </c>
      <c r="B1102">
        <v>2</v>
      </c>
      <c r="C1102">
        <v>1</v>
      </c>
      <c r="D1102" s="32">
        <v>43065.615497685183</v>
      </c>
      <c r="E1102">
        <v>7</v>
      </c>
      <c r="F1102" t="s">
        <v>15</v>
      </c>
    </row>
    <row r="1103" spans="1:6">
      <c r="A1103">
        <v>812604</v>
      </c>
      <c r="B1103">
        <v>2</v>
      </c>
      <c r="C1103">
        <v>1</v>
      </c>
      <c r="D1103" s="32">
        <v>43065.163356481484</v>
      </c>
      <c r="E1103">
        <v>7</v>
      </c>
      <c r="F1103" t="s">
        <v>15</v>
      </c>
    </row>
    <row r="1104" spans="1:6">
      <c r="A1104">
        <v>325535</v>
      </c>
      <c r="B1104">
        <v>2</v>
      </c>
      <c r="C1104">
        <v>1</v>
      </c>
      <c r="D1104" s="32">
        <v>43064.212337962963</v>
      </c>
      <c r="E1104">
        <v>8</v>
      </c>
      <c r="F1104" t="s">
        <v>15</v>
      </c>
    </row>
    <row r="1105" spans="1:6">
      <c r="A1105">
        <v>699668</v>
      </c>
      <c r="B1105">
        <v>2</v>
      </c>
      <c r="C1105">
        <v>1</v>
      </c>
      <c r="D1105" s="32">
        <v>43065.622858796298</v>
      </c>
      <c r="E1105">
        <v>7</v>
      </c>
      <c r="F1105" t="s">
        <v>15</v>
      </c>
    </row>
    <row r="1106" spans="1:6">
      <c r="A1106">
        <v>450188</v>
      </c>
      <c r="B1106">
        <v>2</v>
      </c>
      <c r="C1106">
        <v>1</v>
      </c>
      <c r="D1106" s="32">
        <v>43067.342407407406</v>
      </c>
      <c r="E1106">
        <v>5</v>
      </c>
      <c r="F1106" t="s">
        <v>15</v>
      </c>
    </row>
    <row r="1107" spans="1:6">
      <c r="A1107">
        <v>253948</v>
      </c>
      <c r="B1107">
        <v>2</v>
      </c>
      <c r="C1107">
        <v>1</v>
      </c>
      <c r="D1107" s="32">
        <v>43064.663449074076</v>
      </c>
      <c r="E1107">
        <v>8</v>
      </c>
      <c r="F1107" t="s">
        <v>15</v>
      </c>
    </row>
    <row r="1108" spans="1:6">
      <c r="A1108">
        <v>667476</v>
      </c>
      <c r="B1108">
        <v>2</v>
      </c>
      <c r="C1108">
        <v>1</v>
      </c>
      <c r="D1108" s="32">
        <v>43067.488171296296</v>
      </c>
      <c r="E1108">
        <v>5</v>
      </c>
      <c r="F1108" t="s">
        <v>15</v>
      </c>
    </row>
    <row r="1109" spans="1:6">
      <c r="A1109">
        <v>946419</v>
      </c>
      <c r="B1109">
        <v>2</v>
      </c>
      <c r="C1109">
        <v>1</v>
      </c>
      <c r="D1109" s="32">
        <v>43069.596261574072</v>
      </c>
      <c r="E1109">
        <v>3</v>
      </c>
      <c r="F1109" t="s">
        <v>15</v>
      </c>
    </row>
    <row r="1110" spans="1:6">
      <c r="A1110">
        <v>808483</v>
      </c>
      <c r="B1110">
        <v>2</v>
      </c>
      <c r="C1110">
        <v>1</v>
      </c>
      <c r="D1110" s="32">
        <v>43066.201898148145</v>
      </c>
      <c r="E1110">
        <v>6</v>
      </c>
      <c r="F1110" t="s">
        <v>15</v>
      </c>
    </row>
    <row r="1111" spans="1:6">
      <c r="A1111">
        <v>877758</v>
      </c>
      <c r="B1111">
        <v>2</v>
      </c>
      <c r="C1111">
        <v>2</v>
      </c>
      <c r="D1111" s="32">
        <v>43067.598275462966</v>
      </c>
      <c r="E1111">
        <v>5</v>
      </c>
      <c r="F1111" t="s">
        <v>15</v>
      </c>
    </row>
    <row r="1112" spans="1:6">
      <c r="A1112">
        <v>234593</v>
      </c>
      <c r="B1112">
        <v>2</v>
      </c>
      <c r="C1112">
        <v>1</v>
      </c>
      <c r="D1112" s="32">
        <v>43065.669965277775</v>
      </c>
      <c r="E1112">
        <v>7</v>
      </c>
      <c r="F1112" t="s">
        <v>15</v>
      </c>
    </row>
    <row r="1113" spans="1:6">
      <c r="A1113">
        <v>126559</v>
      </c>
      <c r="B1113">
        <v>2</v>
      </c>
      <c r="C1113">
        <v>1</v>
      </c>
      <c r="D1113" s="32">
        <v>43065.855902777781</v>
      </c>
      <c r="E1113">
        <v>7</v>
      </c>
      <c r="F1113" t="s">
        <v>15</v>
      </c>
    </row>
    <row r="1114" spans="1:6">
      <c r="A1114">
        <v>111871</v>
      </c>
      <c r="B1114">
        <v>2</v>
      </c>
      <c r="C1114">
        <v>2</v>
      </c>
      <c r="D1114" s="32">
        <v>43067.622303240743</v>
      </c>
      <c r="E1114">
        <v>5</v>
      </c>
      <c r="F1114" t="s">
        <v>15</v>
      </c>
    </row>
    <row r="1115" spans="1:6">
      <c r="A1115">
        <v>869825</v>
      </c>
      <c r="B1115">
        <v>2</v>
      </c>
      <c r="C1115">
        <v>1</v>
      </c>
      <c r="D1115" s="32">
        <v>43069.259548611109</v>
      </c>
      <c r="E1115">
        <v>3</v>
      </c>
      <c r="F1115" t="s">
        <v>15</v>
      </c>
    </row>
    <row r="1116" spans="1:6">
      <c r="A1116">
        <v>62513</v>
      </c>
      <c r="B1116">
        <v>2</v>
      </c>
      <c r="C1116">
        <v>1</v>
      </c>
      <c r="D1116" s="32">
        <v>43066.931643518517</v>
      </c>
      <c r="E1116">
        <v>6</v>
      </c>
      <c r="F1116" t="s">
        <v>15</v>
      </c>
    </row>
    <row r="1117" spans="1:6">
      <c r="A1117">
        <v>227478</v>
      </c>
      <c r="B1117">
        <v>2</v>
      </c>
      <c r="C1117">
        <v>1</v>
      </c>
      <c r="D1117" s="32">
        <v>43067.114953703705</v>
      </c>
      <c r="E1117">
        <v>5</v>
      </c>
      <c r="F1117" t="s">
        <v>15</v>
      </c>
    </row>
    <row r="1118" spans="1:6">
      <c r="A1118">
        <v>788351</v>
      </c>
      <c r="B1118">
        <v>2</v>
      </c>
      <c r="C1118">
        <v>1</v>
      </c>
      <c r="D1118" s="32">
        <v>43068.69327546296</v>
      </c>
      <c r="E1118">
        <v>4</v>
      </c>
      <c r="F1118" t="s">
        <v>15</v>
      </c>
    </row>
    <row r="1119" spans="1:6">
      <c r="A1119">
        <v>668657</v>
      </c>
      <c r="B1119">
        <v>2</v>
      </c>
      <c r="C1119">
        <v>1</v>
      </c>
      <c r="D1119" s="32">
        <v>43066.191342592596</v>
      </c>
      <c r="E1119">
        <v>6</v>
      </c>
      <c r="F1119" t="s">
        <v>15</v>
      </c>
    </row>
    <row r="1120" spans="1:6">
      <c r="A1120">
        <v>869530</v>
      </c>
      <c r="B1120">
        <v>2</v>
      </c>
      <c r="C1120">
        <v>1</v>
      </c>
      <c r="D1120" s="32">
        <v>43068.494895833333</v>
      </c>
      <c r="E1120">
        <v>4</v>
      </c>
      <c r="F1120" t="s">
        <v>15</v>
      </c>
    </row>
    <row r="1121" spans="1:6">
      <c r="A1121">
        <v>679758</v>
      </c>
      <c r="B1121">
        <v>2</v>
      </c>
      <c r="C1121">
        <v>1</v>
      </c>
      <c r="D1121" s="32">
        <v>43067.161030092589</v>
      </c>
      <c r="E1121">
        <v>5</v>
      </c>
      <c r="F1121" t="s">
        <v>15</v>
      </c>
    </row>
    <row r="1122" spans="1:6">
      <c r="A1122">
        <v>376746</v>
      </c>
      <c r="B1122">
        <v>2</v>
      </c>
      <c r="C1122">
        <v>2</v>
      </c>
      <c r="D1122" s="32">
        <v>43069.099687499998</v>
      </c>
      <c r="E1122">
        <v>3</v>
      </c>
      <c r="F1122" t="s">
        <v>15</v>
      </c>
    </row>
    <row r="1123" spans="1:6">
      <c r="A1123">
        <v>1016630</v>
      </c>
      <c r="B1123">
        <v>2</v>
      </c>
      <c r="C1123">
        <v>1</v>
      </c>
      <c r="D1123" s="32">
        <v>43066.317627314813</v>
      </c>
      <c r="E1123">
        <v>6</v>
      </c>
      <c r="F1123" t="s">
        <v>15</v>
      </c>
    </row>
    <row r="1124" spans="1:6">
      <c r="A1124">
        <v>231796</v>
      </c>
      <c r="B1124">
        <v>2</v>
      </c>
      <c r="C1124">
        <v>1</v>
      </c>
      <c r="D1124" s="32">
        <v>43068.599942129629</v>
      </c>
      <c r="E1124">
        <v>4</v>
      </c>
      <c r="F1124" t="s">
        <v>15</v>
      </c>
    </row>
    <row r="1125" spans="1:6">
      <c r="A1125">
        <v>937529</v>
      </c>
      <c r="B1125">
        <v>2</v>
      </c>
      <c r="C1125">
        <v>1</v>
      </c>
      <c r="D1125" s="32">
        <v>43066.444861111115</v>
      </c>
      <c r="E1125">
        <v>6</v>
      </c>
      <c r="F1125" t="s">
        <v>15</v>
      </c>
    </row>
    <row r="1126" spans="1:6">
      <c r="A1126">
        <v>624111</v>
      </c>
      <c r="B1126">
        <v>2</v>
      </c>
      <c r="C1126">
        <v>2</v>
      </c>
      <c r="D1126" s="32">
        <v>43067.02915509259</v>
      </c>
      <c r="E1126">
        <v>5</v>
      </c>
      <c r="F1126" t="s">
        <v>15</v>
      </c>
    </row>
    <row r="1127" spans="1:6">
      <c r="A1127">
        <v>249102</v>
      </c>
      <c r="B1127">
        <v>2</v>
      </c>
      <c r="C1127">
        <v>2</v>
      </c>
      <c r="D1127" s="32">
        <v>43068.664664351854</v>
      </c>
      <c r="E1127">
        <v>4</v>
      </c>
      <c r="F1127" t="s">
        <v>15</v>
      </c>
    </row>
    <row r="1128" spans="1:6">
      <c r="A1128">
        <v>1014309</v>
      </c>
      <c r="B1128">
        <v>2</v>
      </c>
      <c r="C1128">
        <v>1</v>
      </c>
      <c r="D1128" s="32">
        <v>43065.591053240743</v>
      </c>
      <c r="E1128">
        <v>7</v>
      </c>
      <c r="F1128" t="s">
        <v>15</v>
      </c>
    </row>
    <row r="1129" spans="1:6">
      <c r="A1129">
        <v>313821</v>
      </c>
      <c r="B1129">
        <v>2</v>
      </c>
      <c r="C1129">
        <v>1</v>
      </c>
      <c r="D1129" s="32">
        <v>43069.184270833335</v>
      </c>
      <c r="E1129">
        <v>3</v>
      </c>
      <c r="F1129" t="s">
        <v>15</v>
      </c>
    </row>
    <row r="1130" spans="1:6">
      <c r="A1130">
        <v>195927</v>
      </c>
      <c r="B1130">
        <v>2</v>
      </c>
      <c r="C1130">
        <v>1</v>
      </c>
      <c r="D1130" s="32">
        <v>43068.045891203707</v>
      </c>
      <c r="E1130">
        <v>4</v>
      </c>
      <c r="F1130" t="s">
        <v>15</v>
      </c>
    </row>
    <row r="1131" spans="1:6">
      <c r="A1131">
        <v>23731</v>
      </c>
      <c r="B1131">
        <v>2</v>
      </c>
      <c r="C1131">
        <v>1</v>
      </c>
      <c r="D1131" s="32">
        <v>43066.318368055552</v>
      </c>
      <c r="E1131">
        <v>6</v>
      </c>
      <c r="F1131" t="s">
        <v>15</v>
      </c>
    </row>
    <row r="1132" spans="1:6">
      <c r="A1132">
        <v>926001</v>
      </c>
      <c r="B1132">
        <v>2</v>
      </c>
      <c r="C1132">
        <v>1</v>
      </c>
      <c r="D1132" s="32">
        <v>43068.562025462961</v>
      </c>
      <c r="E1132">
        <v>4</v>
      </c>
      <c r="F1132" t="s">
        <v>15</v>
      </c>
    </row>
    <row r="1133" spans="1:6">
      <c r="A1133">
        <v>890467</v>
      </c>
      <c r="B1133">
        <v>2</v>
      </c>
      <c r="C1133">
        <v>1</v>
      </c>
      <c r="D1133" s="32">
        <v>43068.481435185182</v>
      </c>
      <c r="E1133">
        <v>4</v>
      </c>
      <c r="F1133" t="s">
        <v>15</v>
      </c>
    </row>
    <row r="1134" spans="1:6">
      <c r="A1134">
        <v>36698</v>
      </c>
      <c r="B1134">
        <v>2</v>
      </c>
      <c r="C1134">
        <v>1</v>
      </c>
      <c r="D1134" s="32">
        <v>43069.228391203702</v>
      </c>
      <c r="E1134">
        <v>3</v>
      </c>
      <c r="F1134" t="s">
        <v>15</v>
      </c>
    </row>
    <row r="1135" spans="1:6">
      <c r="A1135">
        <v>581799</v>
      </c>
      <c r="B1135">
        <v>2</v>
      </c>
      <c r="C1135">
        <v>1</v>
      </c>
      <c r="D1135" s="32">
        <v>43067.206122685187</v>
      </c>
      <c r="E1135">
        <v>5</v>
      </c>
      <c r="F1135" t="s">
        <v>15</v>
      </c>
    </row>
    <row r="1136" spans="1:6">
      <c r="A1136">
        <v>552967</v>
      </c>
      <c r="B1136">
        <v>2</v>
      </c>
      <c r="C1136">
        <v>1</v>
      </c>
      <c r="D1136" s="32">
        <v>43067.535416666666</v>
      </c>
      <c r="E1136">
        <v>5</v>
      </c>
      <c r="F1136" t="s">
        <v>15</v>
      </c>
    </row>
    <row r="1137" spans="1:6">
      <c r="A1137">
        <v>618240</v>
      </c>
      <c r="B1137">
        <v>2</v>
      </c>
      <c r="C1137">
        <v>2</v>
      </c>
      <c r="D1137" s="32">
        <v>43064.467592592591</v>
      </c>
      <c r="E1137">
        <v>8</v>
      </c>
      <c r="F1137" t="s">
        <v>15</v>
      </c>
    </row>
    <row r="1138" spans="1:6">
      <c r="A1138">
        <v>18109</v>
      </c>
      <c r="B1138">
        <v>2</v>
      </c>
      <c r="C1138">
        <v>1</v>
      </c>
      <c r="D1138" s="32">
        <v>43066.318101851852</v>
      </c>
      <c r="E1138">
        <v>6</v>
      </c>
      <c r="F1138" t="s">
        <v>15</v>
      </c>
    </row>
    <row r="1139" spans="1:6">
      <c r="A1139">
        <v>825934</v>
      </c>
      <c r="B1139">
        <v>2</v>
      </c>
      <c r="C1139">
        <v>1</v>
      </c>
      <c r="D1139" s="32">
        <v>43069.140752314815</v>
      </c>
      <c r="E1139">
        <v>3</v>
      </c>
      <c r="F1139" t="s">
        <v>15</v>
      </c>
    </row>
    <row r="1140" spans="1:6">
      <c r="A1140">
        <v>385794</v>
      </c>
      <c r="B1140">
        <v>2</v>
      </c>
      <c r="C1140">
        <v>1</v>
      </c>
      <c r="D1140" s="32">
        <v>43065.491099537037</v>
      </c>
      <c r="E1140">
        <v>7</v>
      </c>
      <c r="F1140" t="s">
        <v>15</v>
      </c>
    </row>
    <row r="1141" spans="1:6">
      <c r="A1141">
        <v>290892</v>
      </c>
      <c r="B1141">
        <v>2</v>
      </c>
      <c r="C1141">
        <v>1</v>
      </c>
      <c r="D1141" s="32">
        <v>43064.44059027778</v>
      </c>
      <c r="E1141">
        <v>8</v>
      </c>
      <c r="F1141" t="s">
        <v>15</v>
      </c>
    </row>
    <row r="1142" spans="1:6">
      <c r="A1142">
        <v>963930</v>
      </c>
      <c r="B1142">
        <v>2</v>
      </c>
      <c r="C1142">
        <v>1</v>
      </c>
      <c r="D1142" s="32">
        <v>43065.107685185183</v>
      </c>
      <c r="E1142">
        <v>7</v>
      </c>
      <c r="F1142" t="s">
        <v>15</v>
      </c>
    </row>
    <row r="1143" spans="1:6">
      <c r="A1143">
        <v>3879</v>
      </c>
      <c r="B1143">
        <v>2</v>
      </c>
      <c r="C1143">
        <v>1</v>
      </c>
      <c r="D1143" s="32">
        <v>43069.959386574075</v>
      </c>
      <c r="E1143">
        <v>3</v>
      </c>
      <c r="F1143" t="s">
        <v>15</v>
      </c>
    </row>
    <row r="1144" spans="1:6">
      <c r="A1144">
        <v>663087</v>
      </c>
      <c r="B1144">
        <v>2</v>
      </c>
      <c r="C1144">
        <v>1</v>
      </c>
      <c r="D1144" s="32">
        <v>43068.362245370372</v>
      </c>
      <c r="E1144">
        <v>4</v>
      </c>
      <c r="F1144" t="s">
        <v>15</v>
      </c>
    </row>
    <row r="1145" spans="1:6">
      <c r="A1145">
        <v>96604</v>
      </c>
      <c r="B1145">
        <v>2</v>
      </c>
      <c r="C1145">
        <v>1</v>
      </c>
      <c r="D1145" s="32">
        <v>43064.697476851848</v>
      </c>
      <c r="E1145">
        <v>8</v>
      </c>
      <c r="F1145" t="s">
        <v>15</v>
      </c>
    </row>
    <row r="1146" spans="1:6">
      <c r="A1146">
        <v>215704</v>
      </c>
      <c r="B1146">
        <v>2</v>
      </c>
      <c r="C1146">
        <v>2</v>
      </c>
      <c r="D1146" s="32">
        <v>43068.135520833333</v>
      </c>
      <c r="E1146">
        <v>4</v>
      </c>
      <c r="F1146" t="s">
        <v>15</v>
      </c>
    </row>
    <row r="1147" spans="1:6">
      <c r="A1147">
        <v>335573</v>
      </c>
      <c r="B1147">
        <v>2</v>
      </c>
      <c r="C1147">
        <v>1</v>
      </c>
      <c r="D1147" s="32">
        <v>43069.382800925923</v>
      </c>
      <c r="E1147">
        <v>3</v>
      </c>
      <c r="F1147" t="s">
        <v>15</v>
      </c>
    </row>
    <row r="1148" spans="1:6">
      <c r="A1148">
        <v>492804</v>
      </c>
      <c r="B1148">
        <v>2</v>
      </c>
      <c r="C1148">
        <v>1</v>
      </c>
      <c r="D1148" s="32">
        <v>43067.076701388891</v>
      </c>
      <c r="E1148">
        <v>5</v>
      </c>
      <c r="F1148" t="s">
        <v>15</v>
      </c>
    </row>
    <row r="1149" spans="1:6">
      <c r="A1149">
        <v>473601</v>
      </c>
      <c r="B1149">
        <v>2</v>
      </c>
      <c r="C1149">
        <v>1</v>
      </c>
      <c r="D1149" s="32">
        <v>43065.403564814813</v>
      </c>
      <c r="E1149">
        <v>7</v>
      </c>
      <c r="F1149" t="s">
        <v>15</v>
      </c>
    </row>
    <row r="1150" spans="1:6">
      <c r="A1150">
        <v>487764</v>
      </c>
      <c r="B1150">
        <v>2</v>
      </c>
      <c r="C1150">
        <v>1</v>
      </c>
      <c r="D1150" s="32">
        <v>43065.025578703702</v>
      </c>
      <c r="E1150">
        <v>7</v>
      </c>
      <c r="F1150" t="s">
        <v>15</v>
      </c>
    </row>
    <row r="1151" spans="1:6">
      <c r="A1151">
        <v>1015331</v>
      </c>
      <c r="B1151">
        <v>2</v>
      </c>
      <c r="C1151">
        <v>2</v>
      </c>
      <c r="D1151" s="32">
        <v>43068.318055555559</v>
      </c>
      <c r="E1151">
        <v>4</v>
      </c>
      <c r="F1151" t="s">
        <v>15</v>
      </c>
    </row>
    <row r="1152" spans="1:6">
      <c r="A1152">
        <v>808315</v>
      </c>
      <c r="B1152">
        <v>2</v>
      </c>
      <c r="C1152">
        <v>1</v>
      </c>
      <c r="D1152" s="32">
        <v>43068.2030787037</v>
      </c>
      <c r="E1152">
        <v>4</v>
      </c>
      <c r="F1152" t="s">
        <v>15</v>
      </c>
    </row>
    <row r="1153" spans="1:6">
      <c r="A1153">
        <v>214162</v>
      </c>
      <c r="B1153">
        <v>2</v>
      </c>
      <c r="C1153">
        <v>1</v>
      </c>
      <c r="D1153" s="32">
        <v>43066.452418981484</v>
      </c>
      <c r="E1153">
        <v>6</v>
      </c>
      <c r="F1153" t="s">
        <v>15</v>
      </c>
    </row>
    <row r="1154" spans="1:6">
      <c r="A1154">
        <v>1013452</v>
      </c>
      <c r="B1154">
        <v>2</v>
      </c>
      <c r="C1154">
        <v>1</v>
      </c>
      <c r="D1154" s="32">
        <v>43064.602523148147</v>
      </c>
      <c r="E1154">
        <v>8</v>
      </c>
      <c r="F1154" t="s">
        <v>15</v>
      </c>
    </row>
    <row r="1155" spans="1:6">
      <c r="A1155">
        <v>289914</v>
      </c>
      <c r="B1155">
        <v>2</v>
      </c>
      <c r="C1155">
        <v>1</v>
      </c>
      <c r="D1155" s="32">
        <v>43064.570671296293</v>
      </c>
      <c r="E1155">
        <v>8</v>
      </c>
      <c r="F1155" t="s">
        <v>15</v>
      </c>
    </row>
    <row r="1156" spans="1:6">
      <c r="A1156">
        <v>273860</v>
      </c>
      <c r="B1156">
        <v>2</v>
      </c>
      <c r="C1156">
        <v>1</v>
      </c>
      <c r="D1156" s="32">
        <v>43068.169629629629</v>
      </c>
      <c r="E1156">
        <v>4</v>
      </c>
      <c r="F1156" t="s">
        <v>15</v>
      </c>
    </row>
    <row r="1157" spans="1:6">
      <c r="A1157">
        <v>760946</v>
      </c>
      <c r="B1157">
        <v>2</v>
      </c>
      <c r="C1157">
        <v>1</v>
      </c>
      <c r="D1157" s="32">
        <v>43064.228275462963</v>
      </c>
      <c r="E1157">
        <v>8</v>
      </c>
      <c r="F1157" t="s">
        <v>15</v>
      </c>
    </row>
    <row r="1158" spans="1:6">
      <c r="A1158">
        <v>52760</v>
      </c>
      <c r="B1158">
        <v>2</v>
      </c>
      <c r="C1158">
        <v>1</v>
      </c>
      <c r="D1158" s="32">
        <v>43064.211782407408</v>
      </c>
      <c r="E1158">
        <v>8</v>
      </c>
      <c r="F1158" t="s">
        <v>15</v>
      </c>
    </row>
    <row r="1159" spans="1:6">
      <c r="A1159">
        <v>129619</v>
      </c>
      <c r="B1159">
        <v>2</v>
      </c>
      <c r="C1159">
        <v>1</v>
      </c>
      <c r="D1159" s="32">
        <v>43069.277326388888</v>
      </c>
      <c r="E1159">
        <v>3</v>
      </c>
      <c r="F1159" t="s">
        <v>15</v>
      </c>
    </row>
    <row r="1160" spans="1:6">
      <c r="A1160">
        <v>336836</v>
      </c>
      <c r="B1160">
        <v>2</v>
      </c>
      <c r="C1160">
        <v>1</v>
      </c>
      <c r="D1160" s="32">
        <v>43067.468229166669</v>
      </c>
      <c r="E1160">
        <v>5</v>
      </c>
      <c r="F1160" t="s">
        <v>15</v>
      </c>
    </row>
    <row r="1161" spans="1:6">
      <c r="A1161">
        <v>86127</v>
      </c>
      <c r="B1161">
        <v>2</v>
      </c>
      <c r="C1161">
        <v>2</v>
      </c>
      <c r="D1161" s="32">
        <v>43067.196921296294</v>
      </c>
      <c r="E1161">
        <v>5</v>
      </c>
      <c r="F1161" t="s">
        <v>15</v>
      </c>
    </row>
    <row r="1162" spans="1:6">
      <c r="A1162">
        <v>550044</v>
      </c>
      <c r="B1162">
        <v>2</v>
      </c>
      <c r="C1162">
        <v>1</v>
      </c>
      <c r="D1162" s="32">
        <v>43064.540312500001</v>
      </c>
      <c r="E1162">
        <v>8</v>
      </c>
      <c r="F1162" t="s">
        <v>15</v>
      </c>
    </row>
    <row r="1163" spans="1:6">
      <c r="A1163">
        <v>418450</v>
      </c>
      <c r="B1163">
        <v>2</v>
      </c>
      <c r="C1163">
        <v>1</v>
      </c>
      <c r="D1163" s="32">
        <v>43066.460636574076</v>
      </c>
      <c r="E1163">
        <v>6</v>
      </c>
      <c r="F1163" t="s">
        <v>15</v>
      </c>
    </row>
    <row r="1164" spans="1:6">
      <c r="A1164">
        <v>254179</v>
      </c>
      <c r="B1164">
        <v>2</v>
      </c>
      <c r="C1164">
        <v>1</v>
      </c>
      <c r="D1164" s="32">
        <v>43064.325266203705</v>
      </c>
      <c r="E1164">
        <v>8</v>
      </c>
      <c r="F1164" t="s">
        <v>15</v>
      </c>
    </row>
    <row r="1165" spans="1:6">
      <c r="A1165">
        <v>648151</v>
      </c>
      <c r="B1165">
        <v>2</v>
      </c>
      <c r="C1165">
        <v>1</v>
      </c>
      <c r="D1165" s="32">
        <v>43064.543912037036</v>
      </c>
      <c r="E1165">
        <v>8</v>
      </c>
      <c r="F1165" t="s">
        <v>15</v>
      </c>
    </row>
    <row r="1166" spans="1:6">
      <c r="A1166">
        <v>317380</v>
      </c>
      <c r="B1166">
        <v>2</v>
      </c>
      <c r="C1166">
        <v>1</v>
      </c>
      <c r="D1166" s="32">
        <v>43069.086759259262</v>
      </c>
      <c r="E1166">
        <v>3</v>
      </c>
      <c r="F1166" t="s">
        <v>15</v>
      </c>
    </row>
    <row r="1167" spans="1:6">
      <c r="A1167">
        <v>459796</v>
      </c>
      <c r="B1167">
        <v>2</v>
      </c>
      <c r="C1167">
        <v>1</v>
      </c>
      <c r="D1167" s="32">
        <v>43065.333692129629</v>
      </c>
      <c r="E1167">
        <v>7</v>
      </c>
      <c r="F1167" t="s">
        <v>15</v>
      </c>
    </row>
    <row r="1168" spans="1:6">
      <c r="A1168">
        <v>160357</v>
      </c>
      <c r="B1168">
        <v>2</v>
      </c>
      <c r="C1168">
        <v>1</v>
      </c>
      <c r="D1168" s="32">
        <v>43064.510821759257</v>
      </c>
      <c r="E1168">
        <v>8</v>
      </c>
      <c r="F1168" t="s">
        <v>15</v>
      </c>
    </row>
    <row r="1169" spans="1:6">
      <c r="A1169">
        <v>882097</v>
      </c>
      <c r="B1169">
        <v>2</v>
      </c>
      <c r="C1169">
        <v>1</v>
      </c>
      <c r="D1169" s="32">
        <v>43067.279791666668</v>
      </c>
      <c r="E1169">
        <v>5</v>
      </c>
      <c r="F1169" t="s">
        <v>15</v>
      </c>
    </row>
    <row r="1170" spans="1:6">
      <c r="A1170">
        <v>312294</v>
      </c>
      <c r="B1170">
        <v>2</v>
      </c>
      <c r="C1170">
        <v>1</v>
      </c>
      <c r="D1170" s="32">
        <v>43065.371736111112</v>
      </c>
      <c r="E1170">
        <v>7</v>
      </c>
      <c r="F1170" t="s">
        <v>15</v>
      </c>
    </row>
    <row r="1171" spans="1:6">
      <c r="A1171">
        <v>201884</v>
      </c>
      <c r="B1171">
        <v>2</v>
      </c>
      <c r="C1171">
        <v>1</v>
      </c>
      <c r="D1171" s="32">
        <v>43068.319398148145</v>
      </c>
      <c r="E1171">
        <v>4</v>
      </c>
      <c r="F1171" t="s">
        <v>15</v>
      </c>
    </row>
    <row r="1172" spans="1:6">
      <c r="A1172">
        <v>625884</v>
      </c>
      <c r="B1172">
        <v>2</v>
      </c>
      <c r="C1172">
        <v>1</v>
      </c>
      <c r="D1172" s="32">
        <v>43066.064791666664</v>
      </c>
      <c r="E1172">
        <v>6</v>
      </c>
      <c r="F1172" t="s">
        <v>15</v>
      </c>
    </row>
    <row r="1173" spans="1:6">
      <c r="A1173">
        <v>956726</v>
      </c>
      <c r="B1173">
        <v>2</v>
      </c>
      <c r="C1173">
        <v>1</v>
      </c>
      <c r="D1173" s="32">
        <v>43066.577951388892</v>
      </c>
      <c r="E1173">
        <v>6</v>
      </c>
      <c r="F1173" t="s">
        <v>15</v>
      </c>
    </row>
    <row r="1174" spans="1:6">
      <c r="A1174">
        <v>551729</v>
      </c>
      <c r="B1174">
        <v>2</v>
      </c>
      <c r="C1174">
        <v>1</v>
      </c>
      <c r="D1174" s="32">
        <v>43069.453182870369</v>
      </c>
      <c r="E1174">
        <v>3</v>
      </c>
      <c r="F1174" t="s">
        <v>15</v>
      </c>
    </row>
    <row r="1175" spans="1:6">
      <c r="A1175">
        <v>495562</v>
      </c>
      <c r="B1175">
        <v>2</v>
      </c>
      <c r="C1175">
        <v>1</v>
      </c>
      <c r="D1175" s="32">
        <v>43066.222546296296</v>
      </c>
      <c r="E1175">
        <v>6</v>
      </c>
      <c r="F1175" t="s">
        <v>15</v>
      </c>
    </row>
    <row r="1176" spans="1:6">
      <c r="A1176">
        <v>201415</v>
      </c>
      <c r="B1176">
        <v>2</v>
      </c>
      <c r="C1176">
        <v>2</v>
      </c>
      <c r="D1176" s="32">
        <v>43064.4608912037</v>
      </c>
      <c r="E1176">
        <v>8</v>
      </c>
      <c r="F1176" t="s">
        <v>15</v>
      </c>
    </row>
    <row r="1177" spans="1:6">
      <c r="A1177">
        <v>73126</v>
      </c>
      <c r="B1177">
        <v>2</v>
      </c>
      <c r="C1177">
        <v>1</v>
      </c>
      <c r="D1177" s="32">
        <v>43065.418252314812</v>
      </c>
      <c r="E1177">
        <v>7</v>
      </c>
      <c r="F1177" t="s">
        <v>15</v>
      </c>
    </row>
    <row r="1178" spans="1:6">
      <c r="A1178">
        <v>265098</v>
      </c>
      <c r="B1178">
        <v>2</v>
      </c>
      <c r="C1178">
        <v>1</v>
      </c>
      <c r="D1178" s="32">
        <v>43067.593819444446</v>
      </c>
      <c r="E1178">
        <v>5</v>
      </c>
      <c r="F1178" t="s">
        <v>15</v>
      </c>
    </row>
    <row r="1179" spans="1:6">
      <c r="A1179">
        <v>231687</v>
      </c>
      <c r="B1179">
        <v>2</v>
      </c>
      <c r="C1179">
        <v>1</v>
      </c>
      <c r="D1179" s="32">
        <v>43067.611631944441</v>
      </c>
      <c r="E1179">
        <v>5</v>
      </c>
      <c r="F1179" t="s">
        <v>15</v>
      </c>
    </row>
    <row r="1180" spans="1:6">
      <c r="A1180">
        <v>329790</v>
      </c>
      <c r="B1180">
        <v>2</v>
      </c>
      <c r="C1180">
        <v>1</v>
      </c>
      <c r="D1180" s="32">
        <v>43066.563148148147</v>
      </c>
      <c r="E1180">
        <v>6</v>
      </c>
      <c r="F1180" t="s">
        <v>15</v>
      </c>
    </row>
    <row r="1181" spans="1:6">
      <c r="A1181">
        <v>775823</v>
      </c>
      <c r="B1181">
        <v>2</v>
      </c>
      <c r="C1181">
        <v>1</v>
      </c>
      <c r="D1181" s="32">
        <v>43064.505833333336</v>
      </c>
      <c r="E1181">
        <v>8</v>
      </c>
      <c r="F1181" t="s">
        <v>15</v>
      </c>
    </row>
    <row r="1182" spans="1:6">
      <c r="A1182">
        <v>131817</v>
      </c>
      <c r="B1182">
        <v>2</v>
      </c>
      <c r="C1182">
        <v>1</v>
      </c>
      <c r="D1182" s="32">
        <v>43069.681273148148</v>
      </c>
      <c r="E1182">
        <v>3</v>
      </c>
      <c r="F1182" t="s">
        <v>15</v>
      </c>
    </row>
    <row r="1183" spans="1:6">
      <c r="A1183">
        <v>647970</v>
      </c>
      <c r="B1183">
        <v>2</v>
      </c>
      <c r="C1183">
        <v>1</v>
      </c>
      <c r="D1183" s="32">
        <v>43069.308182870373</v>
      </c>
      <c r="E1183">
        <v>3</v>
      </c>
      <c r="F1183" t="s">
        <v>15</v>
      </c>
    </row>
    <row r="1184" spans="1:6">
      <c r="A1184">
        <v>695907</v>
      </c>
      <c r="B1184">
        <v>2</v>
      </c>
      <c r="C1184">
        <v>1</v>
      </c>
      <c r="D1184" s="32">
        <v>43066.130173611113</v>
      </c>
      <c r="E1184">
        <v>6</v>
      </c>
      <c r="F1184" t="s">
        <v>15</v>
      </c>
    </row>
    <row r="1185" spans="1:6">
      <c r="A1185">
        <v>693144</v>
      </c>
      <c r="B1185">
        <v>2</v>
      </c>
      <c r="C1185">
        <v>2</v>
      </c>
      <c r="D1185" s="32">
        <v>43067.159108796295</v>
      </c>
      <c r="E1185">
        <v>5</v>
      </c>
      <c r="F1185" t="s">
        <v>15</v>
      </c>
    </row>
    <row r="1186" spans="1:6">
      <c r="A1186">
        <v>505098</v>
      </c>
      <c r="B1186">
        <v>2</v>
      </c>
      <c r="C1186">
        <v>1</v>
      </c>
      <c r="D1186" s="32">
        <v>43068.40625</v>
      </c>
      <c r="E1186">
        <v>4</v>
      </c>
      <c r="F1186" t="s">
        <v>15</v>
      </c>
    </row>
    <row r="1187" spans="1:6">
      <c r="A1187">
        <v>563248</v>
      </c>
      <c r="B1187">
        <v>2</v>
      </c>
      <c r="C1187">
        <v>1</v>
      </c>
      <c r="D1187" s="32">
        <v>43065.571562500001</v>
      </c>
      <c r="E1187">
        <v>7</v>
      </c>
      <c r="F1187" t="s">
        <v>15</v>
      </c>
    </row>
    <row r="1188" spans="1:6">
      <c r="A1188">
        <v>29355</v>
      </c>
      <c r="B1188">
        <v>2</v>
      </c>
      <c r="C1188">
        <v>1</v>
      </c>
      <c r="D1188" s="32">
        <v>43066.629930555559</v>
      </c>
      <c r="E1188">
        <v>6</v>
      </c>
      <c r="F1188" t="s">
        <v>15</v>
      </c>
    </row>
    <row r="1189" spans="1:6">
      <c r="A1189">
        <v>894942</v>
      </c>
      <c r="B1189">
        <v>2</v>
      </c>
      <c r="C1189">
        <v>1</v>
      </c>
      <c r="D1189" s="32">
        <v>43065.350023148145</v>
      </c>
      <c r="E1189">
        <v>7</v>
      </c>
      <c r="F1189" t="s">
        <v>15</v>
      </c>
    </row>
    <row r="1190" spans="1:6">
      <c r="A1190">
        <v>885967</v>
      </c>
      <c r="B1190">
        <v>2</v>
      </c>
      <c r="C1190">
        <v>1</v>
      </c>
      <c r="D1190" s="32">
        <v>43064.499618055554</v>
      </c>
      <c r="E1190">
        <v>8</v>
      </c>
      <c r="F1190" t="s">
        <v>15</v>
      </c>
    </row>
    <row r="1191" spans="1:6">
      <c r="A1191">
        <v>700897</v>
      </c>
      <c r="B1191">
        <v>2</v>
      </c>
      <c r="C1191">
        <v>1</v>
      </c>
      <c r="D1191" s="32">
        <v>43064.291724537034</v>
      </c>
      <c r="E1191">
        <v>8</v>
      </c>
      <c r="F1191" t="s">
        <v>15</v>
      </c>
    </row>
    <row r="1192" spans="1:6">
      <c r="A1192">
        <v>839769</v>
      </c>
      <c r="B1192">
        <v>2</v>
      </c>
      <c r="C1192">
        <v>1</v>
      </c>
      <c r="D1192" s="32">
        <v>43064.551238425927</v>
      </c>
      <c r="E1192">
        <v>8</v>
      </c>
      <c r="F1192" t="s">
        <v>15</v>
      </c>
    </row>
    <row r="1193" spans="1:6">
      <c r="A1193">
        <v>883228</v>
      </c>
      <c r="B1193">
        <v>2</v>
      </c>
      <c r="C1193">
        <v>1</v>
      </c>
      <c r="D1193" s="32">
        <v>43068.284016203703</v>
      </c>
      <c r="E1193">
        <v>4</v>
      </c>
      <c r="F1193" t="s">
        <v>15</v>
      </c>
    </row>
    <row r="1194" spans="1:6">
      <c r="A1194">
        <v>637971</v>
      </c>
      <c r="B1194">
        <v>2</v>
      </c>
      <c r="C1194">
        <v>2</v>
      </c>
      <c r="D1194" s="32">
        <v>43067.726087962961</v>
      </c>
      <c r="E1194">
        <v>5</v>
      </c>
      <c r="F1194" t="s">
        <v>15</v>
      </c>
    </row>
    <row r="1195" spans="1:6">
      <c r="A1195">
        <v>510991</v>
      </c>
      <c r="B1195">
        <v>2</v>
      </c>
      <c r="C1195">
        <v>1</v>
      </c>
      <c r="D1195" s="32">
        <v>43065.622037037036</v>
      </c>
      <c r="E1195">
        <v>7</v>
      </c>
      <c r="F1195" t="s">
        <v>15</v>
      </c>
    </row>
    <row r="1196" spans="1:6">
      <c r="A1196">
        <v>324366</v>
      </c>
      <c r="B1196">
        <v>2</v>
      </c>
      <c r="C1196">
        <v>1</v>
      </c>
      <c r="D1196" s="32">
        <v>43069.585451388892</v>
      </c>
      <c r="E1196">
        <v>3</v>
      </c>
      <c r="F1196" t="s">
        <v>15</v>
      </c>
    </row>
    <row r="1197" spans="1:6">
      <c r="A1197">
        <v>772655</v>
      </c>
      <c r="B1197">
        <v>2</v>
      </c>
      <c r="C1197">
        <v>2</v>
      </c>
      <c r="D1197" s="32">
        <v>43069.233067129629</v>
      </c>
      <c r="E1197">
        <v>3</v>
      </c>
      <c r="F1197" t="s">
        <v>15</v>
      </c>
    </row>
    <row r="1198" spans="1:6">
      <c r="A1198">
        <v>512500</v>
      </c>
      <c r="B1198">
        <v>2</v>
      </c>
      <c r="C1198">
        <v>1</v>
      </c>
      <c r="D1198" s="32">
        <v>43066.124837962961</v>
      </c>
      <c r="E1198">
        <v>6</v>
      </c>
      <c r="F1198" t="s">
        <v>15</v>
      </c>
    </row>
    <row r="1199" spans="1:6">
      <c r="A1199">
        <v>154528</v>
      </c>
      <c r="B1199">
        <v>2</v>
      </c>
      <c r="C1199">
        <v>1</v>
      </c>
      <c r="D1199" s="32">
        <v>43067.109363425923</v>
      </c>
      <c r="E1199">
        <v>5</v>
      </c>
      <c r="F1199" t="s">
        <v>15</v>
      </c>
    </row>
    <row r="1200" spans="1:6">
      <c r="A1200">
        <v>870114</v>
      </c>
      <c r="B1200">
        <v>2</v>
      </c>
      <c r="C1200">
        <v>1</v>
      </c>
      <c r="D1200" s="32">
        <v>43064.62804398148</v>
      </c>
      <c r="E1200">
        <v>8</v>
      </c>
      <c r="F1200" t="s">
        <v>15</v>
      </c>
    </row>
    <row r="1201" spans="1:6">
      <c r="A1201">
        <v>922066</v>
      </c>
      <c r="B1201">
        <v>2</v>
      </c>
      <c r="C1201">
        <v>1</v>
      </c>
      <c r="D1201" s="32">
        <v>43067.22</v>
      </c>
      <c r="E1201">
        <v>5</v>
      </c>
      <c r="F1201" t="s">
        <v>15</v>
      </c>
    </row>
    <row r="1202" spans="1:6">
      <c r="A1202">
        <v>768986</v>
      </c>
      <c r="B1202">
        <v>2</v>
      </c>
      <c r="C1202">
        <v>1</v>
      </c>
      <c r="D1202" s="32">
        <v>43068.142210648148</v>
      </c>
      <c r="E1202">
        <v>4</v>
      </c>
      <c r="F1202" t="s">
        <v>15</v>
      </c>
    </row>
    <row r="1203" spans="1:6">
      <c r="A1203">
        <v>498302</v>
      </c>
      <c r="B1203">
        <v>2</v>
      </c>
      <c r="C1203">
        <v>1</v>
      </c>
      <c r="D1203" s="32">
        <v>43066.359456018516</v>
      </c>
      <c r="E1203">
        <v>6</v>
      </c>
      <c r="F1203" t="s">
        <v>15</v>
      </c>
    </row>
    <row r="1204" spans="1:6">
      <c r="A1204">
        <v>35257</v>
      </c>
      <c r="B1204">
        <v>2</v>
      </c>
      <c r="C1204">
        <v>1</v>
      </c>
      <c r="D1204" s="32">
        <v>43069.482268518521</v>
      </c>
      <c r="E1204">
        <v>3</v>
      </c>
      <c r="F1204" t="s">
        <v>15</v>
      </c>
    </row>
    <row r="1205" spans="1:6">
      <c r="A1205">
        <v>542841</v>
      </c>
      <c r="B1205">
        <v>2</v>
      </c>
      <c r="C1205">
        <v>1</v>
      </c>
      <c r="D1205" s="32">
        <v>43064.238344907404</v>
      </c>
      <c r="E1205">
        <v>8</v>
      </c>
      <c r="F1205" t="s">
        <v>15</v>
      </c>
    </row>
    <row r="1206" spans="1:6">
      <c r="A1206">
        <v>370242</v>
      </c>
      <c r="B1206">
        <v>2</v>
      </c>
      <c r="C1206">
        <v>1</v>
      </c>
      <c r="D1206" s="32">
        <v>43069.442118055558</v>
      </c>
      <c r="E1206">
        <v>3</v>
      </c>
      <c r="F1206" t="s">
        <v>15</v>
      </c>
    </row>
    <row r="1207" spans="1:6">
      <c r="A1207">
        <v>353470</v>
      </c>
      <c r="B1207">
        <v>2</v>
      </c>
      <c r="C1207">
        <v>1</v>
      </c>
      <c r="D1207" s="32">
        <v>43067.496296296296</v>
      </c>
      <c r="E1207">
        <v>5</v>
      </c>
      <c r="F1207" t="s">
        <v>15</v>
      </c>
    </row>
    <row r="1208" spans="1:6">
      <c r="A1208">
        <v>949159</v>
      </c>
      <c r="B1208">
        <v>2</v>
      </c>
      <c r="C1208">
        <v>1</v>
      </c>
      <c r="D1208" s="32">
        <v>43067.26494212963</v>
      </c>
      <c r="E1208">
        <v>5</v>
      </c>
      <c r="F1208" t="s">
        <v>15</v>
      </c>
    </row>
    <row r="1209" spans="1:6">
      <c r="A1209">
        <v>487397</v>
      </c>
      <c r="B1209">
        <v>2</v>
      </c>
      <c r="C1209">
        <v>1</v>
      </c>
      <c r="D1209" s="32">
        <v>43065.213622685187</v>
      </c>
      <c r="E1209">
        <v>7</v>
      </c>
      <c r="F1209" t="s">
        <v>15</v>
      </c>
    </row>
    <row r="1210" spans="1:6">
      <c r="A1210">
        <v>264132</v>
      </c>
      <c r="B1210">
        <v>2</v>
      </c>
      <c r="C1210">
        <v>1</v>
      </c>
      <c r="D1210" s="32">
        <v>43066.591770833336</v>
      </c>
      <c r="E1210">
        <v>6</v>
      </c>
      <c r="F1210" t="s">
        <v>15</v>
      </c>
    </row>
    <row r="1211" spans="1:6">
      <c r="A1211">
        <v>743261</v>
      </c>
      <c r="B1211">
        <v>2</v>
      </c>
      <c r="C1211">
        <v>1</v>
      </c>
      <c r="D1211" s="32">
        <v>43065.670428240737</v>
      </c>
      <c r="E1211">
        <v>7</v>
      </c>
      <c r="F1211" t="s">
        <v>15</v>
      </c>
    </row>
    <row r="1212" spans="1:6">
      <c r="A1212">
        <v>600665</v>
      </c>
      <c r="B1212">
        <v>2</v>
      </c>
      <c r="C1212">
        <v>1</v>
      </c>
      <c r="D1212" s="32">
        <v>43066.65152777778</v>
      </c>
      <c r="E1212">
        <v>6</v>
      </c>
      <c r="F1212" t="s">
        <v>15</v>
      </c>
    </row>
    <row r="1213" spans="1:6">
      <c r="A1213">
        <v>613450</v>
      </c>
      <c r="B1213">
        <v>2</v>
      </c>
      <c r="C1213">
        <v>1</v>
      </c>
      <c r="D1213" s="32">
        <v>43067.569178240738</v>
      </c>
      <c r="E1213">
        <v>5</v>
      </c>
      <c r="F1213" t="s">
        <v>15</v>
      </c>
    </row>
    <row r="1214" spans="1:6">
      <c r="A1214">
        <v>290316</v>
      </c>
      <c r="B1214">
        <v>2</v>
      </c>
      <c r="C1214">
        <v>1</v>
      </c>
      <c r="D1214" s="32">
        <v>43066.004618055558</v>
      </c>
      <c r="E1214">
        <v>6</v>
      </c>
      <c r="F1214" t="s">
        <v>15</v>
      </c>
    </row>
    <row r="1215" spans="1:6">
      <c r="A1215">
        <v>770023</v>
      </c>
      <c r="B1215">
        <v>2</v>
      </c>
      <c r="C1215">
        <v>1</v>
      </c>
      <c r="D1215" s="32">
        <v>43068.575833333336</v>
      </c>
      <c r="E1215">
        <v>4</v>
      </c>
      <c r="F1215" t="s">
        <v>15</v>
      </c>
    </row>
    <row r="1216" spans="1:6">
      <c r="A1216">
        <v>207299</v>
      </c>
      <c r="B1216">
        <v>2</v>
      </c>
      <c r="C1216">
        <v>1</v>
      </c>
      <c r="D1216" s="32">
        <v>43064.584224537037</v>
      </c>
      <c r="E1216">
        <v>8</v>
      </c>
      <c r="F1216" t="s">
        <v>15</v>
      </c>
    </row>
    <row r="1217" spans="1:6">
      <c r="A1217">
        <v>850109</v>
      </c>
      <c r="B1217">
        <v>2</v>
      </c>
      <c r="C1217">
        <v>1</v>
      </c>
      <c r="D1217" s="32">
        <v>43068.532893518517</v>
      </c>
      <c r="E1217">
        <v>4</v>
      </c>
      <c r="F1217" t="s">
        <v>15</v>
      </c>
    </row>
    <row r="1218" spans="1:6">
      <c r="A1218">
        <v>803995</v>
      </c>
      <c r="B1218">
        <v>2</v>
      </c>
      <c r="C1218">
        <v>1</v>
      </c>
      <c r="D1218" s="32">
        <v>43065.610254629632</v>
      </c>
      <c r="E1218">
        <v>7</v>
      </c>
      <c r="F1218" t="s">
        <v>15</v>
      </c>
    </row>
    <row r="1219" spans="1:6">
      <c r="A1219">
        <v>968738</v>
      </c>
      <c r="B1219">
        <v>2</v>
      </c>
      <c r="C1219">
        <v>1</v>
      </c>
      <c r="D1219" s="32">
        <v>43067.577499999999</v>
      </c>
      <c r="E1219">
        <v>5</v>
      </c>
      <c r="F1219" t="s">
        <v>15</v>
      </c>
    </row>
    <row r="1220" spans="1:6">
      <c r="A1220">
        <v>572291</v>
      </c>
      <c r="B1220">
        <v>2</v>
      </c>
      <c r="C1220">
        <v>2</v>
      </c>
      <c r="D1220" s="32">
        <v>43065.174953703703</v>
      </c>
      <c r="E1220">
        <v>7</v>
      </c>
      <c r="F1220" t="s">
        <v>15</v>
      </c>
    </row>
    <row r="1221" spans="1:6">
      <c r="A1221">
        <v>517642</v>
      </c>
      <c r="B1221">
        <v>2</v>
      </c>
      <c r="C1221">
        <v>1</v>
      </c>
      <c r="D1221" s="32">
        <v>43067.441203703704</v>
      </c>
      <c r="E1221">
        <v>5</v>
      </c>
      <c r="F1221" t="s">
        <v>15</v>
      </c>
    </row>
    <row r="1222" spans="1:6">
      <c r="A1222">
        <v>452369</v>
      </c>
      <c r="B1222">
        <v>2</v>
      </c>
      <c r="C1222">
        <v>2</v>
      </c>
      <c r="D1222" s="32">
        <v>43068.412303240744</v>
      </c>
      <c r="E1222">
        <v>4</v>
      </c>
      <c r="F1222" t="s">
        <v>15</v>
      </c>
    </row>
    <row r="1223" spans="1:6">
      <c r="A1223">
        <v>399592</v>
      </c>
      <c r="B1223">
        <v>2</v>
      </c>
      <c r="C1223">
        <v>1</v>
      </c>
      <c r="D1223" s="32">
        <v>43065.587210648147</v>
      </c>
      <c r="E1223">
        <v>7</v>
      </c>
      <c r="F1223" t="s">
        <v>15</v>
      </c>
    </row>
    <row r="1224" spans="1:6">
      <c r="A1224">
        <v>751014</v>
      </c>
      <c r="B1224">
        <v>2</v>
      </c>
      <c r="C1224">
        <v>1</v>
      </c>
      <c r="D1224" s="32">
        <v>43068.722222222219</v>
      </c>
      <c r="E1224">
        <v>4</v>
      </c>
      <c r="F1224" t="s">
        <v>15</v>
      </c>
    </row>
    <row r="1225" spans="1:6">
      <c r="A1225">
        <v>514954</v>
      </c>
      <c r="B1225">
        <v>2</v>
      </c>
      <c r="C1225">
        <v>1</v>
      </c>
      <c r="D1225" s="32">
        <v>43069.222673611112</v>
      </c>
      <c r="E1225">
        <v>3</v>
      </c>
      <c r="F1225" t="s">
        <v>15</v>
      </c>
    </row>
    <row r="1226" spans="1:6">
      <c r="A1226">
        <v>26467</v>
      </c>
      <c r="B1226">
        <v>2</v>
      </c>
      <c r="C1226">
        <v>2</v>
      </c>
      <c r="D1226" s="32">
        <v>43067.485300925924</v>
      </c>
      <c r="E1226">
        <v>5</v>
      </c>
      <c r="F1226" t="s">
        <v>15</v>
      </c>
    </row>
    <row r="1227" spans="1:6">
      <c r="A1227">
        <v>217829</v>
      </c>
      <c r="B1227">
        <v>2</v>
      </c>
      <c r="C1227">
        <v>1</v>
      </c>
      <c r="D1227" s="32">
        <v>43065.657592592594</v>
      </c>
      <c r="E1227">
        <v>7</v>
      </c>
      <c r="F1227" t="s">
        <v>15</v>
      </c>
    </row>
    <row r="1228" spans="1:6">
      <c r="A1228">
        <v>362270</v>
      </c>
      <c r="B1228">
        <v>2</v>
      </c>
      <c r="C1228">
        <v>1</v>
      </c>
      <c r="D1228" s="32">
        <v>43069.098645833335</v>
      </c>
      <c r="E1228">
        <v>3</v>
      </c>
      <c r="F1228" t="s">
        <v>15</v>
      </c>
    </row>
    <row r="1229" spans="1:6">
      <c r="A1229">
        <v>311413</v>
      </c>
      <c r="B1229">
        <v>2</v>
      </c>
      <c r="C1229">
        <v>1</v>
      </c>
      <c r="D1229" s="32">
        <v>43064.412511574075</v>
      </c>
      <c r="E1229">
        <v>8</v>
      </c>
      <c r="F1229" t="s">
        <v>15</v>
      </c>
    </row>
    <row r="1230" spans="1:6">
      <c r="A1230">
        <v>595083</v>
      </c>
      <c r="B1230">
        <v>2</v>
      </c>
      <c r="C1230">
        <v>1</v>
      </c>
      <c r="D1230" s="32">
        <v>43067.54996527778</v>
      </c>
      <c r="E1230">
        <v>5</v>
      </c>
      <c r="F1230" t="s">
        <v>15</v>
      </c>
    </row>
    <row r="1231" spans="1:6">
      <c r="A1231">
        <v>1008045</v>
      </c>
      <c r="B1231">
        <v>2</v>
      </c>
      <c r="C1231">
        <v>1</v>
      </c>
      <c r="D1231" s="32">
        <v>43068.454259259262</v>
      </c>
      <c r="E1231">
        <v>4</v>
      </c>
      <c r="F1231" t="s">
        <v>15</v>
      </c>
    </row>
    <row r="1232" spans="1:6">
      <c r="A1232">
        <v>115960</v>
      </c>
      <c r="B1232">
        <v>2</v>
      </c>
      <c r="C1232">
        <v>1</v>
      </c>
      <c r="D1232" s="32">
        <v>43065.4062037037</v>
      </c>
      <c r="E1232">
        <v>7</v>
      </c>
      <c r="F1232" t="s">
        <v>15</v>
      </c>
    </row>
    <row r="1233" spans="1:6">
      <c r="A1233">
        <v>499290</v>
      </c>
      <c r="B1233">
        <v>2</v>
      </c>
      <c r="C1233">
        <v>1</v>
      </c>
      <c r="D1233" s="32">
        <v>43068.469907407409</v>
      </c>
      <c r="E1233">
        <v>4</v>
      </c>
      <c r="F1233" t="s">
        <v>15</v>
      </c>
    </row>
    <row r="1234" spans="1:6">
      <c r="A1234">
        <v>509949</v>
      </c>
      <c r="B1234">
        <v>2</v>
      </c>
      <c r="C1234">
        <v>1</v>
      </c>
      <c r="D1234" s="32">
        <v>43069.262789351851</v>
      </c>
      <c r="E1234">
        <v>3</v>
      </c>
      <c r="F1234" t="s">
        <v>15</v>
      </c>
    </row>
    <row r="1235" spans="1:6">
      <c r="A1235">
        <v>217155</v>
      </c>
      <c r="B1235">
        <v>2</v>
      </c>
      <c r="C1235">
        <v>1</v>
      </c>
      <c r="D1235" s="32">
        <v>43064.394907407404</v>
      </c>
      <c r="E1235">
        <v>8</v>
      </c>
      <c r="F1235" t="s">
        <v>15</v>
      </c>
    </row>
    <row r="1236" spans="1:6">
      <c r="A1236">
        <v>84470</v>
      </c>
      <c r="B1236">
        <v>2</v>
      </c>
      <c r="C1236">
        <v>1</v>
      </c>
      <c r="D1236" s="32">
        <v>43069.3203125</v>
      </c>
      <c r="E1236">
        <v>3</v>
      </c>
      <c r="F1236" t="s">
        <v>15</v>
      </c>
    </row>
    <row r="1237" spans="1:6">
      <c r="A1237">
        <v>507314</v>
      </c>
      <c r="B1237">
        <v>2</v>
      </c>
      <c r="C1237">
        <v>1</v>
      </c>
      <c r="D1237" s="32">
        <v>43069.056087962963</v>
      </c>
      <c r="E1237">
        <v>3</v>
      </c>
      <c r="F1237" t="s">
        <v>15</v>
      </c>
    </row>
    <row r="1238" spans="1:6">
      <c r="A1238">
        <v>93762</v>
      </c>
      <c r="B1238">
        <v>2</v>
      </c>
      <c r="C1238">
        <v>1</v>
      </c>
      <c r="D1238" s="32">
        <v>43067.465520833335</v>
      </c>
      <c r="E1238">
        <v>5</v>
      </c>
      <c r="F1238" t="s">
        <v>15</v>
      </c>
    </row>
    <row r="1239" spans="1:6">
      <c r="A1239">
        <v>203571</v>
      </c>
      <c r="B1239">
        <v>2</v>
      </c>
      <c r="C1239">
        <v>2</v>
      </c>
      <c r="D1239" s="32">
        <v>43066.403599537036</v>
      </c>
      <c r="E1239">
        <v>6</v>
      </c>
      <c r="F1239" t="s">
        <v>15</v>
      </c>
    </row>
    <row r="1240" spans="1:6">
      <c r="A1240">
        <v>630954</v>
      </c>
      <c r="B1240">
        <v>2</v>
      </c>
      <c r="C1240">
        <v>1</v>
      </c>
      <c r="D1240" s="32">
        <v>43065.528333333335</v>
      </c>
      <c r="E1240">
        <v>7</v>
      </c>
      <c r="F1240" t="s">
        <v>15</v>
      </c>
    </row>
    <row r="1241" spans="1:6">
      <c r="A1241">
        <v>377962</v>
      </c>
      <c r="B1241">
        <v>2</v>
      </c>
      <c r="C1241">
        <v>1</v>
      </c>
      <c r="D1241" s="32">
        <v>43068.840729166666</v>
      </c>
      <c r="E1241">
        <v>4</v>
      </c>
      <c r="F1241" t="s">
        <v>15</v>
      </c>
    </row>
    <row r="1242" spans="1:6">
      <c r="A1242">
        <v>803355</v>
      </c>
      <c r="B1242">
        <v>2</v>
      </c>
      <c r="C1242">
        <v>1</v>
      </c>
      <c r="D1242" s="32">
        <v>43069.565011574072</v>
      </c>
      <c r="E1242">
        <v>3</v>
      </c>
      <c r="F1242" t="s">
        <v>15</v>
      </c>
    </row>
    <row r="1243" spans="1:6">
      <c r="A1243">
        <v>377503</v>
      </c>
      <c r="B1243">
        <v>2</v>
      </c>
      <c r="C1243">
        <v>1</v>
      </c>
      <c r="D1243" s="32">
        <v>43067.110127314816</v>
      </c>
      <c r="E1243">
        <v>5</v>
      </c>
      <c r="F1243" t="s">
        <v>15</v>
      </c>
    </row>
    <row r="1244" spans="1:6">
      <c r="A1244">
        <v>503149</v>
      </c>
      <c r="B1244">
        <v>2</v>
      </c>
      <c r="C1244">
        <v>1</v>
      </c>
      <c r="D1244" s="32">
        <v>43064.687696759262</v>
      </c>
      <c r="E1244">
        <v>8</v>
      </c>
      <c r="F1244" t="s">
        <v>15</v>
      </c>
    </row>
    <row r="1245" spans="1:6">
      <c r="A1245">
        <v>428536</v>
      </c>
      <c r="B1245">
        <v>2</v>
      </c>
      <c r="C1245">
        <v>1</v>
      </c>
      <c r="D1245" s="32">
        <v>43069.744328703702</v>
      </c>
      <c r="E1245">
        <v>3</v>
      </c>
      <c r="F1245" t="s">
        <v>15</v>
      </c>
    </row>
    <row r="1246" spans="1:6">
      <c r="A1246">
        <v>926487</v>
      </c>
      <c r="B1246">
        <v>2</v>
      </c>
      <c r="C1246">
        <v>1</v>
      </c>
      <c r="D1246" s="32">
        <v>43064.375</v>
      </c>
      <c r="E1246">
        <v>8</v>
      </c>
      <c r="F1246" t="s">
        <v>15</v>
      </c>
    </row>
    <row r="1247" spans="1:6">
      <c r="A1247">
        <v>946633</v>
      </c>
      <c r="B1247">
        <v>2</v>
      </c>
      <c r="C1247">
        <v>1</v>
      </c>
      <c r="D1247" s="32">
        <v>43066.256793981483</v>
      </c>
      <c r="E1247">
        <v>6</v>
      </c>
      <c r="F1247" t="s">
        <v>15</v>
      </c>
    </row>
    <row r="1248" spans="1:6">
      <c r="A1248">
        <v>864004</v>
      </c>
      <c r="B1248">
        <v>2</v>
      </c>
      <c r="C1248">
        <v>1</v>
      </c>
      <c r="D1248" s="32">
        <v>43068.205787037034</v>
      </c>
      <c r="E1248">
        <v>4</v>
      </c>
      <c r="F1248" t="s">
        <v>15</v>
      </c>
    </row>
    <row r="1249" spans="1:6">
      <c r="A1249">
        <v>931018</v>
      </c>
      <c r="B1249">
        <v>2</v>
      </c>
      <c r="C1249">
        <v>2</v>
      </c>
      <c r="D1249" s="32">
        <v>43066.473379629628</v>
      </c>
      <c r="E1249">
        <v>6</v>
      </c>
      <c r="F1249" t="s">
        <v>15</v>
      </c>
    </row>
    <row r="1250" spans="1:6">
      <c r="A1250">
        <v>58194</v>
      </c>
      <c r="B1250">
        <v>2</v>
      </c>
      <c r="C1250">
        <v>1</v>
      </c>
      <c r="D1250" s="32">
        <v>43065.280671296299</v>
      </c>
      <c r="E1250">
        <v>7</v>
      </c>
      <c r="F1250" t="s">
        <v>15</v>
      </c>
    </row>
    <row r="1251" spans="1:6">
      <c r="A1251">
        <v>800993</v>
      </c>
      <c r="B1251">
        <v>2</v>
      </c>
      <c r="C1251">
        <v>1</v>
      </c>
      <c r="D1251" s="32">
        <v>43069.260729166665</v>
      </c>
      <c r="E1251">
        <v>3</v>
      </c>
      <c r="F1251" t="s">
        <v>15</v>
      </c>
    </row>
    <row r="1252" spans="1:6">
      <c r="A1252">
        <v>899487</v>
      </c>
      <c r="B1252">
        <v>2</v>
      </c>
      <c r="C1252">
        <v>1</v>
      </c>
      <c r="D1252" s="32">
        <v>43068.129108796296</v>
      </c>
      <c r="E1252">
        <v>4</v>
      </c>
      <c r="F1252" t="s">
        <v>15</v>
      </c>
    </row>
    <row r="1253" spans="1:6">
      <c r="A1253">
        <v>874441</v>
      </c>
      <c r="B1253">
        <v>2</v>
      </c>
      <c r="C1253">
        <v>1</v>
      </c>
      <c r="D1253" s="32">
        <v>43067.396724537037</v>
      </c>
      <c r="E1253">
        <v>5</v>
      </c>
      <c r="F1253" t="s">
        <v>15</v>
      </c>
    </row>
    <row r="1254" spans="1:6">
      <c r="A1254">
        <v>978726</v>
      </c>
      <c r="B1254">
        <v>2</v>
      </c>
      <c r="C1254">
        <v>1</v>
      </c>
      <c r="D1254" s="32">
        <v>43068.124212962961</v>
      </c>
      <c r="E1254">
        <v>4</v>
      </c>
      <c r="F1254" t="s">
        <v>15</v>
      </c>
    </row>
    <row r="1255" spans="1:6">
      <c r="A1255">
        <v>864239</v>
      </c>
      <c r="B1255">
        <v>2</v>
      </c>
      <c r="C1255">
        <v>1</v>
      </c>
      <c r="D1255" s="32">
        <v>43069.573773148149</v>
      </c>
      <c r="E1255">
        <v>3</v>
      </c>
      <c r="F1255" t="s">
        <v>15</v>
      </c>
    </row>
    <row r="1256" spans="1:6">
      <c r="A1256">
        <v>755418</v>
      </c>
      <c r="B1256">
        <v>2</v>
      </c>
      <c r="C1256">
        <v>2</v>
      </c>
      <c r="D1256" s="32">
        <v>43068.464305555557</v>
      </c>
      <c r="E1256">
        <v>4</v>
      </c>
      <c r="F1256" t="s">
        <v>15</v>
      </c>
    </row>
    <row r="1257" spans="1:6">
      <c r="A1257">
        <v>967971</v>
      </c>
      <c r="B1257">
        <v>2</v>
      </c>
      <c r="C1257">
        <v>1</v>
      </c>
      <c r="D1257" s="32">
        <v>43069.511828703704</v>
      </c>
      <c r="E1257">
        <v>3</v>
      </c>
      <c r="F1257" t="s">
        <v>15</v>
      </c>
    </row>
    <row r="1258" spans="1:6">
      <c r="A1258">
        <v>738067</v>
      </c>
      <c r="B1258">
        <v>2</v>
      </c>
      <c r="C1258">
        <v>1</v>
      </c>
      <c r="D1258" s="32">
        <v>43067.596122685187</v>
      </c>
      <c r="E1258">
        <v>5</v>
      </c>
      <c r="F1258" t="s">
        <v>15</v>
      </c>
    </row>
    <row r="1259" spans="1:6">
      <c r="A1259">
        <v>308643</v>
      </c>
      <c r="B1259">
        <v>2</v>
      </c>
      <c r="C1259">
        <v>1</v>
      </c>
      <c r="D1259" s="32">
        <v>43064.697337962964</v>
      </c>
      <c r="E1259">
        <v>8</v>
      </c>
      <c r="F1259" t="s">
        <v>15</v>
      </c>
    </row>
    <row r="1260" spans="1:6">
      <c r="A1260">
        <v>186619</v>
      </c>
      <c r="B1260">
        <v>2</v>
      </c>
      <c r="C1260">
        <v>1</v>
      </c>
      <c r="D1260" s="32">
        <v>43068.326331018521</v>
      </c>
      <c r="E1260">
        <v>4</v>
      </c>
      <c r="F1260" t="s">
        <v>15</v>
      </c>
    </row>
    <row r="1261" spans="1:6">
      <c r="A1261">
        <v>879287</v>
      </c>
      <c r="B1261">
        <v>2</v>
      </c>
      <c r="C1261">
        <v>1</v>
      </c>
      <c r="D1261" s="32">
        <v>43068.469386574077</v>
      </c>
      <c r="E1261">
        <v>4</v>
      </c>
      <c r="F1261" t="s">
        <v>15</v>
      </c>
    </row>
    <row r="1262" spans="1:6">
      <c r="A1262">
        <v>942932</v>
      </c>
      <c r="B1262">
        <v>2</v>
      </c>
      <c r="C1262">
        <v>1</v>
      </c>
      <c r="D1262" s="32">
        <v>43064.455347222225</v>
      </c>
      <c r="E1262">
        <v>8</v>
      </c>
      <c r="F1262" t="s">
        <v>15</v>
      </c>
    </row>
    <row r="1263" spans="1:6">
      <c r="A1263">
        <v>705456</v>
      </c>
      <c r="B1263">
        <v>2</v>
      </c>
      <c r="C1263">
        <v>1</v>
      </c>
      <c r="D1263" s="32">
        <v>43066.596493055556</v>
      </c>
      <c r="E1263">
        <v>6</v>
      </c>
      <c r="F1263" t="s">
        <v>15</v>
      </c>
    </row>
    <row r="1264" spans="1:6">
      <c r="A1264">
        <v>670802</v>
      </c>
      <c r="B1264">
        <v>2</v>
      </c>
      <c r="C1264">
        <v>2</v>
      </c>
      <c r="D1264" s="32">
        <v>43067.061423611114</v>
      </c>
      <c r="E1264">
        <v>5</v>
      </c>
      <c r="F1264" t="s">
        <v>15</v>
      </c>
    </row>
    <row r="1265" spans="1:6">
      <c r="A1265">
        <v>80023</v>
      </c>
      <c r="B1265">
        <v>2</v>
      </c>
      <c r="C1265">
        <v>1</v>
      </c>
      <c r="D1265" s="32">
        <v>43065.352222222224</v>
      </c>
      <c r="E1265">
        <v>7</v>
      </c>
      <c r="F1265" t="s">
        <v>15</v>
      </c>
    </row>
    <row r="1266" spans="1:6">
      <c r="A1266">
        <v>812157</v>
      </c>
      <c r="B1266">
        <v>2</v>
      </c>
      <c r="C1266">
        <v>1</v>
      </c>
      <c r="D1266" s="32">
        <v>43065.625949074078</v>
      </c>
      <c r="E1266">
        <v>7</v>
      </c>
      <c r="F1266" t="s">
        <v>15</v>
      </c>
    </row>
    <row r="1267" spans="1:6">
      <c r="A1267">
        <v>611005</v>
      </c>
      <c r="B1267">
        <v>2</v>
      </c>
      <c r="C1267">
        <v>1</v>
      </c>
      <c r="D1267" s="32">
        <v>43067.199756944443</v>
      </c>
      <c r="E1267">
        <v>5</v>
      </c>
      <c r="F1267" t="s">
        <v>15</v>
      </c>
    </row>
    <row r="1268" spans="1:6">
      <c r="A1268">
        <v>273058</v>
      </c>
      <c r="B1268">
        <v>2</v>
      </c>
      <c r="C1268">
        <v>1</v>
      </c>
      <c r="D1268" s="32">
        <v>43064.176886574074</v>
      </c>
      <c r="E1268">
        <v>8</v>
      </c>
      <c r="F1268" t="s">
        <v>15</v>
      </c>
    </row>
    <row r="1269" spans="1:6">
      <c r="A1269">
        <v>757996</v>
      </c>
      <c r="B1269">
        <v>2</v>
      </c>
      <c r="C1269">
        <v>1</v>
      </c>
      <c r="D1269" s="32">
        <v>43065.59615740741</v>
      </c>
      <c r="E1269">
        <v>7</v>
      </c>
      <c r="F1269" t="s">
        <v>15</v>
      </c>
    </row>
    <row r="1270" spans="1:6">
      <c r="A1270">
        <v>462163</v>
      </c>
      <c r="B1270">
        <v>2</v>
      </c>
      <c r="C1270">
        <v>1</v>
      </c>
      <c r="D1270" s="32">
        <v>43069.428414351853</v>
      </c>
      <c r="E1270">
        <v>3</v>
      </c>
      <c r="F1270" t="s">
        <v>15</v>
      </c>
    </row>
    <row r="1271" spans="1:6">
      <c r="A1271">
        <v>884922</v>
      </c>
      <c r="B1271">
        <v>2</v>
      </c>
      <c r="C1271">
        <v>1</v>
      </c>
      <c r="D1271" s="32">
        <v>43068.346678240741</v>
      </c>
      <c r="E1271">
        <v>4</v>
      </c>
      <c r="F1271" t="s">
        <v>15</v>
      </c>
    </row>
    <row r="1272" spans="1:6">
      <c r="A1272">
        <v>837996</v>
      </c>
      <c r="B1272">
        <v>2</v>
      </c>
      <c r="C1272">
        <v>1</v>
      </c>
      <c r="D1272" s="32">
        <v>43065.18954861111</v>
      </c>
      <c r="E1272">
        <v>7</v>
      </c>
      <c r="F1272" t="s">
        <v>15</v>
      </c>
    </row>
    <row r="1273" spans="1:6">
      <c r="A1273">
        <v>442088</v>
      </c>
      <c r="B1273">
        <v>2</v>
      </c>
      <c r="C1273">
        <v>2</v>
      </c>
      <c r="D1273" s="32">
        <v>43064.905231481483</v>
      </c>
      <c r="E1273">
        <v>8</v>
      </c>
      <c r="F1273" t="s">
        <v>15</v>
      </c>
    </row>
    <row r="1274" spans="1:6">
      <c r="A1274">
        <v>788248</v>
      </c>
      <c r="B1274">
        <v>2</v>
      </c>
      <c r="C1274">
        <v>1</v>
      </c>
      <c r="D1274" s="32">
        <v>43068.369016203702</v>
      </c>
      <c r="E1274">
        <v>4</v>
      </c>
      <c r="F1274" t="s">
        <v>15</v>
      </c>
    </row>
    <row r="1275" spans="1:6">
      <c r="A1275">
        <v>312058</v>
      </c>
      <c r="B1275">
        <v>2</v>
      </c>
      <c r="C1275">
        <v>1</v>
      </c>
      <c r="D1275" s="32">
        <v>43067.609097222223</v>
      </c>
      <c r="E1275">
        <v>5</v>
      </c>
      <c r="F1275" t="s">
        <v>15</v>
      </c>
    </row>
    <row r="1276" spans="1:6">
      <c r="A1276">
        <v>439296</v>
      </c>
      <c r="B1276">
        <v>2</v>
      </c>
      <c r="C1276">
        <v>1</v>
      </c>
      <c r="D1276" s="32">
        <v>43069.100405092591</v>
      </c>
      <c r="E1276">
        <v>3</v>
      </c>
      <c r="F1276" t="s">
        <v>15</v>
      </c>
    </row>
    <row r="1277" spans="1:6">
      <c r="A1277">
        <v>441153</v>
      </c>
      <c r="B1277">
        <v>2</v>
      </c>
      <c r="C1277">
        <v>1</v>
      </c>
      <c r="D1277" s="32">
        <v>43065.436284722222</v>
      </c>
      <c r="E1277">
        <v>7</v>
      </c>
      <c r="F1277" t="s">
        <v>15</v>
      </c>
    </row>
    <row r="1278" spans="1:6">
      <c r="A1278">
        <v>336261</v>
      </c>
      <c r="B1278">
        <v>2</v>
      </c>
      <c r="C1278">
        <v>1</v>
      </c>
      <c r="D1278" s="32">
        <v>43068.263761574075</v>
      </c>
      <c r="E1278">
        <v>4</v>
      </c>
      <c r="F1278" t="s">
        <v>15</v>
      </c>
    </row>
    <row r="1279" spans="1:6">
      <c r="A1279">
        <v>149226</v>
      </c>
      <c r="B1279">
        <v>2</v>
      </c>
      <c r="C1279">
        <v>1</v>
      </c>
      <c r="D1279" s="32">
        <v>43068.110011574077</v>
      </c>
      <c r="E1279">
        <v>4</v>
      </c>
      <c r="F1279" t="s">
        <v>15</v>
      </c>
    </row>
    <row r="1280" spans="1:6">
      <c r="A1280">
        <v>318870</v>
      </c>
      <c r="B1280">
        <v>2</v>
      </c>
      <c r="C1280">
        <v>1</v>
      </c>
      <c r="D1280" s="32">
        <v>43065.378877314812</v>
      </c>
      <c r="E1280">
        <v>7</v>
      </c>
      <c r="F1280" t="s">
        <v>15</v>
      </c>
    </row>
    <row r="1281" spans="1:6">
      <c r="A1281">
        <v>736228</v>
      </c>
      <c r="B1281">
        <v>2</v>
      </c>
      <c r="C1281">
        <v>1</v>
      </c>
      <c r="D1281" s="32">
        <v>43065.895451388889</v>
      </c>
      <c r="E1281">
        <v>7</v>
      </c>
      <c r="F1281" t="s">
        <v>15</v>
      </c>
    </row>
    <row r="1282" spans="1:6">
      <c r="A1282">
        <v>615183</v>
      </c>
      <c r="B1282">
        <v>2</v>
      </c>
      <c r="C1282">
        <v>1</v>
      </c>
      <c r="D1282" s="32">
        <v>43068.181805555556</v>
      </c>
      <c r="E1282">
        <v>4</v>
      </c>
      <c r="F1282" t="s">
        <v>15</v>
      </c>
    </row>
    <row r="1283" spans="1:6">
      <c r="A1283">
        <v>379494</v>
      </c>
      <c r="B1283">
        <v>2</v>
      </c>
      <c r="C1283">
        <v>1</v>
      </c>
      <c r="D1283" s="32">
        <v>43069.622499999998</v>
      </c>
      <c r="E1283">
        <v>3</v>
      </c>
      <c r="F1283" t="s">
        <v>15</v>
      </c>
    </row>
    <row r="1284" spans="1:6">
      <c r="A1284">
        <v>416903</v>
      </c>
      <c r="B1284">
        <v>2</v>
      </c>
      <c r="C1284">
        <v>2</v>
      </c>
      <c r="D1284" s="32">
        <v>43064.517881944441</v>
      </c>
      <c r="E1284">
        <v>8</v>
      </c>
      <c r="F1284" t="s">
        <v>15</v>
      </c>
    </row>
    <row r="1285" spans="1:6">
      <c r="A1285">
        <v>944501</v>
      </c>
      <c r="B1285">
        <v>2</v>
      </c>
      <c r="C1285">
        <v>1</v>
      </c>
      <c r="D1285" s="32">
        <v>43066.914143518516</v>
      </c>
      <c r="E1285">
        <v>6</v>
      </c>
      <c r="F1285" t="s">
        <v>15</v>
      </c>
    </row>
    <row r="1286" spans="1:6">
      <c r="A1286">
        <v>107775</v>
      </c>
      <c r="B1286">
        <v>2</v>
      </c>
      <c r="C1286">
        <v>1</v>
      </c>
      <c r="D1286" s="32">
        <v>43069.291087962964</v>
      </c>
      <c r="E1286">
        <v>3</v>
      </c>
      <c r="F1286" t="s">
        <v>15</v>
      </c>
    </row>
    <row r="1287" spans="1:6">
      <c r="A1287">
        <v>178216</v>
      </c>
      <c r="B1287">
        <v>2</v>
      </c>
      <c r="C1287">
        <v>1</v>
      </c>
      <c r="D1287" s="32">
        <v>43067.505555555559</v>
      </c>
      <c r="E1287">
        <v>5</v>
      </c>
      <c r="F1287" t="s">
        <v>15</v>
      </c>
    </row>
    <row r="1288" spans="1:6">
      <c r="A1288">
        <v>745274</v>
      </c>
      <c r="B1288">
        <v>2</v>
      </c>
      <c r="C1288">
        <v>1</v>
      </c>
      <c r="D1288" s="32">
        <v>43068.604317129626</v>
      </c>
      <c r="E1288">
        <v>4</v>
      </c>
      <c r="F1288" t="s">
        <v>15</v>
      </c>
    </row>
    <row r="1289" spans="1:6">
      <c r="A1289">
        <v>205032</v>
      </c>
      <c r="B1289">
        <v>2</v>
      </c>
      <c r="C1289">
        <v>1</v>
      </c>
      <c r="D1289" s="32">
        <v>43065.009872685187</v>
      </c>
      <c r="E1289">
        <v>7</v>
      </c>
      <c r="F1289" t="s">
        <v>15</v>
      </c>
    </row>
    <row r="1290" spans="1:6">
      <c r="A1290">
        <v>355129</v>
      </c>
      <c r="B1290">
        <v>2</v>
      </c>
      <c r="C1290">
        <v>1</v>
      </c>
      <c r="D1290" s="32">
        <v>43066.552569444444</v>
      </c>
      <c r="E1290">
        <v>6</v>
      </c>
      <c r="F1290" t="s">
        <v>15</v>
      </c>
    </row>
    <row r="1291" spans="1:6">
      <c r="A1291">
        <v>166143</v>
      </c>
      <c r="B1291">
        <v>2</v>
      </c>
      <c r="C1291">
        <v>1</v>
      </c>
      <c r="D1291" s="32">
        <v>43069.25271990741</v>
      </c>
      <c r="E1291">
        <v>3</v>
      </c>
      <c r="F1291" t="s">
        <v>15</v>
      </c>
    </row>
    <row r="1292" spans="1:6">
      <c r="A1292">
        <v>614417</v>
      </c>
      <c r="B1292">
        <v>2</v>
      </c>
      <c r="C1292">
        <v>1</v>
      </c>
      <c r="D1292" s="32">
        <v>43065.615127314813</v>
      </c>
      <c r="E1292">
        <v>7</v>
      </c>
      <c r="F1292" t="s">
        <v>15</v>
      </c>
    </row>
    <row r="1293" spans="1:6">
      <c r="A1293">
        <v>926772</v>
      </c>
      <c r="B1293">
        <v>2</v>
      </c>
      <c r="C1293">
        <v>1</v>
      </c>
      <c r="D1293" s="32">
        <v>43066.57576388889</v>
      </c>
      <c r="E1293">
        <v>6</v>
      </c>
      <c r="F1293" t="s">
        <v>15</v>
      </c>
    </row>
    <row r="1294" spans="1:6">
      <c r="A1294">
        <v>192713</v>
      </c>
      <c r="B1294">
        <v>2</v>
      </c>
      <c r="C1294">
        <v>1</v>
      </c>
      <c r="D1294" s="32">
        <v>43066.712754629632</v>
      </c>
      <c r="E1294">
        <v>6</v>
      </c>
      <c r="F1294" t="s">
        <v>15</v>
      </c>
    </row>
    <row r="1295" spans="1:6">
      <c r="A1295">
        <v>146064</v>
      </c>
      <c r="B1295">
        <v>2</v>
      </c>
      <c r="C1295">
        <v>1</v>
      </c>
      <c r="D1295" s="32">
        <v>43065.290231481478</v>
      </c>
      <c r="E1295">
        <v>7</v>
      </c>
      <c r="F1295" t="s">
        <v>15</v>
      </c>
    </row>
    <row r="1296" spans="1:6">
      <c r="A1296">
        <v>728274</v>
      </c>
      <c r="B1296">
        <v>2</v>
      </c>
      <c r="C1296">
        <v>1</v>
      </c>
      <c r="D1296" s="32">
        <v>43064.974629629629</v>
      </c>
      <c r="E1296">
        <v>8</v>
      </c>
      <c r="F1296" t="s">
        <v>15</v>
      </c>
    </row>
    <row r="1297" spans="1:6">
      <c r="A1297">
        <v>669786</v>
      </c>
      <c r="B1297">
        <v>2</v>
      </c>
      <c r="C1297">
        <v>2</v>
      </c>
      <c r="D1297" s="32">
        <v>43068.561956018515</v>
      </c>
      <c r="E1297">
        <v>4</v>
      </c>
      <c r="F1297" t="s">
        <v>15</v>
      </c>
    </row>
    <row r="1298" spans="1:6">
      <c r="A1298">
        <v>309099</v>
      </c>
      <c r="B1298">
        <v>2</v>
      </c>
      <c r="C1298">
        <v>1</v>
      </c>
      <c r="D1298" s="32">
        <v>43064.602314814816</v>
      </c>
      <c r="E1298">
        <v>8</v>
      </c>
      <c r="F1298" t="s">
        <v>15</v>
      </c>
    </row>
    <row r="1299" spans="1:6">
      <c r="A1299">
        <v>892577</v>
      </c>
      <c r="B1299">
        <v>2</v>
      </c>
      <c r="C1299">
        <v>1</v>
      </c>
      <c r="D1299" s="32">
        <v>43069.48636574074</v>
      </c>
      <c r="E1299">
        <v>3</v>
      </c>
      <c r="F1299" t="s">
        <v>15</v>
      </c>
    </row>
    <row r="1300" spans="1:6">
      <c r="A1300">
        <v>860385</v>
      </c>
      <c r="B1300">
        <v>2</v>
      </c>
      <c r="C1300">
        <v>1</v>
      </c>
      <c r="D1300" s="32">
        <v>43065.666759259257</v>
      </c>
      <c r="E1300">
        <v>7</v>
      </c>
      <c r="F1300" t="s">
        <v>15</v>
      </c>
    </row>
    <row r="1301" spans="1:6">
      <c r="A1301">
        <v>556692</v>
      </c>
      <c r="B1301">
        <v>2</v>
      </c>
      <c r="C1301">
        <v>1</v>
      </c>
      <c r="D1301" s="32">
        <v>43067.335300925923</v>
      </c>
      <c r="E1301">
        <v>5</v>
      </c>
      <c r="F1301" t="s">
        <v>15</v>
      </c>
    </row>
    <row r="1302" spans="1:6">
      <c r="A1302">
        <v>661163</v>
      </c>
      <c r="B1302">
        <v>2</v>
      </c>
      <c r="C1302">
        <v>1</v>
      </c>
      <c r="D1302" s="32">
        <v>43064.563333333332</v>
      </c>
      <c r="E1302">
        <v>8</v>
      </c>
      <c r="F1302" t="s">
        <v>15</v>
      </c>
    </row>
    <row r="1303" spans="1:6">
      <c r="A1303">
        <v>160152</v>
      </c>
      <c r="B1303">
        <v>2</v>
      </c>
      <c r="C1303">
        <v>1</v>
      </c>
      <c r="D1303" s="32">
        <v>43069.148425925923</v>
      </c>
      <c r="E1303">
        <v>3</v>
      </c>
      <c r="F1303" t="s">
        <v>15</v>
      </c>
    </row>
    <row r="1304" spans="1:6">
      <c r="A1304">
        <v>309031</v>
      </c>
      <c r="B1304">
        <v>2</v>
      </c>
      <c r="C1304">
        <v>1</v>
      </c>
      <c r="D1304" s="32">
        <v>43066.637361111112</v>
      </c>
      <c r="E1304">
        <v>6</v>
      </c>
      <c r="F1304" t="s">
        <v>15</v>
      </c>
    </row>
    <row r="1305" spans="1:6">
      <c r="A1305">
        <v>889510</v>
      </c>
      <c r="B1305">
        <v>2</v>
      </c>
      <c r="C1305">
        <v>1</v>
      </c>
      <c r="D1305" s="32">
        <v>43065.54582175926</v>
      </c>
      <c r="E1305">
        <v>7</v>
      </c>
      <c r="F1305" t="s">
        <v>15</v>
      </c>
    </row>
    <row r="1306" spans="1:6">
      <c r="A1306">
        <v>329883</v>
      </c>
      <c r="B1306">
        <v>2</v>
      </c>
      <c r="C1306">
        <v>1</v>
      </c>
      <c r="D1306" s="32">
        <v>43068.020289351851</v>
      </c>
      <c r="E1306">
        <v>4</v>
      </c>
      <c r="F1306" t="s">
        <v>15</v>
      </c>
    </row>
    <row r="1307" spans="1:6">
      <c r="A1307">
        <v>697955</v>
      </c>
      <c r="B1307">
        <v>2</v>
      </c>
      <c r="C1307">
        <v>1</v>
      </c>
      <c r="D1307" s="32">
        <v>43069.660416666666</v>
      </c>
      <c r="E1307">
        <v>3</v>
      </c>
      <c r="F1307" t="s">
        <v>15</v>
      </c>
    </row>
    <row r="1308" spans="1:6">
      <c r="A1308">
        <v>142725</v>
      </c>
      <c r="B1308">
        <v>2</v>
      </c>
      <c r="C1308">
        <v>1</v>
      </c>
      <c r="D1308" s="32">
        <v>43066.459733796299</v>
      </c>
      <c r="E1308">
        <v>6</v>
      </c>
      <c r="F1308" t="s">
        <v>15</v>
      </c>
    </row>
    <row r="1309" spans="1:6">
      <c r="A1309">
        <v>481271</v>
      </c>
      <c r="B1309">
        <v>2</v>
      </c>
      <c r="C1309">
        <v>1</v>
      </c>
      <c r="D1309" s="32">
        <v>43065.488402777781</v>
      </c>
      <c r="E1309">
        <v>7</v>
      </c>
      <c r="F1309" t="s">
        <v>15</v>
      </c>
    </row>
    <row r="1310" spans="1:6">
      <c r="A1310">
        <v>78438</v>
      </c>
      <c r="B1310">
        <v>2</v>
      </c>
      <c r="C1310">
        <v>1</v>
      </c>
      <c r="D1310" s="32">
        <v>43064.296956018516</v>
      </c>
      <c r="E1310">
        <v>8</v>
      </c>
      <c r="F1310" t="s">
        <v>15</v>
      </c>
    </row>
    <row r="1311" spans="1:6">
      <c r="A1311">
        <v>582926</v>
      </c>
      <c r="B1311">
        <v>2</v>
      </c>
      <c r="C1311">
        <v>1</v>
      </c>
      <c r="D1311" s="32">
        <v>43064.296076388891</v>
      </c>
      <c r="E1311">
        <v>8</v>
      </c>
      <c r="F1311" t="s">
        <v>15</v>
      </c>
    </row>
    <row r="1312" spans="1:6">
      <c r="A1312">
        <v>640054</v>
      </c>
      <c r="B1312">
        <v>2</v>
      </c>
      <c r="C1312">
        <v>1</v>
      </c>
      <c r="D1312" s="32">
        <v>43066.041030092594</v>
      </c>
      <c r="E1312">
        <v>6</v>
      </c>
      <c r="F1312" t="s">
        <v>15</v>
      </c>
    </row>
    <row r="1313" spans="1:6">
      <c r="A1313">
        <v>6928</v>
      </c>
      <c r="B1313">
        <v>2</v>
      </c>
      <c r="C1313">
        <v>1</v>
      </c>
      <c r="D1313" s="32">
        <v>43067.527708333335</v>
      </c>
      <c r="E1313">
        <v>5</v>
      </c>
      <c r="F1313" t="s">
        <v>15</v>
      </c>
    </row>
    <row r="1314" spans="1:6">
      <c r="A1314">
        <v>22749</v>
      </c>
      <c r="B1314">
        <v>2</v>
      </c>
      <c r="C1314">
        <v>1</v>
      </c>
      <c r="D1314" s="32">
        <v>43069.072314814817</v>
      </c>
      <c r="E1314">
        <v>3</v>
      </c>
      <c r="F1314" t="s">
        <v>15</v>
      </c>
    </row>
    <row r="1315" spans="1:6">
      <c r="A1315">
        <v>953489</v>
      </c>
      <c r="B1315">
        <v>2</v>
      </c>
      <c r="C1315">
        <v>1</v>
      </c>
      <c r="D1315" s="32">
        <v>43067.502604166664</v>
      </c>
      <c r="E1315">
        <v>5</v>
      </c>
      <c r="F1315" t="s">
        <v>15</v>
      </c>
    </row>
    <row r="1316" spans="1:6">
      <c r="A1316">
        <v>152175</v>
      </c>
      <c r="B1316">
        <v>2</v>
      </c>
      <c r="C1316">
        <v>1</v>
      </c>
      <c r="D1316" s="32">
        <v>43068.331585648149</v>
      </c>
      <c r="E1316">
        <v>4</v>
      </c>
      <c r="F1316" t="s">
        <v>15</v>
      </c>
    </row>
    <row r="1317" spans="1:6">
      <c r="A1317">
        <v>491919</v>
      </c>
      <c r="B1317">
        <v>2</v>
      </c>
      <c r="C1317">
        <v>1</v>
      </c>
      <c r="D1317" s="32">
        <v>43067.056608796294</v>
      </c>
      <c r="E1317">
        <v>5</v>
      </c>
      <c r="F1317" t="s">
        <v>15</v>
      </c>
    </row>
    <row r="1318" spans="1:6">
      <c r="A1318">
        <v>397790</v>
      </c>
      <c r="B1318">
        <v>2</v>
      </c>
      <c r="C1318">
        <v>1</v>
      </c>
      <c r="D1318" s="32">
        <v>43064.558159722219</v>
      </c>
      <c r="E1318">
        <v>8</v>
      </c>
      <c r="F1318" t="s">
        <v>15</v>
      </c>
    </row>
    <row r="1319" spans="1:6">
      <c r="A1319">
        <v>825405</v>
      </c>
      <c r="B1319">
        <v>2</v>
      </c>
      <c r="C1319">
        <v>1</v>
      </c>
      <c r="D1319" s="32">
        <v>43066.22552083333</v>
      </c>
      <c r="E1319">
        <v>6</v>
      </c>
      <c r="F1319" t="s">
        <v>15</v>
      </c>
    </row>
    <row r="1320" spans="1:6">
      <c r="A1320">
        <v>767257</v>
      </c>
      <c r="B1320">
        <v>2</v>
      </c>
      <c r="C1320">
        <v>1</v>
      </c>
      <c r="D1320" s="32">
        <v>43066.467881944445</v>
      </c>
      <c r="E1320">
        <v>6</v>
      </c>
      <c r="F1320" t="s">
        <v>15</v>
      </c>
    </row>
    <row r="1321" spans="1:6">
      <c r="A1321">
        <v>618328</v>
      </c>
      <c r="B1321">
        <v>2</v>
      </c>
      <c r="C1321">
        <v>1</v>
      </c>
      <c r="D1321" s="32">
        <v>43069.558391203704</v>
      </c>
      <c r="E1321">
        <v>3</v>
      </c>
      <c r="F1321" t="s">
        <v>15</v>
      </c>
    </row>
    <row r="1322" spans="1:6">
      <c r="A1322">
        <v>828059</v>
      </c>
      <c r="B1322">
        <v>2</v>
      </c>
      <c r="C1322">
        <v>1</v>
      </c>
      <c r="D1322" s="32">
        <v>43064.162592592591</v>
      </c>
      <c r="E1322">
        <v>8</v>
      </c>
      <c r="F1322" t="s">
        <v>15</v>
      </c>
    </row>
    <row r="1323" spans="1:6">
      <c r="A1323">
        <v>947540</v>
      </c>
      <c r="B1323">
        <v>2</v>
      </c>
      <c r="C1323">
        <v>1</v>
      </c>
      <c r="D1323" s="32">
        <v>43064.658854166664</v>
      </c>
      <c r="E1323">
        <v>8</v>
      </c>
      <c r="F1323" t="s">
        <v>15</v>
      </c>
    </row>
    <row r="1324" spans="1:6">
      <c r="A1324">
        <v>917510</v>
      </c>
      <c r="B1324">
        <v>2</v>
      </c>
      <c r="C1324">
        <v>1</v>
      </c>
      <c r="D1324" s="32">
        <v>43068.415092592593</v>
      </c>
      <c r="E1324">
        <v>4</v>
      </c>
      <c r="F1324" t="s">
        <v>15</v>
      </c>
    </row>
    <row r="1325" spans="1:6">
      <c r="A1325">
        <v>1010669</v>
      </c>
      <c r="B1325">
        <v>2</v>
      </c>
      <c r="C1325">
        <v>1</v>
      </c>
      <c r="D1325" s="32">
        <v>43068.369212962964</v>
      </c>
      <c r="E1325">
        <v>4</v>
      </c>
      <c r="F1325" t="s">
        <v>15</v>
      </c>
    </row>
    <row r="1326" spans="1:6">
      <c r="A1326">
        <v>858153</v>
      </c>
      <c r="B1326">
        <v>2</v>
      </c>
      <c r="C1326">
        <v>1</v>
      </c>
      <c r="D1326" s="32">
        <v>43066.329907407409</v>
      </c>
      <c r="E1326">
        <v>6</v>
      </c>
      <c r="F1326" t="s">
        <v>15</v>
      </c>
    </row>
    <row r="1327" spans="1:6">
      <c r="A1327">
        <v>76078</v>
      </c>
      <c r="B1327">
        <v>2</v>
      </c>
      <c r="C1327">
        <v>1</v>
      </c>
      <c r="D1327" s="32">
        <v>43065.538946759261</v>
      </c>
      <c r="E1327">
        <v>7</v>
      </c>
      <c r="F1327" t="s">
        <v>15</v>
      </c>
    </row>
    <row r="1328" spans="1:6">
      <c r="A1328">
        <v>599434</v>
      </c>
      <c r="B1328">
        <v>2</v>
      </c>
      <c r="C1328">
        <v>1</v>
      </c>
      <c r="D1328" s="32">
        <v>43065.816157407404</v>
      </c>
      <c r="E1328">
        <v>7</v>
      </c>
      <c r="F1328" t="s">
        <v>15</v>
      </c>
    </row>
    <row r="1329" spans="1:6">
      <c r="A1329">
        <v>61813</v>
      </c>
      <c r="B1329">
        <v>2</v>
      </c>
      <c r="C1329">
        <v>1</v>
      </c>
      <c r="D1329" s="32">
        <v>43064.036944444444</v>
      </c>
      <c r="E1329">
        <v>8</v>
      </c>
      <c r="F1329" t="s">
        <v>15</v>
      </c>
    </row>
    <row r="1330" spans="1:6">
      <c r="A1330">
        <v>291240</v>
      </c>
      <c r="B1330">
        <v>2</v>
      </c>
      <c r="C1330">
        <v>1</v>
      </c>
      <c r="D1330" s="32">
        <v>43068.543981481482</v>
      </c>
      <c r="E1330">
        <v>4</v>
      </c>
      <c r="F1330" t="s">
        <v>15</v>
      </c>
    </row>
    <row r="1331" spans="1:6">
      <c r="A1331">
        <v>760482</v>
      </c>
      <c r="B1331">
        <v>2</v>
      </c>
      <c r="C1331">
        <v>1</v>
      </c>
      <c r="D1331" s="32">
        <v>43064.646331018521</v>
      </c>
      <c r="E1331">
        <v>8</v>
      </c>
      <c r="F1331" t="s">
        <v>15</v>
      </c>
    </row>
    <row r="1332" spans="1:6">
      <c r="A1332">
        <v>315205</v>
      </c>
      <c r="B1332">
        <v>2</v>
      </c>
      <c r="C1332">
        <v>1</v>
      </c>
      <c r="D1332" s="32">
        <v>43064.376076388886</v>
      </c>
      <c r="E1332">
        <v>8</v>
      </c>
      <c r="F1332" t="s">
        <v>15</v>
      </c>
    </row>
    <row r="1333" spans="1:6">
      <c r="A1333">
        <v>958089</v>
      </c>
      <c r="B1333">
        <v>2</v>
      </c>
      <c r="C1333">
        <v>1</v>
      </c>
      <c r="D1333" s="32">
        <v>43065.158009259256</v>
      </c>
      <c r="E1333">
        <v>7</v>
      </c>
      <c r="F1333" t="s">
        <v>15</v>
      </c>
    </row>
    <row r="1334" spans="1:6">
      <c r="A1334">
        <v>941025</v>
      </c>
      <c r="B1334">
        <v>2</v>
      </c>
      <c r="C1334">
        <v>1</v>
      </c>
      <c r="D1334" s="32">
        <v>43068.623067129629</v>
      </c>
      <c r="E1334">
        <v>4</v>
      </c>
      <c r="F1334" t="s">
        <v>15</v>
      </c>
    </row>
    <row r="1335" spans="1:6">
      <c r="A1335">
        <v>199940</v>
      </c>
      <c r="B1335">
        <v>2</v>
      </c>
      <c r="C1335">
        <v>1</v>
      </c>
      <c r="D1335" s="32">
        <v>43069.243032407408</v>
      </c>
      <c r="E1335">
        <v>3</v>
      </c>
      <c r="F1335" t="s">
        <v>15</v>
      </c>
    </row>
    <row r="1336" spans="1:6">
      <c r="A1336">
        <v>128732</v>
      </c>
      <c r="B1336">
        <v>2</v>
      </c>
      <c r="C1336">
        <v>1</v>
      </c>
      <c r="D1336" s="32">
        <v>43064.147164351853</v>
      </c>
      <c r="E1336">
        <v>8</v>
      </c>
      <c r="F1336" t="s">
        <v>15</v>
      </c>
    </row>
    <row r="1337" spans="1:6">
      <c r="A1337">
        <v>365790</v>
      </c>
      <c r="B1337">
        <v>2</v>
      </c>
      <c r="C1337">
        <v>1</v>
      </c>
      <c r="D1337" s="32">
        <v>43068.199629629627</v>
      </c>
      <c r="E1337">
        <v>4</v>
      </c>
      <c r="F1337" t="s">
        <v>15</v>
      </c>
    </row>
    <row r="1338" spans="1:6">
      <c r="A1338">
        <v>272611</v>
      </c>
      <c r="B1338">
        <v>2</v>
      </c>
      <c r="C1338">
        <v>1</v>
      </c>
      <c r="D1338" s="32">
        <v>43064.11650462963</v>
      </c>
      <c r="E1338">
        <v>8</v>
      </c>
      <c r="F1338" t="s">
        <v>15</v>
      </c>
    </row>
    <row r="1339" spans="1:6">
      <c r="A1339">
        <v>624096</v>
      </c>
      <c r="B1339">
        <v>2</v>
      </c>
      <c r="C1339">
        <v>1</v>
      </c>
      <c r="D1339" s="32">
        <v>43064.256863425922</v>
      </c>
      <c r="E1339">
        <v>8</v>
      </c>
      <c r="F1339" t="s">
        <v>15</v>
      </c>
    </row>
    <row r="1340" spans="1:6">
      <c r="A1340">
        <v>608141</v>
      </c>
      <c r="B1340">
        <v>2</v>
      </c>
      <c r="C1340">
        <v>1</v>
      </c>
      <c r="D1340" s="32">
        <v>43064.212488425925</v>
      </c>
      <c r="E1340">
        <v>8</v>
      </c>
      <c r="F1340" t="s">
        <v>15</v>
      </c>
    </row>
    <row r="1341" spans="1:6">
      <c r="A1341">
        <v>426113</v>
      </c>
      <c r="B1341">
        <v>2</v>
      </c>
      <c r="C1341">
        <v>1</v>
      </c>
      <c r="D1341" s="32">
        <v>43064.519062500003</v>
      </c>
      <c r="E1341">
        <v>8</v>
      </c>
      <c r="F1341" t="s">
        <v>15</v>
      </c>
    </row>
    <row r="1342" spans="1:6">
      <c r="A1342">
        <v>22352</v>
      </c>
      <c r="B1342">
        <v>2</v>
      </c>
      <c r="C1342">
        <v>1</v>
      </c>
      <c r="D1342" s="32">
        <v>43065.066400462965</v>
      </c>
      <c r="E1342">
        <v>7</v>
      </c>
      <c r="F1342" t="s">
        <v>15</v>
      </c>
    </row>
    <row r="1343" spans="1:6">
      <c r="A1343">
        <v>388437</v>
      </c>
      <c r="B1343">
        <v>2</v>
      </c>
      <c r="C1343">
        <v>1</v>
      </c>
      <c r="D1343" s="32">
        <v>43069.145590277774</v>
      </c>
      <c r="E1343">
        <v>3</v>
      </c>
      <c r="F1343" t="s">
        <v>15</v>
      </c>
    </row>
    <row r="1344" spans="1:6">
      <c r="A1344">
        <v>914927</v>
      </c>
      <c r="B1344">
        <v>2</v>
      </c>
      <c r="C1344">
        <v>1</v>
      </c>
      <c r="D1344" s="32">
        <v>43064.310196759259</v>
      </c>
      <c r="E1344">
        <v>8</v>
      </c>
      <c r="F1344" t="s">
        <v>15</v>
      </c>
    </row>
    <row r="1345" spans="1:6">
      <c r="A1345">
        <v>621297</v>
      </c>
      <c r="B1345">
        <v>2</v>
      </c>
      <c r="C1345">
        <v>2</v>
      </c>
      <c r="D1345" s="32">
        <v>43065.693761574075</v>
      </c>
      <c r="E1345">
        <v>7</v>
      </c>
      <c r="F1345" t="s">
        <v>15</v>
      </c>
    </row>
    <row r="1346" spans="1:6">
      <c r="A1346">
        <v>605453</v>
      </c>
      <c r="B1346">
        <v>2</v>
      </c>
      <c r="C1346">
        <v>1</v>
      </c>
      <c r="D1346" s="32">
        <v>43068.319675925923</v>
      </c>
      <c r="E1346">
        <v>4</v>
      </c>
      <c r="F1346" t="s">
        <v>15</v>
      </c>
    </row>
    <row r="1347" spans="1:6">
      <c r="A1347">
        <v>892291</v>
      </c>
      <c r="B1347">
        <v>2</v>
      </c>
      <c r="C1347">
        <v>1</v>
      </c>
      <c r="D1347" s="32">
        <v>43067.314432870371</v>
      </c>
      <c r="E1347">
        <v>5</v>
      </c>
      <c r="F1347" t="s">
        <v>15</v>
      </c>
    </row>
    <row r="1348" spans="1:6">
      <c r="A1348">
        <v>350761</v>
      </c>
      <c r="B1348">
        <v>2</v>
      </c>
      <c r="C1348">
        <v>1</v>
      </c>
      <c r="D1348" s="32">
        <v>43067.054224537038</v>
      </c>
      <c r="E1348">
        <v>5</v>
      </c>
      <c r="F1348" t="s">
        <v>15</v>
      </c>
    </row>
    <row r="1349" spans="1:6">
      <c r="A1349">
        <v>805622</v>
      </c>
      <c r="B1349">
        <v>2</v>
      </c>
      <c r="C1349">
        <v>1</v>
      </c>
      <c r="D1349" s="32">
        <v>43067.080081018517</v>
      </c>
      <c r="E1349">
        <v>5</v>
      </c>
      <c r="F1349" t="s">
        <v>15</v>
      </c>
    </row>
    <row r="1350" spans="1:6">
      <c r="A1350">
        <v>705008</v>
      </c>
      <c r="B1350">
        <v>2</v>
      </c>
      <c r="C1350">
        <v>1</v>
      </c>
      <c r="D1350" s="32">
        <v>43067.249861111108</v>
      </c>
      <c r="E1350">
        <v>5</v>
      </c>
      <c r="F1350" t="s">
        <v>15</v>
      </c>
    </row>
    <row r="1351" spans="1:6">
      <c r="A1351">
        <v>811513</v>
      </c>
      <c r="B1351">
        <v>2</v>
      </c>
      <c r="C1351">
        <v>1</v>
      </c>
      <c r="D1351" s="32">
        <v>43067.426747685182</v>
      </c>
      <c r="E1351">
        <v>5</v>
      </c>
      <c r="F1351" t="s">
        <v>15</v>
      </c>
    </row>
    <row r="1352" spans="1:6">
      <c r="A1352">
        <v>283046</v>
      </c>
      <c r="B1352">
        <v>2</v>
      </c>
      <c r="C1352">
        <v>1</v>
      </c>
      <c r="D1352" s="32">
        <v>43069.657534722224</v>
      </c>
      <c r="E1352">
        <v>3</v>
      </c>
      <c r="F1352" t="s">
        <v>15</v>
      </c>
    </row>
    <row r="1353" spans="1:6">
      <c r="A1353">
        <v>322184</v>
      </c>
      <c r="B1353">
        <v>2</v>
      </c>
      <c r="C1353">
        <v>1</v>
      </c>
      <c r="D1353" s="32">
        <v>43068.366412037038</v>
      </c>
      <c r="E1353">
        <v>4</v>
      </c>
      <c r="F1353" t="s">
        <v>15</v>
      </c>
    </row>
    <row r="1354" spans="1:6">
      <c r="A1354">
        <v>670787</v>
      </c>
      <c r="B1354">
        <v>2</v>
      </c>
      <c r="C1354">
        <v>1</v>
      </c>
      <c r="D1354" s="32">
        <v>43069.593969907408</v>
      </c>
      <c r="E1354">
        <v>3</v>
      </c>
      <c r="F1354" t="s">
        <v>15</v>
      </c>
    </row>
    <row r="1355" spans="1:6">
      <c r="A1355">
        <v>973177</v>
      </c>
      <c r="B1355">
        <v>2</v>
      </c>
      <c r="C1355">
        <v>1</v>
      </c>
      <c r="D1355" s="32">
        <v>43064.590289351851</v>
      </c>
      <c r="E1355">
        <v>8</v>
      </c>
      <c r="F1355" t="s">
        <v>15</v>
      </c>
    </row>
    <row r="1356" spans="1:6">
      <c r="A1356">
        <v>437056</v>
      </c>
      <c r="B1356">
        <v>2</v>
      </c>
      <c r="C1356">
        <v>1</v>
      </c>
      <c r="D1356" s="32">
        <v>43068.213136574072</v>
      </c>
      <c r="E1356">
        <v>4</v>
      </c>
      <c r="F1356" t="s">
        <v>15</v>
      </c>
    </row>
    <row r="1357" spans="1:6">
      <c r="A1357">
        <v>567908</v>
      </c>
      <c r="B1357">
        <v>2</v>
      </c>
      <c r="C1357">
        <v>1</v>
      </c>
      <c r="D1357" s="32">
        <v>43067.671793981484</v>
      </c>
      <c r="E1357">
        <v>5</v>
      </c>
      <c r="F1357" t="s">
        <v>15</v>
      </c>
    </row>
    <row r="1358" spans="1:6">
      <c r="A1358">
        <v>734780</v>
      </c>
      <c r="B1358">
        <v>2</v>
      </c>
      <c r="C1358">
        <v>1</v>
      </c>
      <c r="D1358" s="32">
        <v>43065.209374999999</v>
      </c>
      <c r="E1358">
        <v>7</v>
      </c>
      <c r="F1358" t="s">
        <v>15</v>
      </c>
    </row>
    <row r="1359" spans="1:6">
      <c r="A1359">
        <v>888296</v>
      </c>
      <c r="B1359">
        <v>2</v>
      </c>
      <c r="C1359">
        <v>2</v>
      </c>
      <c r="D1359" s="32">
        <v>43068.589386574073</v>
      </c>
      <c r="E1359">
        <v>4</v>
      </c>
      <c r="F1359" t="s">
        <v>15</v>
      </c>
    </row>
    <row r="1360" spans="1:6">
      <c r="A1360">
        <v>403412</v>
      </c>
      <c r="B1360">
        <v>2</v>
      </c>
      <c r="C1360">
        <v>1</v>
      </c>
      <c r="D1360" s="32">
        <v>43069.125162037039</v>
      </c>
      <c r="E1360">
        <v>3</v>
      </c>
      <c r="F1360" t="s">
        <v>15</v>
      </c>
    </row>
    <row r="1361" spans="1:6">
      <c r="A1361">
        <v>193929</v>
      </c>
      <c r="B1361">
        <v>2</v>
      </c>
      <c r="C1361">
        <v>1</v>
      </c>
      <c r="D1361" s="32">
        <v>43066.151354166665</v>
      </c>
      <c r="E1361">
        <v>6</v>
      </c>
      <c r="F1361" t="s">
        <v>15</v>
      </c>
    </row>
    <row r="1362" spans="1:6">
      <c r="A1362">
        <v>498446</v>
      </c>
      <c r="B1362">
        <v>2</v>
      </c>
      <c r="C1362">
        <v>1</v>
      </c>
      <c r="D1362" s="32">
        <v>43068.522152777776</v>
      </c>
      <c r="E1362">
        <v>4</v>
      </c>
      <c r="F1362" t="s">
        <v>15</v>
      </c>
    </row>
    <row r="1363" spans="1:6">
      <c r="A1363">
        <v>113546</v>
      </c>
      <c r="B1363">
        <v>2</v>
      </c>
      <c r="C1363">
        <v>1</v>
      </c>
      <c r="D1363" s="32">
        <v>43067.578217592592</v>
      </c>
      <c r="E1363">
        <v>5</v>
      </c>
      <c r="F1363" t="s">
        <v>15</v>
      </c>
    </row>
    <row r="1364" spans="1:6">
      <c r="A1364">
        <v>291594</v>
      </c>
      <c r="B1364">
        <v>2</v>
      </c>
      <c r="C1364">
        <v>2</v>
      </c>
      <c r="D1364" s="32">
        <v>43068.004120370373</v>
      </c>
      <c r="E1364">
        <v>4</v>
      </c>
      <c r="F1364" t="s">
        <v>15</v>
      </c>
    </row>
    <row r="1365" spans="1:6">
      <c r="A1365">
        <v>693462</v>
      </c>
      <c r="B1365">
        <v>2</v>
      </c>
      <c r="C1365">
        <v>1</v>
      </c>
      <c r="D1365" s="32">
        <v>43069.378831018519</v>
      </c>
      <c r="E1365">
        <v>3</v>
      </c>
      <c r="F1365" t="s">
        <v>15</v>
      </c>
    </row>
    <row r="1366" spans="1:6">
      <c r="A1366">
        <v>202047</v>
      </c>
      <c r="B1366">
        <v>2</v>
      </c>
      <c r="C1366">
        <v>1</v>
      </c>
      <c r="D1366" s="32">
        <v>43066.312731481485</v>
      </c>
      <c r="E1366">
        <v>6</v>
      </c>
      <c r="F1366" t="s">
        <v>15</v>
      </c>
    </row>
    <row r="1367" spans="1:6">
      <c r="A1367">
        <v>966748</v>
      </c>
      <c r="B1367">
        <v>2</v>
      </c>
      <c r="C1367">
        <v>1</v>
      </c>
      <c r="D1367" s="32">
        <v>43065.51494212963</v>
      </c>
      <c r="E1367">
        <v>7</v>
      </c>
      <c r="F1367" t="s">
        <v>15</v>
      </c>
    </row>
    <row r="1368" spans="1:6">
      <c r="A1368">
        <v>901515</v>
      </c>
      <c r="B1368">
        <v>2</v>
      </c>
      <c r="C1368">
        <v>1</v>
      </c>
      <c r="D1368" s="32">
        <v>43066.35056712963</v>
      </c>
      <c r="E1368">
        <v>6</v>
      </c>
      <c r="F1368" t="s">
        <v>15</v>
      </c>
    </row>
    <row r="1369" spans="1:6">
      <c r="A1369">
        <v>994428</v>
      </c>
      <c r="B1369">
        <v>2</v>
      </c>
      <c r="C1369">
        <v>1</v>
      </c>
      <c r="D1369" s="32">
        <v>43069.302245370367</v>
      </c>
      <c r="E1369">
        <v>3</v>
      </c>
      <c r="F1369" t="s">
        <v>15</v>
      </c>
    </row>
    <row r="1370" spans="1:6">
      <c r="A1370">
        <v>697395</v>
      </c>
      <c r="B1370">
        <v>2</v>
      </c>
      <c r="C1370">
        <v>1</v>
      </c>
      <c r="D1370" s="32">
        <v>43065.640127314815</v>
      </c>
      <c r="E1370">
        <v>7</v>
      </c>
      <c r="F1370" t="s">
        <v>15</v>
      </c>
    </row>
    <row r="1371" spans="1:6">
      <c r="A1371">
        <v>992065</v>
      </c>
      <c r="B1371">
        <v>2</v>
      </c>
      <c r="C1371">
        <v>1</v>
      </c>
      <c r="D1371" s="32">
        <v>43065.633379629631</v>
      </c>
      <c r="E1371">
        <v>7</v>
      </c>
      <c r="F1371" t="s">
        <v>15</v>
      </c>
    </row>
    <row r="1372" spans="1:6">
      <c r="A1372">
        <v>143524</v>
      </c>
      <c r="B1372">
        <v>2</v>
      </c>
      <c r="C1372">
        <v>1</v>
      </c>
      <c r="D1372" s="32">
        <v>43069.990219907406</v>
      </c>
      <c r="E1372">
        <v>3</v>
      </c>
      <c r="F1372" t="s">
        <v>15</v>
      </c>
    </row>
    <row r="1373" spans="1:6">
      <c r="A1373">
        <v>210866</v>
      </c>
      <c r="B1373">
        <v>2</v>
      </c>
      <c r="C1373">
        <v>1</v>
      </c>
      <c r="D1373" s="32">
        <v>43069.53869212963</v>
      </c>
      <c r="E1373">
        <v>3</v>
      </c>
      <c r="F1373" t="s">
        <v>15</v>
      </c>
    </row>
    <row r="1374" spans="1:6">
      <c r="A1374">
        <v>237730</v>
      </c>
      <c r="B1374">
        <v>2</v>
      </c>
      <c r="C1374">
        <v>1</v>
      </c>
      <c r="D1374" s="32">
        <v>43066.039224537039</v>
      </c>
      <c r="E1374">
        <v>6</v>
      </c>
      <c r="F1374" t="s">
        <v>15</v>
      </c>
    </row>
    <row r="1375" spans="1:6">
      <c r="A1375">
        <v>862918</v>
      </c>
      <c r="B1375">
        <v>2</v>
      </c>
      <c r="C1375">
        <v>1</v>
      </c>
      <c r="D1375" s="32">
        <v>43064.304050925923</v>
      </c>
      <c r="E1375">
        <v>8</v>
      </c>
      <c r="F1375" t="s">
        <v>15</v>
      </c>
    </row>
    <row r="1376" spans="1:6">
      <c r="A1376">
        <v>999243</v>
      </c>
      <c r="B1376">
        <v>2</v>
      </c>
      <c r="C1376">
        <v>1</v>
      </c>
      <c r="D1376" s="32">
        <v>43066.996111111112</v>
      </c>
      <c r="E1376">
        <v>6</v>
      </c>
      <c r="F1376" t="s">
        <v>15</v>
      </c>
    </row>
    <row r="1377" spans="1:6">
      <c r="A1377">
        <v>943302</v>
      </c>
      <c r="B1377">
        <v>2</v>
      </c>
      <c r="C1377">
        <v>3</v>
      </c>
      <c r="D1377" s="32">
        <v>43068.681631944448</v>
      </c>
      <c r="E1377">
        <v>4</v>
      </c>
      <c r="F1377" t="s">
        <v>15</v>
      </c>
    </row>
    <row r="1378" spans="1:6">
      <c r="A1378">
        <v>664642</v>
      </c>
      <c r="B1378">
        <v>2</v>
      </c>
      <c r="C1378">
        <v>1</v>
      </c>
      <c r="D1378" s="32">
        <v>43067.131898148145</v>
      </c>
      <c r="E1378">
        <v>5</v>
      </c>
      <c r="F1378" t="s">
        <v>15</v>
      </c>
    </row>
    <row r="1379" spans="1:6">
      <c r="A1379">
        <v>426896</v>
      </c>
      <c r="B1379">
        <v>2</v>
      </c>
      <c r="C1379">
        <v>1</v>
      </c>
      <c r="D1379" s="32">
        <v>43064.051319444443</v>
      </c>
      <c r="E1379">
        <v>8</v>
      </c>
      <c r="F1379" t="s">
        <v>15</v>
      </c>
    </row>
    <row r="1380" spans="1:6">
      <c r="A1380">
        <v>842416</v>
      </c>
      <c r="B1380">
        <v>2</v>
      </c>
      <c r="C1380">
        <v>1</v>
      </c>
      <c r="D1380" s="32">
        <v>43067.593263888892</v>
      </c>
      <c r="E1380">
        <v>5</v>
      </c>
      <c r="F1380" t="s">
        <v>15</v>
      </c>
    </row>
    <row r="1381" spans="1:6">
      <c r="A1381">
        <v>197061</v>
      </c>
      <c r="B1381">
        <v>2</v>
      </c>
      <c r="C1381">
        <v>1</v>
      </c>
      <c r="D1381" s="32">
        <v>43064.533773148149</v>
      </c>
      <c r="E1381">
        <v>8</v>
      </c>
      <c r="F1381" t="s">
        <v>15</v>
      </c>
    </row>
    <row r="1382" spans="1:6">
      <c r="A1382">
        <v>372302</v>
      </c>
      <c r="B1382">
        <v>2</v>
      </c>
      <c r="C1382">
        <v>1</v>
      </c>
      <c r="D1382" s="32">
        <v>43068.120787037034</v>
      </c>
      <c r="E1382">
        <v>4</v>
      </c>
      <c r="F1382" t="s">
        <v>15</v>
      </c>
    </row>
    <row r="1383" spans="1:6">
      <c r="A1383">
        <v>1004782</v>
      </c>
      <c r="B1383">
        <v>2</v>
      </c>
      <c r="C1383">
        <v>1</v>
      </c>
      <c r="D1383" s="32">
        <v>43065.220069444447</v>
      </c>
      <c r="E1383">
        <v>7</v>
      </c>
      <c r="F1383" t="s">
        <v>15</v>
      </c>
    </row>
    <row r="1384" spans="1:6">
      <c r="A1384">
        <v>682558</v>
      </c>
      <c r="B1384">
        <v>2</v>
      </c>
      <c r="C1384">
        <v>1</v>
      </c>
      <c r="D1384" s="32">
        <v>43065.271805555552</v>
      </c>
      <c r="E1384">
        <v>7</v>
      </c>
      <c r="F1384" t="s">
        <v>15</v>
      </c>
    </row>
    <row r="1385" spans="1:6">
      <c r="A1385">
        <v>471632</v>
      </c>
      <c r="B1385">
        <v>2</v>
      </c>
      <c r="C1385">
        <v>1</v>
      </c>
      <c r="D1385" s="32">
        <v>43067.347685185188</v>
      </c>
      <c r="E1385">
        <v>5</v>
      </c>
      <c r="F1385" t="s">
        <v>15</v>
      </c>
    </row>
    <row r="1386" spans="1:6">
      <c r="A1386">
        <v>134578</v>
      </c>
      <c r="B1386">
        <v>2</v>
      </c>
      <c r="C1386">
        <v>1</v>
      </c>
      <c r="D1386" s="32">
        <v>43064.095370370371</v>
      </c>
      <c r="E1386">
        <v>8</v>
      </c>
      <c r="F1386" t="s">
        <v>15</v>
      </c>
    </row>
    <row r="1387" spans="1:6">
      <c r="A1387">
        <v>783163</v>
      </c>
      <c r="B1387">
        <v>2</v>
      </c>
      <c r="C1387">
        <v>1</v>
      </c>
      <c r="D1387" s="32">
        <v>43068.079780092594</v>
      </c>
      <c r="E1387">
        <v>4</v>
      </c>
      <c r="F1387" t="s">
        <v>15</v>
      </c>
    </row>
    <row r="1388" spans="1:6">
      <c r="A1388">
        <v>422612</v>
      </c>
      <c r="B1388">
        <v>2</v>
      </c>
      <c r="C1388">
        <v>1</v>
      </c>
      <c r="D1388" s="32">
        <v>43069.257905092592</v>
      </c>
      <c r="E1388">
        <v>3</v>
      </c>
      <c r="F1388" t="s">
        <v>15</v>
      </c>
    </row>
    <row r="1389" spans="1:6">
      <c r="A1389">
        <v>598251</v>
      </c>
      <c r="B1389">
        <v>2</v>
      </c>
      <c r="C1389">
        <v>2</v>
      </c>
      <c r="D1389" s="32">
        <v>43068.060324074075</v>
      </c>
      <c r="E1389">
        <v>4</v>
      </c>
      <c r="F1389" t="s">
        <v>15</v>
      </c>
    </row>
    <row r="1390" spans="1:6">
      <c r="A1390">
        <v>267876</v>
      </c>
      <c r="B1390">
        <v>2</v>
      </c>
      <c r="C1390">
        <v>1</v>
      </c>
      <c r="D1390" s="32">
        <v>43064.537847222222</v>
      </c>
      <c r="E1390">
        <v>8</v>
      </c>
      <c r="F1390" t="s">
        <v>15</v>
      </c>
    </row>
    <row r="1391" spans="1:6">
      <c r="A1391">
        <v>870534</v>
      </c>
      <c r="B1391">
        <v>2</v>
      </c>
      <c r="C1391">
        <v>1</v>
      </c>
      <c r="D1391" s="32">
        <v>43069.51666666667</v>
      </c>
      <c r="E1391">
        <v>3</v>
      </c>
      <c r="F1391" t="s">
        <v>15</v>
      </c>
    </row>
    <row r="1392" spans="1:6">
      <c r="A1392">
        <v>719737</v>
      </c>
      <c r="B1392">
        <v>2</v>
      </c>
      <c r="C1392">
        <v>1</v>
      </c>
      <c r="D1392" s="32">
        <v>43067.800694444442</v>
      </c>
      <c r="E1392">
        <v>5</v>
      </c>
      <c r="F1392" t="s">
        <v>15</v>
      </c>
    </row>
    <row r="1393" spans="1:6">
      <c r="A1393">
        <v>55756</v>
      </c>
      <c r="B1393">
        <v>2</v>
      </c>
      <c r="C1393">
        <v>1</v>
      </c>
      <c r="D1393" s="32">
        <v>43069.326539351852</v>
      </c>
      <c r="E1393">
        <v>3</v>
      </c>
      <c r="F1393" t="s">
        <v>15</v>
      </c>
    </row>
    <row r="1394" spans="1:6">
      <c r="A1394">
        <v>81294</v>
      </c>
      <c r="B1394">
        <v>2</v>
      </c>
      <c r="C1394">
        <v>1</v>
      </c>
      <c r="D1394" s="32">
        <v>43067.219282407408</v>
      </c>
      <c r="E1394">
        <v>5</v>
      </c>
      <c r="F1394" t="s">
        <v>15</v>
      </c>
    </row>
    <row r="1395" spans="1:6">
      <c r="A1395">
        <v>175061</v>
      </c>
      <c r="B1395">
        <v>2</v>
      </c>
      <c r="C1395">
        <v>1</v>
      </c>
      <c r="D1395" s="32">
        <v>43069.116273148145</v>
      </c>
      <c r="E1395">
        <v>3</v>
      </c>
      <c r="F1395" t="s">
        <v>15</v>
      </c>
    </row>
    <row r="1396" spans="1:6">
      <c r="A1396">
        <v>943005</v>
      </c>
      <c r="B1396">
        <v>2</v>
      </c>
      <c r="C1396">
        <v>1</v>
      </c>
      <c r="D1396" s="32">
        <v>43067.45034722222</v>
      </c>
      <c r="E1396">
        <v>5</v>
      </c>
      <c r="F1396" t="s">
        <v>15</v>
      </c>
    </row>
    <row r="1397" spans="1:6">
      <c r="A1397">
        <v>835990</v>
      </c>
      <c r="B1397">
        <v>2</v>
      </c>
      <c r="C1397">
        <v>2</v>
      </c>
      <c r="D1397" s="32">
        <v>43065.460034722222</v>
      </c>
      <c r="E1397">
        <v>7</v>
      </c>
      <c r="F1397" t="s">
        <v>15</v>
      </c>
    </row>
    <row r="1398" spans="1:6">
      <c r="A1398">
        <v>268695</v>
      </c>
      <c r="B1398">
        <v>2</v>
      </c>
      <c r="C1398">
        <v>1</v>
      </c>
      <c r="D1398" s="32">
        <v>43064.649317129632</v>
      </c>
      <c r="E1398">
        <v>8</v>
      </c>
      <c r="F1398" t="s">
        <v>15</v>
      </c>
    </row>
    <row r="1399" spans="1:6">
      <c r="A1399">
        <v>34964</v>
      </c>
      <c r="B1399">
        <v>2</v>
      </c>
      <c r="C1399">
        <v>1</v>
      </c>
      <c r="D1399" s="32">
        <v>43067.133726851855</v>
      </c>
      <c r="E1399">
        <v>5</v>
      </c>
      <c r="F1399" t="s">
        <v>15</v>
      </c>
    </row>
    <row r="1400" spans="1:6">
      <c r="A1400">
        <v>342359</v>
      </c>
      <c r="B1400">
        <v>2</v>
      </c>
      <c r="C1400">
        <v>1</v>
      </c>
      <c r="D1400" s="32">
        <v>43068.648553240739</v>
      </c>
      <c r="E1400">
        <v>4</v>
      </c>
      <c r="F1400" t="s">
        <v>15</v>
      </c>
    </row>
    <row r="1401" spans="1:6">
      <c r="A1401">
        <v>255483</v>
      </c>
      <c r="B1401">
        <v>2</v>
      </c>
      <c r="C1401">
        <v>1</v>
      </c>
      <c r="D1401" s="32">
        <v>43066.522650462961</v>
      </c>
      <c r="E1401">
        <v>6</v>
      </c>
      <c r="F1401" t="s">
        <v>15</v>
      </c>
    </row>
    <row r="1402" spans="1:6">
      <c r="A1402">
        <v>892368</v>
      </c>
      <c r="B1402">
        <v>2</v>
      </c>
      <c r="C1402">
        <v>1</v>
      </c>
      <c r="D1402" s="32">
        <v>43066.590925925928</v>
      </c>
      <c r="E1402">
        <v>6</v>
      </c>
      <c r="F1402" t="s">
        <v>15</v>
      </c>
    </row>
    <row r="1403" spans="1:6">
      <c r="A1403">
        <v>409626</v>
      </c>
      <c r="B1403">
        <v>2</v>
      </c>
      <c r="C1403">
        <v>1</v>
      </c>
      <c r="D1403" s="32">
        <v>43068.023946759262</v>
      </c>
      <c r="E1403">
        <v>4</v>
      </c>
      <c r="F1403" t="s">
        <v>15</v>
      </c>
    </row>
    <row r="1404" spans="1:6">
      <c r="A1404">
        <v>536207</v>
      </c>
      <c r="B1404">
        <v>2</v>
      </c>
      <c r="C1404">
        <v>1</v>
      </c>
      <c r="D1404" s="32">
        <v>43067.259201388886</v>
      </c>
      <c r="E1404">
        <v>5</v>
      </c>
      <c r="F1404" t="s">
        <v>15</v>
      </c>
    </row>
    <row r="1405" spans="1:6">
      <c r="A1405">
        <v>844352</v>
      </c>
      <c r="B1405">
        <v>2</v>
      </c>
      <c r="C1405">
        <v>1</v>
      </c>
      <c r="D1405" s="32">
        <v>43065.692511574074</v>
      </c>
      <c r="E1405">
        <v>7</v>
      </c>
      <c r="F1405" t="s">
        <v>15</v>
      </c>
    </row>
    <row r="1406" spans="1:6">
      <c r="A1406">
        <v>166970</v>
      </c>
      <c r="B1406">
        <v>2</v>
      </c>
      <c r="C1406">
        <v>1</v>
      </c>
      <c r="D1406" s="32">
        <v>43064.985995370371</v>
      </c>
      <c r="E1406">
        <v>8</v>
      </c>
      <c r="F1406" t="s">
        <v>15</v>
      </c>
    </row>
    <row r="1407" spans="1:6">
      <c r="A1407">
        <v>979861</v>
      </c>
      <c r="B1407">
        <v>2</v>
      </c>
      <c r="C1407">
        <v>1</v>
      </c>
      <c r="D1407" s="32">
        <v>43069.319641203707</v>
      </c>
      <c r="E1407">
        <v>3</v>
      </c>
      <c r="F1407" t="s">
        <v>15</v>
      </c>
    </row>
    <row r="1408" spans="1:6">
      <c r="A1408">
        <v>280195</v>
      </c>
      <c r="B1408">
        <v>2</v>
      </c>
      <c r="C1408">
        <v>1</v>
      </c>
      <c r="D1408" s="32">
        <v>43064.014282407406</v>
      </c>
      <c r="E1408">
        <v>8</v>
      </c>
      <c r="F1408" t="s">
        <v>15</v>
      </c>
    </row>
    <row r="1409" spans="1:6">
      <c r="A1409">
        <v>164114</v>
      </c>
      <c r="B1409">
        <v>2</v>
      </c>
      <c r="C1409">
        <v>2</v>
      </c>
      <c r="D1409" s="32">
        <v>43068.645810185182</v>
      </c>
      <c r="E1409">
        <v>4</v>
      </c>
      <c r="F1409" t="s">
        <v>15</v>
      </c>
    </row>
    <row r="1410" spans="1:6">
      <c r="A1410">
        <v>997361</v>
      </c>
      <c r="B1410">
        <v>2</v>
      </c>
      <c r="C1410">
        <v>1</v>
      </c>
      <c r="D1410" s="32">
        <v>43065.142407407409</v>
      </c>
      <c r="E1410">
        <v>7</v>
      </c>
      <c r="F1410" t="s">
        <v>15</v>
      </c>
    </row>
    <row r="1411" spans="1:6">
      <c r="A1411">
        <v>605862</v>
      </c>
      <c r="B1411">
        <v>2</v>
      </c>
      <c r="C1411">
        <v>2</v>
      </c>
      <c r="D1411" s="32">
        <v>43068.833020833335</v>
      </c>
      <c r="E1411">
        <v>4</v>
      </c>
      <c r="F1411" t="s">
        <v>15</v>
      </c>
    </row>
    <row r="1412" spans="1:6">
      <c r="A1412">
        <v>798931</v>
      </c>
      <c r="B1412">
        <v>2</v>
      </c>
      <c r="C1412">
        <v>1</v>
      </c>
      <c r="D1412" s="32">
        <v>43069.046423611115</v>
      </c>
      <c r="E1412">
        <v>3</v>
      </c>
      <c r="F1412" t="s">
        <v>15</v>
      </c>
    </row>
    <row r="1413" spans="1:6">
      <c r="A1413">
        <v>703677</v>
      </c>
      <c r="B1413">
        <v>2</v>
      </c>
      <c r="C1413">
        <v>1</v>
      </c>
      <c r="D1413" s="32">
        <v>43064.295497685183</v>
      </c>
      <c r="E1413">
        <v>8</v>
      </c>
      <c r="F1413" t="s">
        <v>15</v>
      </c>
    </row>
    <row r="1414" spans="1:6">
      <c r="A1414">
        <v>486882</v>
      </c>
      <c r="B1414">
        <v>2</v>
      </c>
      <c r="C1414">
        <v>1</v>
      </c>
      <c r="D1414" s="32">
        <v>43066.59814814815</v>
      </c>
      <c r="E1414">
        <v>6</v>
      </c>
      <c r="F1414" t="s">
        <v>15</v>
      </c>
    </row>
    <row r="1415" spans="1:6">
      <c r="A1415">
        <v>606336</v>
      </c>
      <c r="B1415">
        <v>2</v>
      </c>
      <c r="C1415">
        <v>1</v>
      </c>
      <c r="D1415" s="32">
        <v>43064.319328703707</v>
      </c>
      <c r="E1415">
        <v>8</v>
      </c>
      <c r="F1415" t="s">
        <v>15</v>
      </c>
    </row>
    <row r="1416" spans="1:6">
      <c r="A1416">
        <v>854031</v>
      </c>
      <c r="B1416">
        <v>2</v>
      </c>
      <c r="C1416">
        <v>1</v>
      </c>
      <c r="D1416" s="32">
        <v>43066.062592592592</v>
      </c>
      <c r="E1416">
        <v>6</v>
      </c>
      <c r="F1416" t="s">
        <v>15</v>
      </c>
    </row>
    <row r="1417" spans="1:6">
      <c r="A1417">
        <v>230597</v>
      </c>
      <c r="B1417">
        <v>2</v>
      </c>
      <c r="C1417">
        <v>2</v>
      </c>
      <c r="D1417" s="32">
        <v>43067.555243055554</v>
      </c>
      <c r="E1417">
        <v>5</v>
      </c>
      <c r="F1417" t="s">
        <v>15</v>
      </c>
    </row>
    <row r="1418" spans="1:6">
      <c r="A1418">
        <v>763017</v>
      </c>
      <c r="B1418">
        <v>2</v>
      </c>
      <c r="C1418">
        <v>1</v>
      </c>
      <c r="D1418" s="32">
        <v>43068.279722222222</v>
      </c>
      <c r="E1418">
        <v>4</v>
      </c>
      <c r="F1418" t="s">
        <v>15</v>
      </c>
    </row>
    <row r="1419" spans="1:6">
      <c r="A1419">
        <v>459870</v>
      </c>
      <c r="B1419">
        <v>2</v>
      </c>
      <c r="C1419">
        <v>1</v>
      </c>
      <c r="D1419" s="32">
        <v>43066.520092592589</v>
      </c>
      <c r="E1419">
        <v>6</v>
      </c>
      <c r="F1419" t="s">
        <v>15</v>
      </c>
    </row>
    <row r="1420" spans="1:6">
      <c r="A1420">
        <v>534544</v>
      </c>
      <c r="B1420">
        <v>2</v>
      </c>
      <c r="C1420">
        <v>1</v>
      </c>
      <c r="D1420" s="32">
        <v>43067.16846064815</v>
      </c>
      <c r="E1420">
        <v>5</v>
      </c>
      <c r="F1420" t="s">
        <v>15</v>
      </c>
    </row>
    <row r="1421" spans="1:6">
      <c r="A1421">
        <v>429145</v>
      </c>
      <c r="B1421">
        <v>2</v>
      </c>
      <c r="C1421">
        <v>1</v>
      </c>
      <c r="D1421" s="32">
        <v>43068.346168981479</v>
      </c>
      <c r="E1421">
        <v>4</v>
      </c>
      <c r="F1421" t="s">
        <v>15</v>
      </c>
    </row>
    <row r="1422" spans="1:6">
      <c r="A1422">
        <v>806788</v>
      </c>
      <c r="B1422">
        <v>2</v>
      </c>
      <c r="C1422">
        <v>1</v>
      </c>
      <c r="D1422" s="32">
        <v>43066.155092592591</v>
      </c>
      <c r="E1422">
        <v>6</v>
      </c>
      <c r="F1422" t="s">
        <v>15</v>
      </c>
    </row>
    <row r="1423" spans="1:6">
      <c r="A1423">
        <v>16745</v>
      </c>
      <c r="B1423">
        <v>2</v>
      </c>
      <c r="C1423">
        <v>1</v>
      </c>
      <c r="D1423" s="32">
        <v>43064.443240740744</v>
      </c>
      <c r="E1423">
        <v>8</v>
      </c>
      <c r="F1423" t="s">
        <v>15</v>
      </c>
    </row>
    <row r="1424" spans="1:6">
      <c r="A1424">
        <v>148065</v>
      </c>
      <c r="B1424">
        <v>2</v>
      </c>
      <c r="C1424">
        <v>2</v>
      </c>
      <c r="D1424" s="32">
        <v>43067.539456018516</v>
      </c>
      <c r="E1424">
        <v>5</v>
      </c>
      <c r="F1424" t="s">
        <v>15</v>
      </c>
    </row>
    <row r="1425" spans="1:6">
      <c r="A1425">
        <v>552547</v>
      </c>
      <c r="B1425">
        <v>2</v>
      </c>
      <c r="C1425">
        <v>1</v>
      </c>
      <c r="D1425" s="32">
        <v>43066.514849537038</v>
      </c>
      <c r="E1425">
        <v>6</v>
      </c>
      <c r="F1425" t="s">
        <v>15</v>
      </c>
    </row>
    <row r="1426" spans="1:6">
      <c r="A1426">
        <v>34988</v>
      </c>
      <c r="B1426">
        <v>2</v>
      </c>
      <c r="C1426">
        <v>1</v>
      </c>
      <c r="D1426" s="32">
        <v>43068.447442129633</v>
      </c>
      <c r="E1426">
        <v>4</v>
      </c>
      <c r="F1426" t="s">
        <v>15</v>
      </c>
    </row>
    <row r="1427" spans="1:6">
      <c r="A1427">
        <v>709030</v>
      </c>
      <c r="B1427">
        <v>2</v>
      </c>
      <c r="C1427">
        <v>1</v>
      </c>
      <c r="D1427" s="32">
        <v>43067.421747685185</v>
      </c>
      <c r="E1427">
        <v>5</v>
      </c>
      <c r="F1427" t="s">
        <v>15</v>
      </c>
    </row>
    <row r="1428" spans="1:6">
      <c r="A1428">
        <v>642436</v>
      </c>
      <c r="B1428">
        <v>2</v>
      </c>
      <c r="C1428">
        <v>1</v>
      </c>
      <c r="D1428" s="32">
        <v>43066.61109953704</v>
      </c>
      <c r="E1428">
        <v>6</v>
      </c>
      <c r="F1428" t="s">
        <v>15</v>
      </c>
    </row>
    <row r="1429" spans="1:6">
      <c r="A1429">
        <v>733956</v>
      </c>
      <c r="B1429">
        <v>2</v>
      </c>
      <c r="C1429">
        <v>2</v>
      </c>
      <c r="D1429" s="32">
        <v>43065.809432870374</v>
      </c>
      <c r="E1429">
        <v>7</v>
      </c>
      <c r="F1429" t="s">
        <v>15</v>
      </c>
    </row>
    <row r="1430" spans="1:6">
      <c r="A1430">
        <v>536413</v>
      </c>
      <c r="B1430">
        <v>2</v>
      </c>
      <c r="C1430">
        <v>1</v>
      </c>
      <c r="D1430" s="32">
        <v>43065.419687499998</v>
      </c>
      <c r="E1430">
        <v>7</v>
      </c>
      <c r="F1430" t="s">
        <v>15</v>
      </c>
    </row>
    <row r="1431" spans="1:6">
      <c r="A1431">
        <v>408950</v>
      </c>
      <c r="B1431">
        <v>2</v>
      </c>
      <c r="C1431">
        <v>1</v>
      </c>
      <c r="D1431" s="32">
        <v>43066.671886574077</v>
      </c>
      <c r="E1431">
        <v>6</v>
      </c>
      <c r="F1431" t="s">
        <v>15</v>
      </c>
    </row>
    <row r="1432" spans="1:6">
      <c r="A1432">
        <v>57409</v>
      </c>
      <c r="B1432">
        <v>2</v>
      </c>
      <c r="C1432">
        <v>1</v>
      </c>
      <c r="D1432" s="32">
        <v>43067.734270833331</v>
      </c>
      <c r="E1432">
        <v>5</v>
      </c>
      <c r="F1432" t="s">
        <v>15</v>
      </c>
    </row>
    <row r="1433" spans="1:6">
      <c r="A1433">
        <v>719273</v>
      </c>
      <c r="B1433">
        <v>2</v>
      </c>
      <c r="C1433">
        <v>2</v>
      </c>
      <c r="D1433" s="32">
        <v>43065.688842592594</v>
      </c>
      <c r="E1433">
        <v>7</v>
      </c>
      <c r="F1433" t="s">
        <v>15</v>
      </c>
    </row>
    <row r="1434" spans="1:6">
      <c r="A1434">
        <v>262414</v>
      </c>
      <c r="B1434">
        <v>2</v>
      </c>
      <c r="C1434">
        <v>1</v>
      </c>
      <c r="D1434" s="32">
        <v>43066.242893518516</v>
      </c>
      <c r="E1434">
        <v>6</v>
      </c>
      <c r="F1434" t="s">
        <v>15</v>
      </c>
    </row>
    <row r="1435" spans="1:6">
      <c r="A1435">
        <v>262749</v>
      </c>
      <c r="B1435">
        <v>2</v>
      </c>
      <c r="C1435">
        <v>1</v>
      </c>
      <c r="D1435" s="32">
        <v>43065.327627314815</v>
      </c>
      <c r="E1435">
        <v>7</v>
      </c>
      <c r="F1435" t="s">
        <v>15</v>
      </c>
    </row>
    <row r="1436" spans="1:6">
      <c r="A1436">
        <v>9324</v>
      </c>
      <c r="B1436">
        <v>2</v>
      </c>
      <c r="C1436">
        <v>1</v>
      </c>
      <c r="D1436" s="32">
        <v>43066.259780092594</v>
      </c>
      <c r="E1436">
        <v>6</v>
      </c>
      <c r="F1436" t="s">
        <v>15</v>
      </c>
    </row>
    <row r="1437" spans="1:6">
      <c r="A1437">
        <v>214003</v>
      </c>
      <c r="B1437">
        <v>2</v>
      </c>
      <c r="C1437">
        <v>1</v>
      </c>
      <c r="D1437" s="32">
        <v>43069.196203703701</v>
      </c>
      <c r="E1437">
        <v>3</v>
      </c>
      <c r="F1437" t="s">
        <v>15</v>
      </c>
    </row>
    <row r="1438" spans="1:6">
      <c r="A1438">
        <v>389796</v>
      </c>
      <c r="B1438">
        <v>2</v>
      </c>
      <c r="C1438">
        <v>1</v>
      </c>
      <c r="D1438" s="32">
        <v>43064.119733796295</v>
      </c>
      <c r="E1438">
        <v>8</v>
      </c>
      <c r="F1438" t="s">
        <v>15</v>
      </c>
    </row>
    <row r="1439" spans="1:6">
      <c r="A1439">
        <v>201763</v>
      </c>
      <c r="B1439">
        <v>2</v>
      </c>
      <c r="C1439">
        <v>1</v>
      </c>
      <c r="D1439" s="32">
        <v>43068.303124999999</v>
      </c>
      <c r="E1439">
        <v>4</v>
      </c>
      <c r="F1439" t="s">
        <v>15</v>
      </c>
    </row>
    <row r="1440" spans="1:6">
      <c r="A1440">
        <v>355201</v>
      </c>
      <c r="B1440">
        <v>2</v>
      </c>
      <c r="C1440">
        <v>1</v>
      </c>
      <c r="D1440" s="32">
        <v>43065.545671296299</v>
      </c>
      <c r="E1440">
        <v>7</v>
      </c>
      <c r="F1440" t="s">
        <v>15</v>
      </c>
    </row>
    <row r="1441" spans="1:6">
      <c r="A1441">
        <v>668925</v>
      </c>
      <c r="B1441">
        <v>2</v>
      </c>
      <c r="C1441">
        <v>1</v>
      </c>
      <c r="D1441" s="32">
        <v>43069.015844907408</v>
      </c>
      <c r="E1441">
        <v>3</v>
      </c>
      <c r="F1441" t="s">
        <v>15</v>
      </c>
    </row>
    <row r="1442" spans="1:6">
      <c r="A1442">
        <v>327929</v>
      </c>
      <c r="B1442">
        <v>2</v>
      </c>
      <c r="C1442">
        <v>1</v>
      </c>
      <c r="D1442" s="32">
        <v>43068.296932870369</v>
      </c>
      <c r="E1442">
        <v>4</v>
      </c>
      <c r="F1442" t="s">
        <v>15</v>
      </c>
    </row>
    <row r="1443" spans="1:6">
      <c r="A1443">
        <v>493053</v>
      </c>
      <c r="B1443">
        <v>2</v>
      </c>
      <c r="C1443">
        <v>1</v>
      </c>
      <c r="D1443" s="32">
        <v>43065.635636574072</v>
      </c>
      <c r="E1443">
        <v>7</v>
      </c>
      <c r="F1443" t="s">
        <v>15</v>
      </c>
    </row>
    <row r="1444" spans="1:6">
      <c r="A1444">
        <v>656409</v>
      </c>
      <c r="B1444">
        <v>2</v>
      </c>
      <c r="C1444">
        <v>1</v>
      </c>
      <c r="D1444" s="32">
        <v>43068.286203703705</v>
      </c>
      <c r="E1444">
        <v>4</v>
      </c>
      <c r="F1444" t="s">
        <v>15</v>
      </c>
    </row>
    <row r="1445" spans="1:6">
      <c r="A1445">
        <v>637522</v>
      </c>
      <c r="B1445">
        <v>2</v>
      </c>
      <c r="C1445">
        <v>1</v>
      </c>
      <c r="D1445" s="32">
        <v>43068.751689814817</v>
      </c>
      <c r="E1445">
        <v>4</v>
      </c>
      <c r="F1445" t="s">
        <v>15</v>
      </c>
    </row>
    <row r="1446" spans="1:6">
      <c r="A1446">
        <v>229844</v>
      </c>
      <c r="B1446">
        <v>2</v>
      </c>
      <c r="C1446">
        <v>1</v>
      </c>
      <c r="D1446" s="32">
        <v>43065.668090277781</v>
      </c>
      <c r="E1446">
        <v>7</v>
      </c>
      <c r="F1446" t="s">
        <v>15</v>
      </c>
    </row>
    <row r="1447" spans="1:6">
      <c r="A1447">
        <v>199886</v>
      </c>
      <c r="B1447">
        <v>2</v>
      </c>
      <c r="C1447">
        <v>1</v>
      </c>
      <c r="D1447" s="32">
        <v>43067.192083333335</v>
      </c>
      <c r="E1447">
        <v>5</v>
      </c>
      <c r="F1447" t="s">
        <v>15</v>
      </c>
    </row>
    <row r="1448" spans="1:6">
      <c r="A1448">
        <v>765990</v>
      </c>
      <c r="B1448">
        <v>2</v>
      </c>
      <c r="C1448">
        <v>1</v>
      </c>
      <c r="D1448" s="32">
        <v>43065.283564814818</v>
      </c>
      <c r="E1448">
        <v>7</v>
      </c>
      <c r="F1448" t="s">
        <v>15</v>
      </c>
    </row>
    <row r="1449" spans="1:6">
      <c r="A1449">
        <v>303810</v>
      </c>
      <c r="B1449">
        <v>2</v>
      </c>
      <c r="C1449">
        <v>1</v>
      </c>
      <c r="D1449" s="32">
        <v>43068.121481481481</v>
      </c>
      <c r="E1449">
        <v>4</v>
      </c>
      <c r="F1449" t="s">
        <v>15</v>
      </c>
    </row>
    <row r="1450" spans="1:6">
      <c r="A1450">
        <v>771896</v>
      </c>
      <c r="B1450">
        <v>2</v>
      </c>
      <c r="C1450">
        <v>1</v>
      </c>
      <c r="D1450" s="32">
        <v>43066.758796296293</v>
      </c>
      <c r="E1450">
        <v>6</v>
      </c>
      <c r="F1450" t="s">
        <v>15</v>
      </c>
    </row>
    <row r="1451" spans="1:6">
      <c r="A1451">
        <v>801481</v>
      </c>
      <c r="B1451">
        <v>2</v>
      </c>
      <c r="C1451">
        <v>1</v>
      </c>
      <c r="D1451" s="32">
        <v>43069.227893518517</v>
      </c>
      <c r="E1451">
        <v>3</v>
      </c>
      <c r="F1451" t="s">
        <v>15</v>
      </c>
    </row>
    <row r="1452" spans="1:6">
      <c r="A1452">
        <v>110845</v>
      </c>
      <c r="B1452">
        <v>2</v>
      </c>
      <c r="C1452">
        <v>2</v>
      </c>
      <c r="D1452" s="32">
        <v>43069.296770833331</v>
      </c>
      <c r="E1452">
        <v>3</v>
      </c>
      <c r="F1452" t="s">
        <v>15</v>
      </c>
    </row>
    <row r="1453" spans="1:6">
      <c r="A1453">
        <v>166629</v>
      </c>
      <c r="B1453">
        <v>2</v>
      </c>
      <c r="C1453">
        <v>1</v>
      </c>
      <c r="D1453" s="32">
        <v>43069.622488425928</v>
      </c>
      <c r="E1453">
        <v>3</v>
      </c>
      <c r="F1453" t="s">
        <v>15</v>
      </c>
    </row>
    <row r="1454" spans="1:6">
      <c r="A1454">
        <v>1009979</v>
      </c>
      <c r="B1454">
        <v>2</v>
      </c>
      <c r="C1454">
        <v>1</v>
      </c>
      <c r="D1454" s="32">
        <v>43065.679849537039</v>
      </c>
      <c r="E1454">
        <v>7</v>
      </c>
      <c r="F1454" t="s">
        <v>15</v>
      </c>
    </row>
    <row r="1455" spans="1:6">
      <c r="A1455">
        <v>226851</v>
      </c>
      <c r="B1455">
        <v>2</v>
      </c>
      <c r="C1455">
        <v>1</v>
      </c>
      <c r="D1455" s="32">
        <v>43069.266585648147</v>
      </c>
      <c r="E1455">
        <v>3</v>
      </c>
      <c r="F1455" t="s">
        <v>15</v>
      </c>
    </row>
    <row r="1456" spans="1:6">
      <c r="A1456">
        <v>839551</v>
      </c>
      <c r="B1456">
        <v>2</v>
      </c>
      <c r="C1456">
        <v>1</v>
      </c>
      <c r="D1456" s="32">
        <v>43065.656064814815</v>
      </c>
      <c r="E1456">
        <v>7</v>
      </c>
      <c r="F1456" t="s">
        <v>15</v>
      </c>
    </row>
    <row r="1457" spans="1:6">
      <c r="A1457">
        <v>498266</v>
      </c>
      <c r="B1457">
        <v>2</v>
      </c>
      <c r="C1457">
        <v>1</v>
      </c>
      <c r="D1457" s="32">
        <v>43068.462604166663</v>
      </c>
      <c r="E1457">
        <v>4</v>
      </c>
      <c r="F1457" t="s">
        <v>15</v>
      </c>
    </row>
    <row r="1458" spans="1:6">
      <c r="A1458">
        <v>148855</v>
      </c>
      <c r="B1458">
        <v>2</v>
      </c>
      <c r="C1458">
        <v>1</v>
      </c>
      <c r="D1458" s="32">
        <v>43067.678576388891</v>
      </c>
      <c r="E1458">
        <v>5</v>
      </c>
      <c r="F1458" t="s">
        <v>15</v>
      </c>
    </row>
    <row r="1459" spans="1:6">
      <c r="A1459">
        <v>627541</v>
      </c>
      <c r="B1459">
        <v>2</v>
      </c>
      <c r="C1459">
        <v>1</v>
      </c>
      <c r="D1459" s="32">
        <v>43069.457395833335</v>
      </c>
      <c r="E1459">
        <v>3</v>
      </c>
      <c r="F1459" t="s">
        <v>15</v>
      </c>
    </row>
    <row r="1460" spans="1:6">
      <c r="A1460">
        <v>120648</v>
      </c>
      <c r="B1460">
        <v>2</v>
      </c>
      <c r="C1460">
        <v>2</v>
      </c>
      <c r="D1460" s="32">
        <v>43069.234212962961</v>
      </c>
      <c r="E1460">
        <v>3</v>
      </c>
      <c r="F1460" t="s">
        <v>15</v>
      </c>
    </row>
    <row r="1461" spans="1:6">
      <c r="A1461">
        <v>104528</v>
      </c>
      <c r="B1461">
        <v>2</v>
      </c>
      <c r="C1461">
        <v>2</v>
      </c>
      <c r="D1461" s="32">
        <v>43065.635162037041</v>
      </c>
      <c r="E1461">
        <v>7</v>
      </c>
      <c r="F1461" t="s">
        <v>15</v>
      </c>
    </row>
    <row r="1462" spans="1:6">
      <c r="A1462">
        <v>489381</v>
      </c>
      <c r="B1462">
        <v>2</v>
      </c>
      <c r="C1462">
        <v>1</v>
      </c>
      <c r="D1462" s="32">
        <v>43064.960289351853</v>
      </c>
      <c r="E1462">
        <v>8</v>
      </c>
      <c r="F1462" t="s">
        <v>15</v>
      </c>
    </row>
    <row r="1463" spans="1:6">
      <c r="A1463">
        <v>276728</v>
      </c>
      <c r="B1463">
        <v>2</v>
      </c>
      <c r="C1463">
        <v>1</v>
      </c>
      <c r="D1463" s="32">
        <v>43065.384884259256</v>
      </c>
      <c r="E1463">
        <v>7</v>
      </c>
      <c r="F1463" t="s">
        <v>15</v>
      </c>
    </row>
    <row r="1464" spans="1:6">
      <c r="A1464">
        <v>46534</v>
      </c>
      <c r="B1464">
        <v>2</v>
      </c>
      <c r="C1464">
        <v>1</v>
      </c>
      <c r="D1464" s="32">
        <v>43066.245729166665</v>
      </c>
      <c r="E1464">
        <v>6</v>
      </c>
      <c r="F1464" t="s">
        <v>15</v>
      </c>
    </row>
    <row r="1465" spans="1:6">
      <c r="A1465">
        <v>350482</v>
      </c>
      <c r="B1465">
        <v>2</v>
      </c>
      <c r="C1465">
        <v>1</v>
      </c>
      <c r="D1465" s="32">
        <v>43065.205231481479</v>
      </c>
      <c r="E1465">
        <v>7</v>
      </c>
      <c r="F1465" t="s">
        <v>15</v>
      </c>
    </row>
    <row r="1466" spans="1:6">
      <c r="A1466">
        <v>882910</v>
      </c>
      <c r="B1466">
        <v>2</v>
      </c>
      <c r="C1466">
        <v>1</v>
      </c>
      <c r="D1466" s="32">
        <v>43069.461157407408</v>
      </c>
      <c r="E1466">
        <v>3</v>
      </c>
      <c r="F1466" t="s">
        <v>15</v>
      </c>
    </row>
    <row r="1467" spans="1:6">
      <c r="A1467">
        <v>696667</v>
      </c>
      <c r="B1467">
        <v>2</v>
      </c>
      <c r="C1467">
        <v>1</v>
      </c>
      <c r="D1467" s="32">
        <v>43066.077233796299</v>
      </c>
      <c r="E1467">
        <v>6</v>
      </c>
      <c r="F1467" t="s">
        <v>15</v>
      </c>
    </row>
    <row r="1468" spans="1:6">
      <c r="A1468">
        <v>941592</v>
      </c>
      <c r="B1468">
        <v>2</v>
      </c>
      <c r="C1468">
        <v>1</v>
      </c>
      <c r="D1468" s="32">
        <v>43066.566122685188</v>
      </c>
      <c r="E1468">
        <v>6</v>
      </c>
      <c r="F1468" t="s">
        <v>15</v>
      </c>
    </row>
    <row r="1469" spans="1:6">
      <c r="A1469">
        <v>882638</v>
      </c>
      <c r="B1469">
        <v>2</v>
      </c>
      <c r="C1469">
        <v>1</v>
      </c>
      <c r="D1469" s="32">
        <v>43068.189456018517</v>
      </c>
      <c r="E1469">
        <v>4</v>
      </c>
      <c r="F1469" t="s">
        <v>15</v>
      </c>
    </row>
    <row r="1470" spans="1:6">
      <c r="A1470">
        <v>73580</v>
      </c>
      <c r="B1470">
        <v>2</v>
      </c>
      <c r="C1470">
        <v>1</v>
      </c>
      <c r="D1470" s="32">
        <v>43064.580254629633</v>
      </c>
      <c r="E1470">
        <v>8</v>
      </c>
      <c r="F1470" t="s">
        <v>15</v>
      </c>
    </row>
    <row r="1471" spans="1:6">
      <c r="A1471">
        <v>875191</v>
      </c>
      <c r="B1471">
        <v>2</v>
      </c>
      <c r="C1471">
        <v>1</v>
      </c>
      <c r="D1471" s="32">
        <v>43066.371550925927</v>
      </c>
      <c r="E1471">
        <v>6</v>
      </c>
      <c r="F1471" t="s">
        <v>15</v>
      </c>
    </row>
    <row r="1472" spans="1:6">
      <c r="A1472">
        <v>263231</v>
      </c>
      <c r="B1472">
        <v>2</v>
      </c>
      <c r="C1472">
        <v>1</v>
      </c>
      <c r="D1472" s="32">
        <v>43067.022696759261</v>
      </c>
      <c r="E1472">
        <v>5</v>
      </c>
      <c r="F1472" t="s">
        <v>15</v>
      </c>
    </row>
    <row r="1473" spans="1:6">
      <c r="A1473">
        <v>599790</v>
      </c>
      <c r="B1473">
        <v>2</v>
      </c>
      <c r="C1473">
        <v>2</v>
      </c>
      <c r="D1473" s="32">
        <v>43065.176631944443</v>
      </c>
      <c r="E1473">
        <v>7</v>
      </c>
      <c r="F1473" t="s">
        <v>15</v>
      </c>
    </row>
    <row r="1474" spans="1:6">
      <c r="A1474">
        <v>187096</v>
      </c>
      <c r="B1474">
        <v>2</v>
      </c>
      <c r="C1474">
        <v>2</v>
      </c>
      <c r="D1474" s="32">
        <v>43069.310289351852</v>
      </c>
      <c r="E1474">
        <v>3</v>
      </c>
      <c r="F1474" t="s">
        <v>15</v>
      </c>
    </row>
    <row r="1475" spans="1:6">
      <c r="A1475">
        <v>895014</v>
      </c>
      <c r="B1475">
        <v>2</v>
      </c>
      <c r="C1475">
        <v>1</v>
      </c>
      <c r="D1475" s="32">
        <v>43064.278564814813</v>
      </c>
      <c r="E1475">
        <v>8</v>
      </c>
      <c r="F1475" t="s">
        <v>15</v>
      </c>
    </row>
    <row r="1476" spans="1:6">
      <c r="A1476">
        <v>522666</v>
      </c>
      <c r="B1476">
        <v>2</v>
      </c>
      <c r="C1476">
        <v>1</v>
      </c>
      <c r="D1476" s="32">
        <v>43066.120763888888</v>
      </c>
      <c r="E1476">
        <v>6</v>
      </c>
      <c r="F1476" t="s">
        <v>15</v>
      </c>
    </row>
    <row r="1477" spans="1:6">
      <c r="A1477">
        <v>942128</v>
      </c>
      <c r="B1477">
        <v>2</v>
      </c>
      <c r="C1477">
        <v>1</v>
      </c>
      <c r="D1477" s="32">
        <v>43065.546909722223</v>
      </c>
      <c r="E1477">
        <v>7</v>
      </c>
      <c r="F1477" t="s">
        <v>15</v>
      </c>
    </row>
    <row r="1478" spans="1:6">
      <c r="A1478">
        <v>37341</v>
      </c>
      <c r="B1478">
        <v>2</v>
      </c>
      <c r="C1478">
        <v>1</v>
      </c>
      <c r="D1478" s="32">
        <v>43066.571585648147</v>
      </c>
      <c r="E1478">
        <v>6</v>
      </c>
      <c r="F1478" t="s">
        <v>15</v>
      </c>
    </row>
    <row r="1479" spans="1:6">
      <c r="A1479">
        <v>890934</v>
      </c>
      <c r="B1479">
        <v>2</v>
      </c>
      <c r="C1479">
        <v>1</v>
      </c>
      <c r="D1479" s="32">
        <v>43067.582152777781</v>
      </c>
      <c r="E1479">
        <v>5</v>
      </c>
      <c r="F1479" t="s">
        <v>15</v>
      </c>
    </row>
    <row r="1480" spans="1:6">
      <c r="A1480">
        <v>769657</v>
      </c>
      <c r="B1480">
        <v>2</v>
      </c>
      <c r="C1480">
        <v>1</v>
      </c>
      <c r="D1480" s="32">
        <v>43067.54283564815</v>
      </c>
      <c r="E1480">
        <v>5</v>
      </c>
      <c r="F1480" t="s">
        <v>15</v>
      </c>
    </row>
    <row r="1481" spans="1:6">
      <c r="A1481">
        <v>873940</v>
      </c>
      <c r="B1481">
        <v>2</v>
      </c>
      <c r="C1481">
        <v>1</v>
      </c>
      <c r="D1481" s="32">
        <v>43065.478506944448</v>
      </c>
      <c r="E1481">
        <v>7</v>
      </c>
      <c r="F1481" t="s">
        <v>15</v>
      </c>
    </row>
    <row r="1482" spans="1:6">
      <c r="A1482">
        <v>317264</v>
      </c>
      <c r="B1482">
        <v>2</v>
      </c>
      <c r="C1482">
        <v>2</v>
      </c>
      <c r="D1482" s="32">
        <v>43067.202673611115</v>
      </c>
      <c r="E1482">
        <v>5</v>
      </c>
      <c r="F1482" t="s">
        <v>15</v>
      </c>
    </row>
    <row r="1483" spans="1:6">
      <c r="A1483">
        <v>269540</v>
      </c>
      <c r="B1483">
        <v>2</v>
      </c>
      <c r="C1483">
        <v>1</v>
      </c>
      <c r="D1483" s="32">
        <v>43064.612453703703</v>
      </c>
      <c r="E1483">
        <v>8</v>
      </c>
      <c r="F1483" t="s">
        <v>15</v>
      </c>
    </row>
    <row r="1484" spans="1:6">
      <c r="A1484">
        <v>298096</v>
      </c>
      <c r="B1484">
        <v>2</v>
      </c>
      <c r="C1484">
        <v>1</v>
      </c>
      <c r="D1484" s="32">
        <v>43067.571238425924</v>
      </c>
      <c r="E1484">
        <v>5</v>
      </c>
      <c r="F1484" t="s">
        <v>15</v>
      </c>
    </row>
    <row r="1485" spans="1:6">
      <c r="A1485">
        <v>169838</v>
      </c>
      <c r="B1485">
        <v>2</v>
      </c>
      <c r="C1485">
        <v>1</v>
      </c>
      <c r="D1485" s="32">
        <v>43066.560729166667</v>
      </c>
      <c r="E1485">
        <v>6</v>
      </c>
      <c r="F1485" t="s">
        <v>15</v>
      </c>
    </row>
    <row r="1486" spans="1:6">
      <c r="A1486">
        <v>439298</v>
      </c>
      <c r="B1486">
        <v>2</v>
      </c>
      <c r="C1486">
        <v>1</v>
      </c>
      <c r="D1486" s="32">
        <v>43066.67396990741</v>
      </c>
      <c r="E1486">
        <v>6</v>
      </c>
      <c r="F1486" t="s">
        <v>15</v>
      </c>
    </row>
    <row r="1487" spans="1:6">
      <c r="A1487">
        <v>609082</v>
      </c>
      <c r="B1487">
        <v>2</v>
      </c>
      <c r="C1487">
        <v>1</v>
      </c>
      <c r="D1487" s="32">
        <v>43069.47074074074</v>
      </c>
      <c r="E1487">
        <v>3</v>
      </c>
      <c r="F1487" t="s">
        <v>15</v>
      </c>
    </row>
    <row r="1488" spans="1:6">
      <c r="A1488">
        <v>996356</v>
      </c>
      <c r="B1488">
        <v>2</v>
      </c>
      <c r="C1488">
        <v>2</v>
      </c>
      <c r="D1488" s="32">
        <v>43068.137442129628</v>
      </c>
      <c r="E1488">
        <v>4</v>
      </c>
      <c r="F1488" t="s">
        <v>15</v>
      </c>
    </row>
    <row r="1489" spans="1:6">
      <c r="A1489">
        <v>475830</v>
      </c>
      <c r="B1489">
        <v>2</v>
      </c>
      <c r="C1489">
        <v>1</v>
      </c>
      <c r="D1489" s="32">
        <v>43069.549421296295</v>
      </c>
      <c r="E1489">
        <v>3</v>
      </c>
      <c r="F1489" t="s">
        <v>15</v>
      </c>
    </row>
    <row r="1490" spans="1:6">
      <c r="A1490">
        <v>567882</v>
      </c>
      <c r="B1490">
        <v>2</v>
      </c>
      <c r="C1490">
        <v>1</v>
      </c>
      <c r="D1490" s="32">
        <v>43069.544282407405</v>
      </c>
      <c r="E1490">
        <v>3</v>
      </c>
      <c r="F1490" t="s">
        <v>15</v>
      </c>
    </row>
    <row r="1491" spans="1:6">
      <c r="A1491">
        <v>663026</v>
      </c>
      <c r="B1491">
        <v>2</v>
      </c>
      <c r="C1491">
        <v>1</v>
      </c>
      <c r="D1491" s="32">
        <v>43066.658391203702</v>
      </c>
      <c r="E1491">
        <v>6</v>
      </c>
      <c r="F1491" t="s">
        <v>15</v>
      </c>
    </row>
    <row r="1492" spans="1:6">
      <c r="A1492">
        <v>406260</v>
      </c>
      <c r="B1492">
        <v>2</v>
      </c>
      <c r="C1492">
        <v>2</v>
      </c>
      <c r="D1492" s="32">
        <v>43068.61822916667</v>
      </c>
      <c r="E1492">
        <v>4</v>
      </c>
      <c r="F1492" t="s">
        <v>15</v>
      </c>
    </row>
    <row r="1493" spans="1:6">
      <c r="A1493">
        <v>982891</v>
      </c>
      <c r="B1493">
        <v>2</v>
      </c>
      <c r="C1493">
        <v>1</v>
      </c>
      <c r="D1493" s="32">
        <v>43067.356909722221</v>
      </c>
      <c r="E1493">
        <v>5</v>
      </c>
      <c r="F1493" t="s">
        <v>15</v>
      </c>
    </row>
    <row r="1494" spans="1:6">
      <c r="A1494">
        <v>941500</v>
      </c>
      <c r="B1494">
        <v>2</v>
      </c>
      <c r="C1494">
        <v>1</v>
      </c>
      <c r="D1494" s="32">
        <v>43069.051493055558</v>
      </c>
      <c r="E1494">
        <v>3</v>
      </c>
      <c r="F1494" t="s">
        <v>15</v>
      </c>
    </row>
    <row r="1495" spans="1:6">
      <c r="A1495">
        <v>479241</v>
      </c>
      <c r="B1495">
        <v>2</v>
      </c>
      <c r="C1495">
        <v>1</v>
      </c>
      <c r="D1495" s="32">
        <v>43065.156504629631</v>
      </c>
      <c r="E1495">
        <v>7</v>
      </c>
      <c r="F1495" t="s">
        <v>15</v>
      </c>
    </row>
    <row r="1496" spans="1:6">
      <c r="A1496">
        <v>328641</v>
      </c>
      <c r="B1496">
        <v>2</v>
      </c>
      <c r="C1496">
        <v>1</v>
      </c>
      <c r="D1496" s="32">
        <v>43067.602314814816</v>
      </c>
      <c r="E1496">
        <v>5</v>
      </c>
      <c r="F1496" t="s">
        <v>15</v>
      </c>
    </row>
    <row r="1497" spans="1:6">
      <c r="A1497">
        <v>344117</v>
      </c>
      <c r="B1497">
        <v>2</v>
      </c>
      <c r="C1497">
        <v>1</v>
      </c>
      <c r="D1497" s="32">
        <v>43065.402777777781</v>
      </c>
      <c r="E1497">
        <v>7</v>
      </c>
      <c r="F1497" t="s">
        <v>15</v>
      </c>
    </row>
    <row r="1498" spans="1:6">
      <c r="A1498">
        <v>132962</v>
      </c>
      <c r="B1498">
        <v>2</v>
      </c>
      <c r="C1498">
        <v>1</v>
      </c>
      <c r="D1498" s="32">
        <v>43067.551631944443</v>
      </c>
      <c r="E1498">
        <v>5</v>
      </c>
      <c r="F1498" t="s">
        <v>15</v>
      </c>
    </row>
    <row r="1499" spans="1:6">
      <c r="A1499">
        <v>376574</v>
      </c>
      <c r="B1499">
        <v>2</v>
      </c>
      <c r="C1499">
        <v>1</v>
      </c>
      <c r="D1499" s="32">
        <v>43069.654872685183</v>
      </c>
      <c r="E1499">
        <v>3</v>
      </c>
      <c r="F1499" t="s">
        <v>15</v>
      </c>
    </row>
    <row r="1500" spans="1:6">
      <c r="A1500">
        <v>669912</v>
      </c>
      <c r="B1500">
        <v>2</v>
      </c>
      <c r="C1500">
        <v>1</v>
      </c>
      <c r="D1500" s="32">
        <v>43064.258900462963</v>
      </c>
      <c r="E1500">
        <v>8</v>
      </c>
      <c r="F1500" t="s">
        <v>15</v>
      </c>
    </row>
    <row r="1501" spans="1:6">
      <c r="A1501">
        <v>744326</v>
      </c>
      <c r="B1501">
        <v>2</v>
      </c>
      <c r="C1501">
        <v>2</v>
      </c>
      <c r="D1501" s="32">
        <v>43065.187789351854</v>
      </c>
      <c r="E1501">
        <v>7</v>
      </c>
      <c r="F1501" t="s">
        <v>15</v>
      </c>
    </row>
    <row r="1502" spans="1:6">
      <c r="A1502">
        <v>190940</v>
      </c>
      <c r="B1502">
        <v>2</v>
      </c>
      <c r="C1502">
        <v>1</v>
      </c>
      <c r="D1502" s="32">
        <v>43064.596956018519</v>
      </c>
      <c r="E1502">
        <v>8</v>
      </c>
      <c r="F1502" t="s">
        <v>15</v>
      </c>
    </row>
    <row r="1503" spans="1:6">
      <c r="A1503">
        <v>136940</v>
      </c>
      <c r="B1503">
        <v>2</v>
      </c>
      <c r="C1503">
        <v>1</v>
      </c>
      <c r="D1503" s="32">
        <v>43068.021921296298</v>
      </c>
      <c r="E1503">
        <v>4</v>
      </c>
      <c r="F1503" t="s">
        <v>15</v>
      </c>
    </row>
    <row r="1504" spans="1:6">
      <c r="A1504">
        <v>608261</v>
      </c>
      <c r="B1504">
        <v>2</v>
      </c>
      <c r="C1504">
        <v>1</v>
      </c>
      <c r="D1504" s="32">
        <v>43065.000879629632</v>
      </c>
      <c r="E1504">
        <v>7</v>
      </c>
      <c r="F1504" t="s">
        <v>15</v>
      </c>
    </row>
    <row r="1505" spans="1:6">
      <c r="A1505">
        <v>883243</v>
      </c>
      <c r="B1505">
        <v>2</v>
      </c>
      <c r="C1505">
        <v>1</v>
      </c>
      <c r="D1505" s="32">
        <v>43068.110185185185</v>
      </c>
      <c r="E1505">
        <v>4</v>
      </c>
      <c r="F1505" t="s">
        <v>15</v>
      </c>
    </row>
    <row r="1506" spans="1:6">
      <c r="A1506">
        <v>271414</v>
      </c>
      <c r="B1506">
        <v>2</v>
      </c>
      <c r="C1506">
        <v>1</v>
      </c>
      <c r="D1506" s="32">
        <v>43064.055914351855</v>
      </c>
      <c r="E1506">
        <v>8</v>
      </c>
      <c r="F1506" t="s">
        <v>15</v>
      </c>
    </row>
    <row r="1507" spans="1:6">
      <c r="A1507">
        <v>915183</v>
      </c>
      <c r="B1507">
        <v>2</v>
      </c>
      <c r="C1507">
        <v>1</v>
      </c>
      <c r="D1507" s="32">
        <v>43068.198530092595</v>
      </c>
      <c r="E1507">
        <v>4</v>
      </c>
      <c r="F1507" t="s">
        <v>15</v>
      </c>
    </row>
    <row r="1508" spans="1:6">
      <c r="A1508">
        <v>630881</v>
      </c>
      <c r="B1508">
        <v>2</v>
      </c>
      <c r="C1508">
        <v>1</v>
      </c>
      <c r="D1508" s="32">
        <v>43066.585358796299</v>
      </c>
      <c r="E1508">
        <v>6</v>
      </c>
      <c r="F1508" t="s">
        <v>15</v>
      </c>
    </row>
    <row r="1509" spans="1:6">
      <c r="A1509">
        <v>813357</v>
      </c>
      <c r="B1509">
        <v>2</v>
      </c>
      <c r="C1509">
        <v>1</v>
      </c>
      <c r="D1509" s="32">
        <v>43066.412060185183</v>
      </c>
      <c r="E1509">
        <v>6</v>
      </c>
      <c r="F1509" t="s">
        <v>15</v>
      </c>
    </row>
    <row r="1510" spans="1:6">
      <c r="A1510">
        <v>611023</v>
      </c>
      <c r="B1510">
        <v>2</v>
      </c>
      <c r="C1510">
        <v>2</v>
      </c>
      <c r="D1510" s="32">
        <v>43065.097557870373</v>
      </c>
      <c r="E1510">
        <v>7</v>
      </c>
      <c r="F1510" t="s">
        <v>15</v>
      </c>
    </row>
    <row r="1511" spans="1:6">
      <c r="A1511">
        <v>103001</v>
      </c>
      <c r="B1511">
        <v>2</v>
      </c>
      <c r="C1511">
        <v>2</v>
      </c>
      <c r="D1511" s="32">
        <v>43068.513078703705</v>
      </c>
      <c r="E1511">
        <v>4</v>
      </c>
      <c r="F1511" t="s">
        <v>15</v>
      </c>
    </row>
    <row r="1512" spans="1:6">
      <c r="A1512">
        <v>464687</v>
      </c>
      <c r="B1512">
        <v>2</v>
      </c>
      <c r="C1512">
        <v>1</v>
      </c>
      <c r="D1512" s="32">
        <v>43069.343842592592</v>
      </c>
      <c r="E1512">
        <v>3</v>
      </c>
      <c r="F1512" t="s">
        <v>15</v>
      </c>
    </row>
    <row r="1513" spans="1:6">
      <c r="A1513">
        <v>429339</v>
      </c>
      <c r="B1513">
        <v>2</v>
      </c>
      <c r="C1513">
        <v>1</v>
      </c>
      <c r="D1513" s="32">
        <v>43066.522789351853</v>
      </c>
      <c r="E1513">
        <v>6</v>
      </c>
      <c r="F1513" t="s">
        <v>15</v>
      </c>
    </row>
    <row r="1514" spans="1:6">
      <c r="A1514">
        <v>906163</v>
      </c>
      <c r="B1514">
        <v>2</v>
      </c>
      <c r="C1514">
        <v>1</v>
      </c>
      <c r="D1514" s="32">
        <v>43068.075995370367</v>
      </c>
      <c r="E1514">
        <v>4</v>
      </c>
      <c r="F1514" t="s">
        <v>15</v>
      </c>
    </row>
    <row r="1515" spans="1:6">
      <c r="A1515">
        <v>619815</v>
      </c>
      <c r="B1515">
        <v>2</v>
      </c>
      <c r="C1515">
        <v>1</v>
      </c>
      <c r="D1515" s="32">
        <v>43065.365347222221</v>
      </c>
      <c r="E1515">
        <v>7</v>
      </c>
      <c r="F1515" t="s">
        <v>15</v>
      </c>
    </row>
    <row r="1516" spans="1:6">
      <c r="A1516">
        <v>743955</v>
      </c>
      <c r="B1516">
        <v>2</v>
      </c>
      <c r="C1516">
        <v>2</v>
      </c>
      <c r="D1516" s="32">
        <v>43068.162905092591</v>
      </c>
      <c r="E1516">
        <v>4</v>
      </c>
      <c r="F1516" t="s">
        <v>15</v>
      </c>
    </row>
    <row r="1517" spans="1:6">
      <c r="A1517">
        <v>907209</v>
      </c>
      <c r="B1517">
        <v>2</v>
      </c>
      <c r="C1517">
        <v>1</v>
      </c>
      <c r="D1517" s="32">
        <v>43066.538703703707</v>
      </c>
      <c r="E1517">
        <v>6</v>
      </c>
      <c r="F1517" t="s">
        <v>15</v>
      </c>
    </row>
    <row r="1518" spans="1:6">
      <c r="A1518">
        <v>502141</v>
      </c>
      <c r="B1518">
        <v>2</v>
      </c>
      <c r="C1518">
        <v>1</v>
      </c>
      <c r="D1518" s="32">
        <v>43068.026504629626</v>
      </c>
      <c r="E1518">
        <v>4</v>
      </c>
      <c r="F1518" t="s">
        <v>15</v>
      </c>
    </row>
    <row r="1519" spans="1:6">
      <c r="A1519">
        <v>930622</v>
      </c>
      <c r="B1519">
        <v>2</v>
      </c>
      <c r="C1519">
        <v>1</v>
      </c>
      <c r="D1519" s="32">
        <v>43069.053067129629</v>
      </c>
      <c r="E1519">
        <v>3</v>
      </c>
      <c r="F1519" t="s">
        <v>15</v>
      </c>
    </row>
    <row r="1520" spans="1:6">
      <c r="A1520">
        <v>556352</v>
      </c>
      <c r="B1520">
        <v>2</v>
      </c>
      <c r="C1520">
        <v>1</v>
      </c>
      <c r="D1520" s="32">
        <v>43064.178344907406</v>
      </c>
      <c r="E1520">
        <v>8</v>
      </c>
      <c r="F1520" t="s">
        <v>15</v>
      </c>
    </row>
    <row r="1521" spans="1:6">
      <c r="A1521">
        <v>814505</v>
      </c>
      <c r="B1521">
        <v>2</v>
      </c>
      <c r="C1521">
        <v>1</v>
      </c>
      <c r="D1521" s="32">
        <v>43069.194988425923</v>
      </c>
      <c r="E1521">
        <v>3</v>
      </c>
      <c r="F1521" t="s">
        <v>15</v>
      </c>
    </row>
    <row r="1522" spans="1:6">
      <c r="A1522">
        <v>351276</v>
      </c>
      <c r="B1522">
        <v>2</v>
      </c>
      <c r="C1522">
        <v>1</v>
      </c>
      <c r="D1522" s="32">
        <v>43066.63521990741</v>
      </c>
      <c r="E1522">
        <v>6</v>
      </c>
      <c r="F1522" t="s">
        <v>15</v>
      </c>
    </row>
    <row r="1523" spans="1:6">
      <c r="A1523">
        <v>734580</v>
      </c>
      <c r="B1523">
        <v>2</v>
      </c>
      <c r="C1523">
        <v>1</v>
      </c>
      <c r="D1523" s="32">
        <v>43068.181597222225</v>
      </c>
      <c r="E1523">
        <v>4</v>
      </c>
      <c r="F1523" t="s">
        <v>15</v>
      </c>
    </row>
    <row r="1524" spans="1:6">
      <c r="A1524">
        <v>135149</v>
      </c>
      <c r="B1524">
        <v>2</v>
      </c>
      <c r="C1524">
        <v>1</v>
      </c>
      <c r="D1524" s="32">
        <v>43068.183912037035</v>
      </c>
      <c r="E1524">
        <v>4</v>
      </c>
      <c r="F1524" t="s">
        <v>15</v>
      </c>
    </row>
    <row r="1525" spans="1:6">
      <c r="A1525">
        <v>875838</v>
      </c>
      <c r="B1525">
        <v>2</v>
      </c>
      <c r="C1525">
        <v>1</v>
      </c>
      <c r="D1525" s="32">
        <v>43066.531365740739</v>
      </c>
      <c r="E1525">
        <v>6</v>
      </c>
      <c r="F1525" t="s">
        <v>15</v>
      </c>
    </row>
    <row r="1526" spans="1:6">
      <c r="A1526">
        <v>663317</v>
      </c>
      <c r="B1526">
        <v>2</v>
      </c>
      <c r="C1526">
        <v>1</v>
      </c>
      <c r="D1526" s="32">
        <v>43067.216782407406</v>
      </c>
      <c r="E1526">
        <v>5</v>
      </c>
      <c r="F1526" t="s">
        <v>15</v>
      </c>
    </row>
    <row r="1527" spans="1:6">
      <c r="A1527">
        <v>128968</v>
      </c>
      <c r="B1527">
        <v>2</v>
      </c>
      <c r="C1527">
        <v>1</v>
      </c>
      <c r="D1527" s="32">
        <v>43065.580057870371</v>
      </c>
      <c r="E1527">
        <v>7</v>
      </c>
      <c r="F1527" t="s">
        <v>15</v>
      </c>
    </row>
    <row r="1528" spans="1:6">
      <c r="A1528">
        <v>204939</v>
      </c>
      <c r="B1528">
        <v>2</v>
      </c>
      <c r="C1528">
        <v>1</v>
      </c>
      <c r="D1528" s="32">
        <v>43067.726331018515</v>
      </c>
      <c r="E1528">
        <v>5</v>
      </c>
      <c r="F1528" t="s">
        <v>15</v>
      </c>
    </row>
    <row r="1529" spans="1:6">
      <c r="A1529">
        <v>741194</v>
      </c>
      <c r="B1529">
        <v>2</v>
      </c>
      <c r="C1529">
        <v>1</v>
      </c>
      <c r="D1529" s="32">
        <v>43064.107708333337</v>
      </c>
      <c r="E1529">
        <v>8</v>
      </c>
      <c r="F1529" t="s">
        <v>15</v>
      </c>
    </row>
    <row r="1530" spans="1:6">
      <c r="A1530">
        <v>474856</v>
      </c>
      <c r="B1530">
        <v>2</v>
      </c>
      <c r="C1530">
        <v>1</v>
      </c>
      <c r="D1530" s="32">
        <v>43068.363819444443</v>
      </c>
      <c r="E1530">
        <v>4</v>
      </c>
      <c r="F1530" t="s">
        <v>15</v>
      </c>
    </row>
    <row r="1531" spans="1:6">
      <c r="A1531">
        <v>883194</v>
      </c>
      <c r="B1531">
        <v>2</v>
      </c>
      <c r="C1531">
        <v>1</v>
      </c>
      <c r="D1531" s="32">
        <v>43068.25377314815</v>
      </c>
      <c r="E1531">
        <v>4</v>
      </c>
      <c r="F1531" t="s">
        <v>15</v>
      </c>
    </row>
    <row r="1532" spans="1:6">
      <c r="A1532">
        <v>85561</v>
      </c>
      <c r="B1532">
        <v>2</v>
      </c>
      <c r="C1532">
        <v>1</v>
      </c>
      <c r="D1532" s="32">
        <v>43067.138136574074</v>
      </c>
      <c r="E1532">
        <v>5</v>
      </c>
      <c r="F1532" t="s">
        <v>15</v>
      </c>
    </row>
    <row r="1533" spans="1:6">
      <c r="A1533">
        <v>117836</v>
      </c>
      <c r="B1533">
        <v>2</v>
      </c>
      <c r="C1533">
        <v>1</v>
      </c>
      <c r="D1533" s="32">
        <v>43067.303564814814</v>
      </c>
      <c r="E1533">
        <v>5</v>
      </c>
      <c r="F1533" t="s">
        <v>15</v>
      </c>
    </row>
    <row r="1534" spans="1:6">
      <c r="A1534">
        <v>980572</v>
      </c>
      <c r="B1534">
        <v>2</v>
      </c>
      <c r="C1534">
        <v>1</v>
      </c>
      <c r="D1534" s="32">
        <v>43068.025578703702</v>
      </c>
      <c r="E1534">
        <v>4</v>
      </c>
      <c r="F1534" t="s">
        <v>15</v>
      </c>
    </row>
    <row r="1535" spans="1:6">
      <c r="A1535">
        <v>844316</v>
      </c>
      <c r="B1535">
        <v>2</v>
      </c>
      <c r="C1535">
        <v>2</v>
      </c>
      <c r="D1535" s="32">
        <v>43068.753657407404</v>
      </c>
      <c r="E1535">
        <v>4</v>
      </c>
      <c r="F1535" t="s">
        <v>15</v>
      </c>
    </row>
    <row r="1536" spans="1:6">
      <c r="A1536">
        <v>228735</v>
      </c>
      <c r="B1536">
        <v>2</v>
      </c>
      <c r="C1536">
        <v>1</v>
      </c>
      <c r="D1536" s="32">
        <v>43067.224074074074</v>
      </c>
      <c r="E1536">
        <v>5</v>
      </c>
      <c r="F1536" t="s">
        <v>15</v>
      </c>
    </row>
    <row r="1537" spans="1:6">
      <c r="A1537">
        <v>771700</v>
      </c>
      <c r="B1537">
        <v>2</v>
      </c>
      <c r="C1537">
        <v>1</v>
      </c>
      <c r="D1537" s="32">
        <v>43065.699907407405</v>
      </c>
      <c r="E1537">
        <v>7</v>
      </c>
      <c r="F1537" t="s">
        <v>15</v>
      </c>
    </row>
    <row r="1538" spans="1:6">
      <c r="A1538">
        <v>41071</v>
      </c>
      <c r="B1538">
        <v>2</v>
      </c>
      <c r="C1538">
        <v>1</v>
      </c>
      <c r="D1538" s="32">
        <v>43067.590208333335</v>
      </c>
      <c r="E1538">
        <v>5</v>
      </c>
      <c r="F1538" t="s">
        <v>15</v>
      </c>
    </row>
    <row r="1539" spans="1:6">
      <c r="A1539">
        <v>786529</v>
      </c>
      <c r="B1539">
        <v>2</v>
      </c>
      <c r="C1539">
        <v>1</v>
      </c>
      <c r="D1539" s="32">
        <v>43069.244363425925</v>
      </c>
      <c r="E1539">
        <v>3</v>
      </c>
      <c r="F1539" t="s">
        <v>15</v>
      </c>
    </row>
    <row r="1540" spans="1:6">
      <c r="A1540">
        <v>840066</v>
      </c>
      <c r="B1540">
        <v>2</v>
      </c>
      <c r="C1540">
        <v>2</v>
      </c>
      <c r="D1540" s="32">
        <v>43064.053599537037</v>
      </c>
      <c r="E1540">
        <v>8</v>
      </c>
      <c r="F1540" t="s">
        <v>15</v>
      </c>
    </row>
    <row r="1541" spans="1:6">
      <c r="A1541">
        <v>471560</v>
      </c>
      <c r="B1541">
        <v>2</v>
      </c>
      <c r="C1541">
        <v>2</v>
      </c>
      <c r="D1541" s="32">
        <v>43067.57880787037</v>
      </c>
      <c r="E1541">
        <v>5</v>
      </c>
      <c r="F1541" t="s">
        <v>15</v>
      </c>
    </row>
    <row r="1542" spans="1:6">
      <c r="A1542">
        <v>1010466</v>
      </c>
      <c r="B1542">
        <v>2</v>
      </c>
      <c r="C1542">
        <v>1</v>
      </c>
      <c r="D1542" s="32">
        <v>43068.119872685187</v>
      </c>
      <c r="E1542">
        <v>4</v>
      </c>
      <c r="F1542" t="s">
        <v>15</v>
      </c>
    </row>
    <row r="1543" spans="1:6">
      <c r="A1543">
        <v>973779</v>
      </c>
      <c r="B1543">
        <v>2</v>
      </c>
      <c r="C1543">
        <v>1</v>
      </c>
      <c r="D1543" s="32">
        <v>43066.36074074074</v>
      </c>
      <c r="E1543">
        <v>6</v>
      </c>
      <c r="F1543" t="s">
        <v>15</v>
      </c>
    </row>
    <row r="1544" spans="1:6">
      <c r="A1544">
        <v>79535</v>
      </c>
      <c r="B1544">
        <v>2</v>
      </c>
      <c r="C1544">
        <v>1</v>
      </c>
      <c r="D1544" s="32">
        <v>43065.57849537037</v>
      </c>
      <c r="E1544">
        <v>7</v>
      </c>
      <c r="F1544" t="s">
        <v>15</v>
      </c>
    </row>
    <row r="1545" spans="1:6">
      <c r="A1545">
        <v>904798</v>
      </c>
      <c r="B1545">
        <v>2</v>
      </c>
      <c r="C1545">
        <v>1</v>
      </c>
      <c r="D1545" s="32">
        <v>43064.071828703702</v>
      </c>
      <c r="E1545">
        <v>8</v>
      </c>
      <c r="F1545" t="s">
        <v>15</v>
      </c>
    </row>
    <row r="1546" spans="1:6">
      <c r="A1546">
        <v>121763</v>
      </c>
      <c r="B1546">
        <v>2</v>
      </c>
      <c r="C1546">
        <v>1</v>
      </c>
      <c r="D1546" s="32">
        <v>43067.110844907409</v>
      </c>
      <c r="E1546">
        <v>5</v>
      </c>
      <c r="F1546" t="s">
        <v>15</v>
      </c>
    </row>
    <row r="1547" spans="1:6">
      <c r="A1547">
        <v>445279</v>
      </c>
      <c r="B1547">
        <v>2</v>
      </c>
      <c r="C1547">
        <v>1</v>
      </c>
      <c r="D1547" s="32">
        <v>43064.569178240738</v>
      </c>
      <c r="E1547">
        <v>8</v>
      </c>
      <c r="F1547" t="s">
        <v>15</v>
      </c>
    </row>
    <row r="1548" spans="1:6">
      <c r="A1548">
        <v>701349</v>
      </c>
      <c r="B1548">
        <v>2</v>
      </c>
      <c r="C1548">
        <v>1</v>
      </c>
      <c r="D1548" s="32">
        <v>43068.144652777781</v>
      </c>
      <c r="E1548">
        <v>4</v>
      </c>
      <c r="F1548" t="s">
        <v>15</v>
      </c>
    </row>
    <row r="1549" spans="1:6">
      <c r="A1549">
        <v>254894</v>
      </c>
      <c r="B1549">
        <v>2</v>
      </c>
      <c r="C1549">
        <v>1</v>
      </c>
      <c r="D1549" s="32">
        <v>43067.316724537035</v>
      </c>
      <c r="E1549">
        <v>5</v>
      </c>
      <c r="F1549" t="s">
        <v>15</v>
      </c>
    </row>
    <row r="1550" spans="1:6">
      <c r="A1550">
        <v>840194</v>
      </c>
      <c r="B1550">
        <v>2</v>
      </c>
      <c r="C1550">
        <v>1</v>
      </c>
      <c r="D1550" s="32">
        <v>43064.241550925923</v>
      </c>
      <c r="E1550">
        <v>8</v>
      </c>
      <c r="F1550" t="s">
        <v>15</v>
      </c>
    </row>
    <row r="1551" spans="1:6">
      <c r="A1551">
        <v>818855</v>
      </c>
      <c r="B1551">
        <v>2</v>
      </c>
      <c r="C1551">
        <v>1</v>
      </c>
      <c r="D1551" s="32">
        <v>43069.606435185182</v>
      </c>
      <c r="E1551">
        <v>3</v>
      </c>
      <c r="F1551" t="s">
        <v>15</v>
      </c>
    </row>
    <row r="1552" spans="1:6">
      <c r="A1552">
        <v>738728</v>
      </c>
      <c r="B1552">
        <v>2</v>
      </c>
      <c r="C1552">
        <v>1</v>
      </c>
      <c r="D1552" s="32">
        <v>43067.681354166663</v>
      </c>
      <c r="E1552">
        <v>5</v>
      </c>
      <c r="F1552" t="s">
        <v>15</v>
      </c>
    </row>
    <row r="1553" spans="1:6">
      <c r="A1553">
        <v>742409</v>
      </c>
      <c r="B1553">
        <v>2</v>
      </c>
      <c r="C1553">
        <v>1</v>
      </c>
      <c r="D1553" s="32">
        <v>43066.515474537038</v>
      </c>
      <c r="E1553">
        <v>6</v>
      </c>
      <c r="F1553" t="s">
        <v>15</v>
      </c>
    </row>
    <row r="1554" spans="1:6">
      <c r="A1554">
        <v>601993</v>
      </c>
      <c r="B1554">
        <v>2</v>
      </c>
      <c r="C1554">
        <v>3</v>
      </c>
      <c r="D1554" s="32">
        <v>43064.636782407404</v>
      </c>
      <c r="E1554">
        <v>8</v>
      </c>
      <c r="F1554" t="s">
        <v>15</v>
      </c>
    </row>
    <row r="1555" spans="1:6">
      <c r="A1555">
        <v>755127</v>
      </c>
      <c r="B1555">
        <v>2</v>
      </c>
      <c r="C1555">
        <v>1</v>
      </c>
      <c r="D1555" s="32">
        <v>43069.474097222221</v>
      </c>
      <c r="E1555">
        <v>3</v>
      </c>
      <c r="F1555" t="s">
        <v>15</v>
      </c>
    </row>
    <row r="1556" spans="1:6">
      <c r="A1556">
        <v>931600</v>
      </c>
      <c r="B1556">
        <v>2</v>
      </c>
      <c r="C1556">
        <v>1</v>
      </c>
      <c r="D1556" s="32">
        <v>43067.522499999999</v>
      </c>
      <c r="E1556">
        <v>5</v>
      </c>
      <c r="F1556" t="s">
        <v>15</v>
      </c>
    </row>
    <row r="1557" spans="1:6">
      <c r="A1557">
        <v>202974</v>
      </c>
      <c r="B1557">
        <v>2</v>
      </c>
      <c r="C1557">
        <v>1</v>
      </c>
      <c r="D1557" s="32">
        <v>43069.231215277781</v>
      </c>
      <c r="E1557">
        <v>3</v>
      </c>
      <c r="F1557" t="s">
        <v>15</v>
      </c>
    </row>
    <row r="1558" spans="1:6">
      <c r="A1558">
        <v>662728</v>
      </c>
      <c r="B1558">
        <v>2</v>
      </c>
      <c r="C1558">
        <v>1</v>
      </c>
      <c r="D1558" s="32">
        <v>43064.311793981484</v>
      </c>
      <c r="E1558">
        <v>8</v>
      </c>
      <c r="F1558" t="s">
        <v>15</v>
      </c>
    </row>
    <row r="1559" spans="1:6">
      <c r="A1559">
        <v>293350</v>
      </c>
      <c r="B1559">
        <v>2</v>
      </c>
      <c r="C1559">
        <v>1</v>
      </c>
      <c r="D1559" s="32">
        <v>43066.590439814812</v>
      </c>
      <c r="E1559">
        <v>6</v>
      </c>
      <c r="F1559" t="s">
        <v>15</v>
      </c>
    </row>
    <row r="1560" spans="1:6">
      <c r="A1560">
        <v>130162</v>
      </c>
      <c r="B1560">
        <v>2</v>
      </c>
      <c r="C1560">
        <v>1</v>
      </c>
      <c r="D1560" s="32">
        <v>43064.609120370369</v>
      </c>
      <c r="E1560">
        <v>8</v>
      </c>
      <c r="F1560" t="s">
        <v>15</v>
      </c>
    </row>
    <row r="1561" spans="1:6">
      <c r="A1561">
        <v>935417</v>
      </c>
      <c r="B1561">
        <v>2</v>
      </c>
      <c r="C1561">
        <v>1</v>
      </c>
      <c r="D1561" s="32">
        <v>43069.075023148151</v>
      </c>
      <c r="E1561">
        <v>3</v>
      </c>
      <c r="F1561" t="s">
        <v>15</v>
      </c>
    </row>
    <row r="1562" spans="1:6">
      <c r="A1562">
        <v>881734</v>
      </c>
      <c r="B1562">
        <v>2</v>
      </c>
      <c r="C1562">
        <v>1</v>
      </c>
      <c r="D1562" s="32">
        <v>43065.388009259259</v>
      </c>
      <c r="E1562">
        <v>7</v>
      </c>
      <c r="F1562" t="s">
        <v>15</v>
      </c>
    </row>
    <row r="1563" spans="1:6">
      <c r="A1563">
        <v>155211</v>
      </c>
      <c r="B1563">
        <v>2</v>
      </c>
      <c r="C1563">
        <v>1</v>
      </c>
      <c r="D1563" s="32">
        <v>43069.153726851851</v>
      </c>
      <c r="E1563">
        <v>3</v>
      </c>
      <c r="F1563" t="s">
        <v>15</v>
      </c>
    </row>
    <row r="1564" spans="1:6">
      <c r="A1564">
        <v>942754</v>
      </c>
      <c r="B1564">
        <v>2</v>
      </c>
      <c r="C1564">
        <v>1</v>
      </c>
      <c r="D1564" s="32">
        <v>43067.115694444445</v>
      </c>
      <c r="E1564">
        <v>5</v>
      </c>
      <c r="F1564" t="s">
        <v>15</v>
      </c>
    </row>
    <row r="1565" spans="1:6">
      <c r="A1565">
        <v>750045</v>
      </c>
      <c r="B1565">
        <v>2</v>
      </c>
      <c r="C1565">
        <v>1</v>
      </c>
      <c r="D1565" s="32">
        <v>43066.015173611115</v>
      </c>
      <c r="E1565">
        <v>6</v>
      </c>
      <c r="F1565" t="s">
        <v>15</v>
      </c>
    </row>
    <row r="1566" spans="1:6">
      <c r="A1566">
        <v>698782</v>
      </c>
      <c r="B1566">
        <v>2</v>
      </c>
      <c r="C1566">
        <v>1</v>
      </c>
      <c r="D1566" s="32">
        <v>43069.227638888886</v>
      </c>
      <c r="E1566">
        <v>3</v>
      </c>
      <c r="F1566" t="s">
        <v>15</v>
      </c>
    </row>
    <row r="1567" spans="1:6">
      <c r="A1567">
        <v>415232</v>
      </c>
      <c r="B1567">
        <v>2</v>
      </c>
      <c r="C1567">
        <v>2</v>
      </c>
      <c r="D1567" s="32">
        <v>43068.514027777775</v>
      </c>
      <c r="E1567">
        <v>4</v>
      </c>
      <c r="F1567" t="s">
        <v>15</v>
      </c>
    </row>
    <row r="1568" spans="1:6">
      <c r="A1568">
        <v>384850</v>
      </c>
      <c r="B1568">
        <v>2</v>
      </c>
      <c r="C1568">
        <v>1</v>
      </c>
      <c r="D1568" s="32">
        <v>43067.441701388889</v>
      </c>
      <c r="E1568">
        <v>5</v>
      </c>
      <c r="F1568" t="s">
        <v>15</v>
      </c>
    </row>
    <row r="1569" spans="1:6">
      <c r="A1569">
        <v>989217</v>
      </c>
      <c r="B1569">
        <v>2</v>
      </c>
      <c r="C1569">
        <v>1</v>
      </c>
      <c r="D1569" s="32">
        <v>43069.083912037036</v>
      </c>
      <c r="E1569">
        <v>3</v>
      </c>
      <c r="F1569" t="s">
        <v>15</v>
      </c>
    </row>
    <row r="1570" spans="1:6">
      <c r="A1570">
        <v>327038</v>
      </c>
      <c r="B1570">
        <v>2</v>
      </c>
      <c r="C1570">
        <v>1</v>
      </c>
      <c r="D1570" s="32">
        <v>43067.576018518521</v>
      </c>
      <c r="E1570">
        <v>5</v>
      </c>
      <c r="F1570" t="s">
        <v>15</v>
      </c>
    </row>
    <row r="1571" spans="1:6">
      <c r="A1571">
        <v>564891</v>
      </c>
      <c r="B1571">
        <v>2</v>
      </c>
      <c r="C1571">
        <v>1</v>
      </c>
      <c r="D1571" s="32">
        <v>43066.570335648146</v>
      </c>
      <c r="E1571">
        <v>6</v>
      </c>
      <c r="F1571" t="s">
        <v>15</v>
      </c>
    </row>
    <row r="1572" spans="1:6">
      <c r="A1572">
        <v>691050</v>
      </c>
      <c r="B1572">
        <v>2</v>
      </c>
      <c r="C1572">
        <v>1</v>
      </c>
      <c r="D1572" s="32">
        <v>43065.524305555555</v>
      </c>
      <c r="E1572">
        <v>7</v>
      </c>
      <c r="F1572" t="s">
        <v>15</v>
      </c>
    </row>
    <row r="1573" spans="1:6">
      <c r="A1573">
        <v>763441</v>
      </c>
      <c r="B1573">
        <v>2</v>
      </c>
      <c r="C1573">
        <v>1</v>
      </c>
      <c r="D1573" s="32">
        <v>43066.49863425926</v>
      </c>
      <c r="E1573">
        <v>6</v>
      </c>
      <c r="F1573" t="s">
        <v>15</v>
      </c>
    </row>
    <row r="1574" spans="1:6">
      <c r="A1574">
        <v>90280</v>
      </c>
      <c r="B1574">
        <v>2</v>
      </c>
      <c r="C1574">
        <v>1</v>
      </c>
      <c r="D1574" s="32">
        <v>43064.622152777774</v>
      </c>
      <c r="E1574">
        <v>8</v>
      </c>
      <c r="F1574" t="s">
        <v>15</v>
      </c>
    </row>
    <row r="1575" spans="1:6">
      <c r="A1575">
        <v>416563</v>
      </c>
      <c r="B1575">
        <v>2</v>
      </c>
      <c r="C1575">
        <v>1</v>
      </c>
      <c r="D1575" s="32">
        <v>43067.615115740744</v>
      </c>
      <c r="E1575">
        <v>5</v>
      </c>
      <c r="F1575" t="s">
        <v>15</v>
      </c>
    </row>
    <row r="1576" spans="1:6">
      <c r="A1576">
        <v>488215</v>
      </c>
      <c r="B1576">
        <v>2</v>
      </c>
      <c r="C1576">
        <v>1</v>
      </c>
      <c r="D1576" s="32">
        <v>43065.33489583333</v>
      </c>
      <c r="E1576">
        <v>7</v>
      </c>
      <c r="F1576" t="s">
        <v>15</v>
      </c>
    </row>
    <row r="1577" spans="1:6">
      <c r="A1577">
        <v>103201</v>
      </c>
      <c r="B1577">
        <v>2</v>
      </c>
      <c r="C1577">
        <v>1</v>
      </c>
      <c r="D1577" s="32">
        <v>43067.699166666665</v>
      </c>
      <c r="E1577">
        <v>5</v>
      </c>
      <c r="F1577" t="s">
        <v>15</v>
      </c>
    </row>
    <row r="1578" spans="1:6">
      <c r="A1578">
        <v>553782</v>
      </c>
      <c r="B1578">
        <v>2</v>
      </c>
      <c r="C1578">
        <v>1</v>
      </c>
      <c r="D1578" s="32">
        <v>43068.111076388886</v>
      </c>
      <c r="E1578">
        <v>4</v>
      </c>
      <c r="F1578" t="s">
        <v>15</v>
      </c>
    </row>
    <row r="1579" spans="1:6">
      <c r="A1579">
        <v>582148</v>
      </c>
      <c r="B1579">
        <v>2</v>
      </c>
      <c r="C1579">
        <v>1</v>
      </c>
      <c r="D1579" s="32">
        <v>43065.304629629631</v>
      </c>
      <c r="E1579">
        <v>7</v>
      </c>
      <c r="F1579" t="s">
        <v>15</v>
      </c>
    </row>
    <row r="1580" spans="1:6">
      <c r="A1580">
        <v>654609</v>
      </c>
      <c r="B1580">
        <v>2</v>
      </c>
      <c r="C1580">
        <v>1</v>
      </c>
      <c r="D1580" s="32">
        <v>43066.103333333333</v>
      </c>
      <c r="E1580">
        <v>6</v>
      </c>
      <c r="F1580" t="s">
        <v>15</v>
      </c>
    </row>
    <row r="1581" spans="1:6">
      <c r="A1581">
        <v>144409</v>
      </c>
      <c r="B1581">
        <v>2</v>
      </c>
      <c r="C1581">
        <v>2</v>
      </c>
      <c r="D1581" s="32">
        <v>43066.107731481483</v>
      </c>
      <c r="E1581">
        <v>6</v>
      </c>
      <c r="F1581" t="s">
        <v>15</v>
      </c>
    </row>
    <row r="1582" spans="1:6">
      <c r="A1582">
        <v>423316</v>
      </c>
      <c r="B1582">
        <v>2</v>
      </c>
      <c r="C1582">
        <v>1</v>
      </c>
      <c r="D1582" s="32">
        <v>43066.188275462962</v>
      </c>
      <c r="E1582">
        <v>6</v>
      </c>
      <c r="F1582" t="s">
        <v>15</v>
      </c>
    </row>
    <row r="1583" spans="1:6">
      <c r="A1583">
        <v>225481</v>
      </c>
      <c r="B1583">
        <v>2</v>
      </c>
      <c r="C1583">
        <v>1</v>
      </c>
      <c r="D1583" s="32">
        <v>43069.446215277778</v>
      </c>
      <c r="E1583">
        <v>3</v>
      </c>
      <c r="F1583" t="s">
        <v>15</v>
      </c>
    </row>
    <row r="1584" spans="1:6">
      <c r="A1584">
        <v>462554</v>
      </c>
      <c r="B1584">
        <v>2</v>
      </c>
      <c r="C1584">
        <v>1</v>
      </c>
      <c r="D1584" s="32">
        <v>43064.305127314816</v>
      </c>
      <c r="E1584">
        <v>8</v>
      </c>
      <c r="F1584" t="s">
        <v>15</v>
      </c>
    </row>
    <row r="1585" spans="1:6">
      <c r="A1585">
        <v>158519</v>
      </c>
      <c r="B1585">
        <v>2</v>
      </c>
      <c r="C1585">
        <v>1</v>
      </c>
      <c r="D1585" s="32">
        <v>43069.645844907405</v>
      </c>
      <c r="E1585">
        <v>3</v>
      </c>
      <c r="F1585" t="s">
        <v>15</v>
      </c>
    </row>
    <row r="1586" spans="1:6">
      <c r="A1586">
        <v>31079</v>
      </c>
      <c r="B1586">
        <v>2</v>
      </c>
      <c r="C1586">
        <v>1</v>
      </c>
      <c r="D1586" s="32">
        <v>43068.942673611113</v>
      </c>
      <c r="E1586">
        <v>4</v>
      </c>
      <c r="F1586" t="s">
        <v>15</v>
      </c>
    </row>
    <row r="1587" spans="1:6">
      <c r="A1587">
        <v>90043</v>
      </c>
      <c r="B1587">
        <v>2</v>
      </c>
      <c r="C1587">
        <v>1</v>
      </c>
      <c r="D1587" s="32">
        <v>43069.582986111112</v>
      </c>
      <c r="E1587">
        <v>3</v>
      </c>
      <c r="F1587" t="s">
        <v>15</v>
      </c>
    </row>
    <row r="1588" spans="1:6">
      <c r="A1588">
        <v>409565</v>
      </c>
      <c r="B1588">
        <v>2</v>
      </c>
      <c r="C1588">
        <v>1</v>
      </c>
      <c r="D1588" s="32">
        <v>43065.213726851849</v>
      </c>
      <c r="E1588">
        <v>7</v>
      </c>
      <c r="F1588" t="s">
        <v>15</v>
      </c>
    </row>
    <row r="1589" spans="1:6">
      <c r="A1589">
        <v>275946</v>
      </c>
      <c r="B1589">
        <v>2</v>
      </c>
      <c r="C1589">
        <v>1</v>
      </c>
      <c r="D1589" s="32">
        <v>43066.957337962966</v>
      </c>
      <c r="E1589">
        <v>6</v>
      </c>
      <c r="F1589" t="s">
        <v>15</v>
      </c>
    </row>
    <row r="1590" spans="1:6">
      <c r="A1590">
        <v>913916</v>
      </c>
      <c r="B1590">
        <v>2</v>
      </c>
      <c r="C1590">
        <v>1</v>
      </c>
      <c r="D1590" s="32">
        <v>43068.428668981483</v>
      </c>
      <c r="E1590">
        <v>4</v>
      </c>
      <c r="F1590" t="s">
        <v>15</v>
      </c>
    </row>
    <row r="1591" spans="1:6">
      <c r="A1591">
        <v>556396</v>
      </c>
      <c r="B1591">
        <v>2</v>
      </c>
      <c r="C1591">
        <v>1</v>
      </c>
      <c r="D1591" s="32">
        <v>43065.257523148146</v>
      </c>
      <c r="E1591">
        <v>7</v>
      </c>
      <c r="F1591" t="s">
        <v>15</v>
      </c>
    </row>
    <row r="1592" spans="1:6">
      <c r="A1592">
        <v>407438</v>
      </c>
      <c r="B1592">
        <v>2</v>
      </c>
      <c r="C1592">
        <v>1</v>
      </c>
      <c r="D1592" s="32">
        <v>43066.929861111108</v>
      </c>
      <c r="E1592">
        <v>6</v>
      </c>
      <c r="F1592" t="s">
        <v>15</v>
      </c>
    </row>
    <row r="1593" spans="1:6">
      <c r="A1593">
        <v>889825</v>
      </c>
      <c r="B1593">
        <v>2</v>
      </c>
      <c r="C1593">
        <v>1</v>
      </c>
      <c r="D1593" s="32">
        <v>43065.13585648148</v>
      </c>
      <c r="E1593">
        <v>7</v>
      </c>
      <c r="F1593" t="s">
        <v>15</v>
      </c>
    </row>
    <row r="1594" spans="1:6">
      <c r="A1594">
        <v>525384</v>
      </c>
      <c r="B1594">
        <v>2</v>
      </c>
      <c r="C1594">
        <v>1</v>
      </c>
      <c r="D1594" s="32">
        <v>43067.384282407409</v>
      </c>
      <c r="E1594">
        <v>5</v>
      </c>
      <c r="F1594" t="s">
        <v>15</v>
      </c>
    </row>
    <row r="1595" spans="1:6">
      <c r="A1595">
        <v>494041</v>
      </c>
      <c r="B1595">
        <v>2</v>
      </c>
      <c r="C1595">
        <v>1</v>
      </c>
      <c r="D1595" s="32">
        <v>43069.501342592594</v>
      </c>
      <c r="E1595">
        <v>3</v>
      </c>
      <c r="F1595" t="s">
        <v>15</v>
      </c>
    </row>
    <row r="1596" spans="1:6">
      <c r="A1596">
        <v>780026</v>
      </c>
      <c r="B1596">
        <v>2</v>
      </c>
      <c r="C1596">
        <v>1</v>
      </c>
      <c r="D1596" s="32">
        <v>43064.07534722222</v>
      </c>
      <c r="E1596">
        <v>8</v>
      </c>
      <c r="F1596" t="s">
        <v>15</v>
      </c>
    </row>
    <row r="1597" spans="1:6">
      <c r="A1597">
        <v>668337</v>
      </c>
      <c r="B1597">
        <v>2</v>
      </c>
      <c r="C1597">
        <v>1</v>
      </c>
      <c r="D1597" s="32">
        <v>43064.424178240741</v>
      </c>
      <c r="E1597">
        <v>8</v>
      </c>
      <c r="F1597" t="s">
        <v>15</v>
      </c>
    </row>
    <row r="1598" spans="1:6">
      <c r="A1598">
        <v>615904</v>
      </c>
      <c r="B1598">
        <v>2</v>
      </c>
      <c r="C1598">
        <v>2</v>
      </c>
      <c r="D1598" s="32">
        <v>43064.338020833333</v>
      </c>
      <c r="E1598">
        <v>8</v>
      </c>
      <c r="F1598" t="s">
        <v>15</v>
      </c>
    </row>
    <row r="1599" spans="1:6">
      <c r="A1599">
        <v>212390</v>
      </c>
      <c r="B1599">
        <v>2</v>
      </c>
      <c r="C1599">
        <v>1</v>
      </c>
      <c r="D1599" s="32">
        <v>43068.138807870368</v>
      </c>
      <c r="E1599">
        <v>4</v>
      </c>
      <c r="F1599" t="s">
        <v>15</v>
      </c>
    </row>
    <row r="1600" spans="1:6">
      <c r="A1600">
        <v>21355</v>
      </c>
      <c r="B1600">
        <v>2</v>
      </c>
      <c r="C1600">
        <v>1</v>
      </c>
      <c r="D1600" s="32">
        <v>43068.659398148149</v>
      </c>
      <c r="E1600">
        <v>4</v>
      </c>
      <c r="F1600" t="s">
        <v>15</v>
      </c>
    </row>
    <row r="1601" spans="1:6">
      <c r="A1601">
        <v>97438</v>
      </c>
      <c r="B1601">
        <v>2</v>
      </c>
      <c r="C1601">
        <v>1</v>
      </c>
      <c r="D1601" s="32">
        <v>43066.237766203703</v>
      </c>
      <c r="E1601">
        <v>6</v>
      </c>
      <c r="F1601" t="s">
        <v>15</v>
      </c>
    </row>
    <row r="1602" spans="1:6">
      <c r="A1602">
        <v>214109</v>
      </c>
      <c r="B1602">
        <v>2</v>
      </c>
      <c r="C1602">
        <v>1</v>
      </c>
      <c r="D1602" s="32">
        <v>43068.98578703704</v>
      </c>
      <c r="E1602">
        <v>4</v>
      </c>
      <c r="F1602" t="s">
        <v>15</v>
      </c>
    </row>
    <row r="1603" spans="1:6">
      <c r="A1603">
        <v>207666</v>
      </c>
      <c r="B1603">
        <v>2</v>
      </c>
      <c r="C1603">
        <v>1</v>
      </c>
      <c r="D1603" s="32">
        <v>43065.650578703702</v>
      </c>
      <c r="E1603">
        <v>7</v>
      </c>
      <c r="F1603" t="s">
        <v>15</v>
      </c>
    </row>
    <row r="1604" spans="1:6">
      <c r="A1604">
        <v>650318</v>
      </c>
      <c r="B1604">
        <v>2</v>
      </c>
      <c r="C1604">
        <v>1</v>
      </c>
      <c r="D1604" s="32">
        <v>43066.176539351851</v>
      </c>
      <c r="E1604">
        <v>6</v>
      </c>
      <c r="F1604" t="s">
        <v>15</v>
      </c>
    </row>
    <row r="1605" spans="1:6">
      <c r="A1605">
        <v>309015</v>
      </c>
      <c r="B1605">
        <v>2</v>
      </c>
      <c r="C1605">
        <v>1</v>
      </c>
      <c r="D1605" s="32">
        <v>43066.65834490741</v>
      </c>
      <c r="E1605">
        <v>6</v>
      </c>
      <c r="F1605" t="s">
        <v>15</v>
      </c>
    </row>
    <row r="1606" spans="1:6">
      <c r="A1606">
        <v>442070</v>
      </c>
      <c r="B1606">
        <v>2</v>
      </c>
      <c r="C1606">
        <v>1</v>
      </c>
      <c r="D1606" s="32">
        <v>43068.82671296296</v>
      </c>
      <c r="E1606">
        <v>4</v>
      </c>
      <c r="F1606" t="s">
        <v>15</v>
      </c>
    </row>
    <row r="1607" spans="1:6">
      <c r="A1607">
        <v>801616</v>
      </c>
      <c r="B1607">
        <v>2</v>
      </c>
      <c r="C1607">
        <v>1</v>
      </c>
      <c r="D1607" s="32">
        <v>43066.06322916667</v>
      </c>
      <c r="E1607">
        <v>6</v>
      </c>
      <c r="F1607" t="s">
        <v>15</v>
      </c>
    </row>
    <row r="1608" spans="1:6">
      <c r="A1608">
        <v>562768</v>
      </c>
      <c r="B1608">
        <v>2</v>
      </c>
      <c r="C1608">
        <v>1</v>
      </c>
      <c r="D1608" s="32">
        <v>43066.136087962965</v>
      </c>
      <c r="E1608">
        <v>6</v>
      </c>
      <c r="F1608" t="s">
        <v>15</v>
      </c>
    </row>
    <row r="1609" spans="1:6">
      <c r="A1609">
        <v>846007</v>
      </c>
      <c r="B1609">
        <v>2</v>
      </c>
      <c r="C1609">
        <v>1</v>
      </c>
      <c r="D1609" s="32">
        <v>43067.154675925929</v>
      </c>
      <c r="E1609">
        <v>5</v>
      </c>
      <c r="F1609" t="s">
        <v>15</v>
      </c>
    </row>
    <row r="1610" spans="1:6">
      <c r="A1610">
        <v>899824</v>
      </c>
      <c r="B1610">
        <v>2</v>
      </c>
      <c r="C1610">
        <v>1</v>
      </c>
      <c r="D1610" s="32">
        <v>43066.646620370368</v>
      </c>
      <c r="E1610">
        <v>6</v>
      </c>
      <c r="F1610" t="s">
        <v>15</v>
      </c>
    </row>
    <row r="1611" spans="1:6">
      <c r="A1611">
        <v>552568</v>
      </c>
      <c r="B1611">
        <v>2</v>
      </c>
      <c r="C1611">
        <v>1</v>
      </c>
      <c r="D1611" s="32">
        <v>43066.493379629632</v>
      </c>
      <c r="E1611">
        <v>6</v>
      </c>
      <c r="F1611" t="s">
        <v>15</v>
      </c>
    </row>
    <row r="1612" spans="1:6">
      <c r="A1612">
        <v>175945</v>
      </c>
      <c r="B1612">
        <v>2</v>
      </c>
      <c r="C1612">
        <v>1</v>
      </c>
      <c r="D1612" s="32">
        <v>43067.740636574075</v>
      </c>
      <c r="E1612">
        <v>5</v>
      </c>
      <c r="F1612" t="s">
        <v>15</v>
      </c>
    </row>
    <row r="1613" spans="1:6">
      <c r="A1613">
        <v>976300</v>
      </c>
      <c r="B1613">
        <v>2</v>
      </c>
      <c r="C1613">
        <v>1</v>
      </c>
      <c r="D1613" s="32">
        <v>43064.303576388891</v>
      </c>
      <c r="E1613">
        <v>8</v>
      </c>
      <c r="F1613" t="s">
        <v>15</v>
      </c>
    </row>
    <row r="1614" spans="1:6">
      <c r="A1614">
        <v>691870</v>
      </c>
      <c r="B1614">
        <v>2</v>
      </c>
      <c r="C1614">
        <v>1</v>
      </c>
      <c r="D1614" s="32">
        <v>43068.226226851853</v>
      </c>
      <c r="E1614">
        <v>4</v>
      </c>
      <c r="F1614" t="s">
        <v>15</v>
      </c>
    </row>
    <row r="1615" spans="1:6">
      <c r="A1615">
        <v>351817</v>
      </c>
      <c r="B1615">
        <v>2</v>
      </c>
      <c r="C1615">
        <v>1</v>
      </c>
      <c r="D1615" s="32">
        <v>43068.047662037039</v>
      </c>
      <c r="E1615">
        <v>4</v>
      </c>
      <c r="F1615" t="s">
        <v>15</v>
      </c>
    </row>
    <row r="1616" spans="1:6">
      <c r="A1616">
        <v>60449</v>
      </c>
      <c r="B1616">
        <v>2</v>
      </c>
      <c r="C1616">
        <v>2</v>
      </c>
      <c r="D1616" s="32">
        <v>43064.596192129633</v>
      </c>
      <c r="E1616">
        <v>8</v>
      </c>
      <c r="F1616" t="s">
        <v>15</v>
      </c>
    </row>
    <row r="1617" spans="1:6">
      <c r="A1617">
        <v>525776</v>
      </c>
      <c r="B1617">
        <v>2</v>
      </c>
      <c r="C1617">
        <v>1</v>
      </c>
      <c r="D1617" s="32">
        <v>43068.505289351851</v>
      </c>
      <c r="E1617">
        <v>4</v>
      </c>
      <c r="F1617" t="s">
        <v>15</v>
      </c>
    </row>
    <row r="1618" spans="1:6">
      <c r="A1618">
        <v>100276</v>
      </c>
      <c r="B1618">
        <v>2</v>
      </c>
      <c r="C1618">
        <v>2</v>
      </c>
      <c r="D1618" s="32">
        <v>43069.131099537037</v>
      </c>
      <c r="E1618">
        <v>3</v>
      </c>
      <c r="F1618" t="s">
        <v>15</v>
      </c>
    </row>
    <row r="1619" spans="1:6">
      <c r="A1619">
        <v>459464</v>
      </c>
      <c r="B1619">
        <v>2</v>
      </c>
      <c r="C1619">
        <v>1</v>
      </c>
      <c r="D1619" s="32">
        <v>43064.687604166669</v>
      </c>
      <c r="E1619">
        <v>8</v>
      </c>
      <c r="F1619" t="s">
        <v>15</v>
      </c>
    </row>
    <row r="1620" spans="1:6">
      <c r="A1620">
        <v>456814</v>
      </c>
      <c r="B1620">
        <v>2</v>
      </c>
      <c r="C1620">
        <v>1</v>
      </c>
      <c r="D1620" s="32">
        <v>43069.345891203702</v>
      </c>
      <c r="E1620">
        <v>3</v>
      </c>
      <c r="F1620" t="s">
        <v>15</v>
      </c>
    </row>
    <row r="1621" spans="1:6">
      <c r="A1621">
        <v>176949</v>
      </c>
      <c r="B1621">
        <v>2</v>
      </c>
      <c r="C1621">
        <v>1</v>
      </c>
      <c r="D1621" s="32">
        <v>43065.651979166665</v>
      </c>
      <c r="E1621">
        <v>7</v>
      </c>
      <c r="F1621" t="s">
        <v>15</v>
      </c>
    </row>
    <row r="1622" spans="1:6">
      <c r="A1622">
        <v>807516</v>
      </c>
      <c r="B1622">
        <v>2</v>
      </c>
      <c r="C1622">
        <v>1</v>
      </c>
      <c r="D1622" s="32">
        <v>43069.356354166666</v>
      </c>
      <c r="E1622">
        <v>3</v>
      </c>
      <c r="F1622" t="s">
        <v>15</v>
      </c>
    </row>
    <row r="1623" spans="1:6">
      <c r="A1623">
        <v>91470</v>
      </c>
      <c r="B1623">
        <v>2</v>
      </c>
      <c r="C1623">
        <v>1</v>
      </c>
      <c r="D1623" s="32">
        <v>43069.023101851853</v>
      </c>
      <c r="E1623">
        <v>3</v>
      </c>
      <c r="F1623" t="s">
        <v>15</v>
      </c>
    </row>
    <row r="1624" spans="1:6">
      <c r="A1624">
        <v>773793</v>
      </c>
      <c r="B1624">
        <v>2</v>
      </c>
      <c r="C1624">
        <v>1</v>
      </c>
      <c r="D1624" s="32">
        <v>43067.065289351849</v>
      </c>
      <c r="E1624">
        <v>5</v>
      </c>
      <c r="F1624" t="s">
        <v>15</v>
      </c>
    </row>
    <row r="1625" spans="1:6">
      <c r="A1625">
        <v>297767</v>
      </c>
      <c r="B1625">
        <v>2</v>
      </c>
      <c r="C1625">
        <v>1</v>
      </c>
      <c r="D1625" s="32">
        <v>43067.236111111109</v>
      </c>
      <c r="E1625">
        <v>5</v>
      </c>
      <c r="F1625" t="s">
        <v>15</v>
      </c>
    </row>
    <row r="1626" spans="1:6">
      <c r="A1626">
        <v>489287</v>
      </c>
      <c r="B1626">
        <v>2</v>
      </c>
      <c r="C1626">
        <v>1</v>
      </c>
      <c r="D1626" s="32">
        <v>43068.27008101852</v>
      </c>
      <c r="E1626">
        <v>4</v>
      </c>
      <c r="F1626" t="s">
        <v>15</v>
      </c>
    </row>
    <row r="1627" spans="1:6">
      <c r="A1627">
        <v>575319</v>
      </c>
      <c r="B1627">
        <v>2</v>
      </c>
      <c r="C1627">
        <v>1</v>
      </c>
      <c r="D1627" s="32">
        <v>43065.391979166663</v>
      </c>
      <c r="E1627">
        <v>7</v>
      </c>
      <c r="F1627" t="s">
        <v>15</v>
      </c>
    </row>
    <row r="1628" spans="1:6">
      <c r="A1628">
        <v>479036</v>
      </c>
      <c r="B1628">
        <v>2</v>
      </c>
      <c r="C1628">
        <v>1</v>
      </c>
      <c r="D1628" s="32">
        <v>43068.586041666669</v>
      </c>
      <c r="E1628">
        <v>4</v>
      </c>
      <c r="F1628" t="s">
        <v>15</v>
      </c>
    </row>
    <row r="1629" spans="1:6">
      <c r="A1629">
        <v>1752</v>
      </c>
      <c r="B1629">
        <v>2</v>
      </c>
      <c r="C1629">
        <v>1</v>
      </c>
      <c r="D1629" s="32">
        <v>43064.392731481479</v>
      </c>
      <c r="E1629">
        <v>8</v>
      </c>
      <c r="F1629" t="s">
        <v>15</v>
      </c>
    </row>
    <row r="1630" spans="1:6">
      <c r="A1630">
        <v>62949</v>
      </c>
      <c r="B1630">
        <v>2</v>
      </c>
      <c r="C1630">
        <v>1</v>
      </c>
      <c r="D1630" s="32">
        <v>43066.491851851853</v>
      </c>
      <c r="E1630">
        <v>6</v>
      </c>
      <c r="F1630" t="s">
        <v>15</v>
      </c>
    </row>
    <row r="1631" spans="1:6">
      <c r="A1631">
        <v>483703</v>
      </c>
      <c r="B1631">
        <v>2</v>
      </c>
      <c r="C1631">
        <v>1</v>
      </c>
      <c r="D1631" s="32">
        <v>43066.308437500003</v>
      </c>
      <c r="E1631">
        <v>6</v>
      </c>
      <c r="F1631" t="s">
        <v>15</v>
      </c>
    </row>
    <row r="1632" spans="1:6">
      <c r="A1632">
        <v>17097</v>
      </c>
      <c r="B1632">
        <v>2</v>
      </c>
      <c r="C1632">
        <v>2</v>
      </c>
      <c r="D1632" s="32">
        <v>43066.277766203704</v>
      </c>
      <c r="E1632">
        <v>6</v>
      </c>
      <c r="F1632" t="s">
        <v>15</v>
      </c>
    </row>
    <row r="1633" spans="1:6">
      <c r="A1633">
        <v>212102</v>
      </c>
      <c r="B1633">
        <v>2</v>
      </c>
      <c r="C1633">
        <v>1</v>
      </c>
      <c r="D1633" s="32">
        <v>43064.02171296296</v>
      </c>
      <c r="E1633">
        <v>8</v>
      </c>
      <c r="F1633" t="s">
        <v>15</v>
      </c>
    </row>
    <row r="1634" spans="1:6">
      <c r="A1634">
        <v>727370</v>
      </c>
      <c r="B1634">
        <v>2</v>
      </c>
      <c r="C1634">
        <v>2</v>
      </c>
      <c r="D1634" s="32">
        <v>43064.503425925926</v>
      </c>
      <c r="E1634">
        <v>8</v>
      </c>
      <c r="F1634" t="s">
        <v>15</v>
      </c>
    </row>
    <row r="1635" spans="1:6">
      <c r="A1635">
        <v>1000933</v>
      </c>
      <c r="B1635">
        <v>2</v>
      </c>
      <c r="C1635">
        <v>1</v>
      </c>
      <c r="D1635" s="32">
        <v>43068.477418981478</v>
      </c>
      <c r="E1635">
        <v>4</v>
      </c>
      <c r="F1635" t="s">
        <v>15</v>
      </c>
    </row>
    <row r="1636" spans="1:6">
      <c r="A1636">
        <v>661028</v>
      </c>
      <c r="B1636">
        <v>2</v>
      </c>
      <c r="C1636">
        <v>1</v>
      </c>
      <c r="D1636" s="32">
        <v>43066.224976851852</v>
      </c>
      <c r="E1636">
        <v>6</v>
      </c>
      <c r="F1636" t="s">
        <v>15</v>
      </c>
    </row>
    <row r="1637" spans="1:6">
      <c r="A1637">
        <v>82163</v>
      </c>
      <c r="B1637">
        <v>2</v>
      </c>
      <c r="C1637">
        <v>2</v>
      </c>
      <c r="D1637" s="32">
        <v>43067.614351851851</v>
      </c>
      <c r="E1637">
        <v>5</v>
      </c>
      <c r="F1637" t="s">
        <v>15</v>
      </c>
    </row>
    <row r="1638" spans="1:6">
      <c r="A1638">
        <v>861432</v>
      </c>
      <c r="B1638">
        <v>2</v>
      </c>
      <c r="C1638">
        <v>1</v>
      </c>
      <c r="D1638" s="32">
        <v>43067.62641203704</v>
      </c>
      <c r="E1638">
        <v>5</v>
      </c>
      <c r="F1638" t="s">
        <v>15</v>
      </c>
    </row>
    <row r="1639" spans="1:6">
      <c r="A1639">
        <v>934132</v>
      </c>
      <c r="B1639">
        <v>2</v>
      </c>
      <c r="C1639">
        <v>1</v>
      </c>
      <c r="D1639" s="32">
        <v>43066.453668981485</v>
      </c>
      <c r="E1639">
        <v>6</v>
      </c>
      <c r="F1639" t="s">
        <v>15</v>
      </c>
    </row>
    <row r="1640" spans="1:6">
      <c r="A1640">
        <v>68767</v>
      </c>
      <c r="B1640">
        <v>2</v>
      </c>
      <c r="C1640">
        <v>1</v>
      </c>
      <c r="D1640" s="32">
        <v>43065.545590277776</v>
      </c>
      <c r="E1640">
        <v>7</v>
      </c>
      <c r="F1640" t="s">
        <v>15</v>
      </c>
    </row>
    <row r="1641" spans="1:6">
      <c r="A1641">
        <v>872312</v>
      </c>
      <c r="B1641">
        <v>2</v>
      </c>
      <c r="C1641">
        <v>1</v>
      </c>
      <c r="D1641" s="32">
        <v>43067.613541666666</v>
      </c>
      <c r="E1641">
        <v>5</v>
      </c>
      <c r="F1641" t="s">
        <v>15</v>
      </c>
    </row>
    <row r="1642" spans="1:6">
      <c r="A1642">
        <v>121119</v>
      </c>
      <c r="B1642">
        <v>2</v>
      </c>
      <c r="C1642">
        <v>1</v>
      </c>
      <c r="D1642" s="32">
        <v>43069.137395833335</v>
      </c>
      <c r="E1642">
        <v>3</v>
      </c>
      <c r="F1642" t="s">
        <v>15</v>
      </c>
    </row>
    <row r="1643" spans="1:6">
      <c r="A1643">
        <v>349638</v>
      </c>
      <c r="B1643">
        <v>2</v>
      </c>
      <c r="C1643">
        <v>1</v>
      </c>
      <c r="D1643" s="32">
        <v>43064.265034722222</v>
      </c>
      <c r="E1643">
        <v>8</v>
      </c>
      <c r="F1643" t="s">
        <v>15</v>
      </c>
    </row>
    <row r="1644" spans="1:6">
      <c r="A1644">
        <v>927529</v>
      </c>
      <c r="B1644">
        <v>2</v>
      </c>
      <c r="C1644">
        <v>1</v>
      </c>
      <c r="D1644" s="32">
        <v>43065.271168981482</v>
      </c>
      <c r="E1644">
        <v>7</v>
      </c>
      <c r="F1644" t="s">
        <v>15</v>
      </c>
    </row>
    <row r="1645" spans="1:6">
      <c r="A1645">
        <v>587727</v>
      </c>
      <c r="B1645">
        <v>2</v>
      </c>
      <c r="C1645">
        <v>1</v>
      </c>
      <c r="D1645" s="32">
        <v>43065.539976851855</v>
      </c>
      <c r="E1645">
        <v>7</v>
      </c>
      <c r="F1645" t="s">
        <v>15</v>
      </c>
    </row>
    <row r="1646" spans="1:6">
      <c r="A1646">
        <v>215991</v>
      </c>
      <c r="B1646">
        <v>2</v>
      </c>
      <c r="C1646">
        <v>1</v>
      </c>
      <c r="D1646" s="32">
        <v>43069.079398148147</v>
      </c>
      <c r="E1646">
        <v>3</v>
      </c>
      <c r="F1646" t="s">
        <v>15</v>
      </c>
    </row>
    <row r="1647" spans="1:6">
      <c r="A1647">
        <v>665026</v>
      </c>
      <c r="B1647">
        <v>2</v>
      </c>
      <c r="C1647">
        <v>1</v>
      </c>
      <c r="D1647" s="32">
        <v>43069.677905092591</v>
      </c>
      <c r="E1647">
        <v>3</v>
      </c>
      <c r="F1647" t="s">
        <v>15</v>
      </c>
    </row>
    <row r="1648" spans="1:6">
      <c r="A1648">
        <v>28559</v>
      </c>
      <c r="B1648">
        <v>2</v>
      </c>
      <c r="C1648">
        <v>1</v>
      </c>
      <c r="D1648" s="32">
        <v>43066.596412037034</v>
      </c>
      <c r="E1648">
        <v>6</v>
      </c>
      <c r="F1648" t="s">
        <v>15</v>
      </c>
    </row>
    <row r="1649" spans="1:6">
      <c r="A1649">
        <v>866670</v>
      </c>
      <c r="B1649">
        <v>2</v>
      </c>
      <c r="C1649">
        <v>4</v>
      </c>
      <c r="D1649" s="32">
        <v>43067.531759259262</v>
      </c>
      <c r="E1649">
        <v>5</v>
      </c>
      <c r="F1649" t="s">
        <v>15</v>
      </c>
    </row>
    <row r="1650" spans="1:6">
      <c r="A1650">
        <v>860321</v>
      </c>
      <c r="B1650">
        <v>2</v>
      </c>
      <c r="C1650">
        <v>1</v>
      </c>
      <c r="D1650" s="32">
        <v>43064.568055555559</v>
      </c>
      <c r="E1650">
        <v>8</v>
      </c>
      <c r="F1650" t="s">
        <v>15</v>
      </c>
    </row>
    <row r="1651" spans="1:6">
      <c r="A1651">
        <v>139438</v>
      </c>
      <c r="B1651">
        <v>2</v>
      </c>
      <c r="C1651">
        <v>1</v>
      </c>
      <c r="D1651" s="32">
        <v>43064.286041666666</v>
      </c>
      <c r="E1651">
        <v>8</v>
      </c>
      <c r="F1651" t="s">
        <v>15</v>
      </c>
    </row>
    <row r="1652" spans="1:6">
      <c r="A1652">
        <v>152692</v>
      </c>
      <c r="B1652">
        <v>2</v>
      </c>
      <c r="C1652">
        <v>1</v>
      </c>
      <c r="D1652" s="32">
        <v>43065.198611111111</v>
      </c>
      <c r="E1652">
        <v>7</v>
      </c>
      <c r="F1652" t="s">
        <v>15</v>
      </c>
    </row>
    <row r="1653" spans="1:6">
      <c r="A1653">
        <v>153780</v>
      </c>
      <c r="B1653">
        <v>2</v>
      </c>
      <c r="C1653">
        <v>1</v>
      </c>
      <c r="D1653" s="32">
        <v>43064.66028935185</v>
      </c>
      <c r="E1653">
        <v>8</v>
      </c>
      <c r="F1653" t="s">
        <v>15</v>
      </c>
    </row>
    <row r="1654" spans="1:6">
      <c r="A1654">
        <v>335168</v>
      </c>
      <c r="B1654">
        <v>2</v>
      </c>
      <c r="C1654">
        <v>1</v>
      </c>
      <c r="D1654" s="32">
        <v>43069.491284722222</v>
      </c>
      <c r="E1654">
        <v>3</v>
      </c>
      <c r="F1654" t="s">
        <v>15</v>
      </c>
    </row>
    <row r="1655" spans="1:6">
      <c r="A1655">
        <v>514753</v>
      </c>
      <c r="B1655">
        <v>2</v>
      </c>
      <c r="C1655">
        <v>1</v>
      </c>
      <c r="D1655" s="32">
        <v>43064.066886574074</v>
      </c>
      <c r="E1655">
        <v>8</v>
      </c>
      <c r="F1655" t="s">
        <v>15</v>
      </c>
    </row>
    <row r="1656" spans="1:6">
      <c r="A1656">
        <v>287009</v>
      </c>
      <c r="B1656">
        <v>2</v>
      </c>
      <c r="C1656">
        <v>1</v>
      </c>
      <c r="D1656" s="32">
        <v>43067.080740740741</v>
      </c>
      <c r="E1656">
        <v>5</v>
      </c>
      <c r="F1656" t="s">
        <v>15</v>
      </c>
    </row>
    <row r="1657" spans="1:6">
      <c r="A1657">
        <v>828713</v>
      </c>
      <c r="B1657">
        <v>2</v>
      </c>
      <c r="C1657">
        <v>1</v>
      </c>
      <c r="D1657" s="32">
        <v>43067.437847222223</v>
      </c>
      <c r="E1657">
        <v>5</v>
      </c>
      <c r="F1657" t="s">
        <v>15</v>
      </c>
    </row>
    <row r="1658" spans="1:6">
      <c r="A1658">
        <v>715233</v>
      </c>
      <c r="B1658">
        <v>2</v>
      </c>
      <c r="C1658">
        <v>1</v>
      </c>
      <c r="D1658" s="32">
        <v>43068.566157407404</v>
      </c>
      <c r="E1658">
        <v>4</v>
      </c>
      <c r="F1658" t="s">
        <v>15</v>
      </c>
    </row>
    <row r="1659" spans="1:6">
      <c r="A1659">
        <v>201125</v>
      </c>
      <c r="B1659">
        <v>2</v>
      </c>
      <c r="C1659">
        <v>1</v>
      </c>
      <c r="D1659" s="32">
        <v>43066.690752314818</v>
      </c>
      <c r="E1659">
        <v>6</v>
      </c>
      <c r="F1659" t="s">
        <v>15</v>
      </c>
    </row>
    <row r="1660" spans="1:6">
      <c r="A1660">
        <v>100926</v>
      </c>
      <c r="B1660">
        <v>2</v>
      </c>
      <c r="C1660">
        <v>1</v>
      </c>
      <c r="D1660" s="32">
        <v>43066.63590277778</v>
      </c>
      <c r="E1660">
        <v>6</v>
      </c>
      <c r="F1660" t="s">
        <v>15</v>
      </c>
    </row>
    <row r="1661" spans="1:6">
      <c r="A1661">
        <v>110669</v>
      </c>
      <c r="B1661">
        <v>2</v>
      </c>
      <c r="C1661">
        <v>1</v>
      </c>
      <c r="D1661" s="32">
        <v>43066.932175925926</v>
      </c>
      <c r="E1661">
        <v>6</v>
      </c>
      <c r="F1661" t="s">
        <v>15</v>
      </c>
    </row>
    <row r="1662" spans="1:6">
      <c r="A1662">
        <v>174308</v>
      </c>
      <c r="B1662">
        <v>2</v>
      </c>
      <c r="C1662">
        <v>1</v>
      </c>
      <c r="D1662" s="32">
        <v>43068.590497685182</v>
      </c>
      <c r="E1662">
        <v>4</v>
      </c>
      <c r="F1662" t="s">
        <v>15</v>
      </c>
    </row>
    <row r="1663" spans="1:6">
      <c r="A1663">
        <v>529841</v>
      </c>
      <c r="B1663">
        <v>2</v>
      </c>
      <c r="C1663">
        <v>1</v>
      </c>
      <c r="D1663" s="32">
        <v>43069.362905092596</v>
      </c>
      <c r="E1663">
        <v>3</v>
      </c>
      <c r="F1663" t="s">
        <v>15</v>
      </c>
    </row>
    <row r="1664" spans="1:6">
      <c r="A1664">
        <v>72886</v>
      </c>
      <c r="B1664">
        <v>2</v>
      </c>
      <c r="C1664">
        <v>1</v>
      </c>
      <c r="D1664" s="32">
        <v>43066.389537037037</v>
      </c>
      <c r="E1664">
        <v>6</v>
      </c>
      <c r="F1664" t="s">
        <v>15</v>
      </c>
    </row>
    <row r="1665" spans="1:6">
      <c r="A1665">
        <v>617562</v>
      </c>
      <c r="B1665">
        <v>2</v>
      </c>
      <c r="C1665">
        <v>1</v>
      </c>
      <c r="D1665" s="32">
        <v>43066.274780092594</v>
      </c>
      <c r="E1665">
        <v>6</v>
      </c>
      <c r="F1665" t="s">
        <v>15</v>
      </c>
    </row>
    <row r="1666" spans="1:6">
      <c r="A1666">
        <v>979449</v>
      </c>
      <c r="B1666">
        <v>2</v>
      </c>
      <c r="C1666">
        <v>1</v>
      </c>
      <c r="D1666" s="32">
        <v>43069.644733796296</v>
      </c>
      <c r="E1666">
        <v>3</v>
      </c>
      <c r="F1666" t="s">
        <v>15</v>
      </c>
    </row>
    <row r="1667" spans="1:6">
      <c r="A1667">
        <v>830226</v>
      </c>
      <c r="B1667">
        <v>2</v>
      </c>
      <c r="C1667">
        <v>1</v>
      </c>
      <c r="D1667" s="32">
        <v>43069.507037037038</v>
      </c>
      <c r="E1667">
        <v>3</v>
      </c>
      <c r="F1667" t="s">
        <v>15</v>
      </c>
    </row>
    <row r="1668" spans="1:6">
      <c r="A1668">
        <v>451155</v>
      </c>
      <c r="B1668">
        <v>2</v>
      </c>
      <c r="C1668">
        <v>1</v>
      </c>
      <c r="D1668" s="32">
        <v>43067.294745370367</v>
      </c>
      <c r="E1668">
        <v>5</v>
      </c>
      <c r="F1668" t="s">
        <v>15</v>
      </c>
    </row>
    <row r="1669" spans="1:6">
      <c r="A1669">
        <v>549032</v>
      </c>
      <c r="B1669">
        <v>2</v>
      </c>
      <c r="C1669">
        <v>1</v>
      </c>
      <c r="D1669" s="32">
        <v>43069.698738425926</v>
      </c>
      <c r="E1669">
        <v>3</v>
      </c>
      <c r="F1669" t="s">
        <v>15</v>
      </c>
    </row>
    <row r="1670" spans="1:6">
      <c r="A1670">
        <v>76456</v>
      </c>
      <c r="B1670">
        <v>2</v>
      </c>
      <c r="C1670">
        <v>1</v>
      </c>
      <c r="D1670" s="32">
        <v>43069.043506944443</v>
      </c>
      <c r="E1670">
        <v>3</v>
      </c>
      <c r="F1670" t="s">
        <v>15</v>
      </c>
    </row>
    <row r="1671" spans="1:6">
      <c r="A1671">
        <v>487165</v>
      </c>
      <c r="B1671">
        <v>2</v>
      </c>
      <c r="C1671">
        <v>1</v>
      </c>
      <c r="D1671" s="32">
        <v>43069.136655092596</v>
      </c>
      <c r="E1671">
        <v>3</v>
      </c>
      <c r="F1671" t="s">
        <v>15</v>
      </c>
    </row>
    <row r="1672" spans="1:6">
      <c r="A1672">
        <v>438526</v>
      </c>
      <c r="B1672">
        <v>2</v>
      </c>
      <c r="C1672">
        <v>2</v>
      </c>
      <c r="D1672" s="32">
        <v>43069.674097222225</v>
      </c>
      <c r="E1672">
        <v>3</v>
      </c>
      <c r="F1672" t="s">
        <v>15</v>
      </c>
    </row>
    <row r="1673" spans="1:6">
      <c r="A1673">
        <v>562982</v>
      </c>
      <c r="B1673">
        <v>2</v>
      </c>
      <c r="C1673">
        <v>3</v>
      </c>
      <c r="D1673" s="32">
        <v>43068.313449074078</v>
      </c>
      <c r="E1673">
        <v>4</v>
      </c>
      <c r="F1673" t="s">
        <v>15</v>
      </c>
    </row>
    <row r="1674" spans="1:6">
      <c r="A1674">
        <v>286496</v>
      </c>
      <c r="B1674">
        <v>2</v>
      </c>
      <c r="C1674">
        <v>1</v>
      </c>
      <c r="D1674" s="32">
        <v>43064.034282407411</v>
      </c>
      <c r="E1674">
        <v>8</v>
      </c>
      <c r="F1674" t="s">
        <v>15</v>
      </c>
    </row>
    <row r="1675" spans="1:6">
      <c r="A1675">
        <v>498861</v>
      </c>
      <c r="B1675">
        <v>2</v>
      </c>
      <c r="C1675">
        <v>1</v>
      </c>
      <c r="D1675" s="32">
        <v>43064.672372685185</v>
      </c>
      <c r="E1675">
        <v>8</v>
      </c>
      <c r="F1675" t="s">
        <v>15</v>
      </c>
    </row>
    <row r="1676" spans="1:6">
      <c r="A1676">
        <v>894830</v>
      </c>
      <c r="B1676">
        <v>2</v>
      </c>
      <c r="C1676">
        <v>1</v>
      </c>
      <c r="D1676" s="32">
        <v>43069.440092592595</v>
      </c>
      <c r="E1676">
        <v>3</v>
      </c>
      <c r="F1676" t="s">
        <v>15</v>
      </c>
    </row>
    <row r="1677" spans="1:6">
      <c r="A1677">
        <v>444017</v>
      </c>
      <c r="B1677">
        <v>2</v>
      </c>
      <c r="C1677">
        <v>1</v>
      </c>
      <c r="D1677" s="32">
        <v>43068.339120370372</v>
      </c>
      <c r="E1677">
        <v>4</v>
      </c>
      <c r="F1677" t="s">
        <v>15</v>
      </c>
    </row>
    <row r="1678" spans="1:6">
      <c r="A1678">
        <v>1002870</v>
      </c>
      <c r="B1678">
        <v>2</v>
      </c>
      <c r="C1678">
        <v>1</v>
      </c>
      <c r="D1678" s="32">
        <v>43064.95103009259</v>
      </c>
      <c r="E1678">
        <v>8</v>
      </c>
      <c r="F1678" t="s">
        <v>15</v>
      </c>
    </row>
    <row r="1679" spans="1:6">
      <c r="A1679">
        <v>140189</v>
      </c>
      <c r="B1679">
        <v>2</v>
      </c>
      <c r="C1679">
        <v>1</v>
      </c>
      <c r="D1679" s="32">
        <v>43069.449259259258</v>
      </c>
      <c r="E1679">
        <v>3</v>
      </c>
      <c r="F1679" t="s">
        <v>15</v>
      </c>
    </row>
    <row r="1680" spans="1:6">
      <c r="A1680">
        <v>1000400</v>
      </c>
      <c r="B1680">
        <v>2</v>
      </c>
      <c r="C1680">
        <v>1</v>
      </c>
      <c r="D1680" s="32">
        <v>43067.493032407408</v>
      </c>
      <c r="E1680">
        <v>5</v>
      </c>
      <c r="F1680" t="s">
        <v>15</v>
      </c>
    </row>
    <row r="1681" spans="1:6">
      <c r="A1681">
        <v>493571</v>
      </c>
      <c r="B1681">
        <v>2</v>
      </c>
      <c r="C1681">
        <v>1</v>
      </c>
      <c r="D1681" s="32">
        <v>43064.556006944447</v>
      </c>
      <c r="E1681">
        <v>8</v>
      </c>
      <c r="F1681" t="s">
        <v>15</v>
      </c>
    </row>
    <row r="1682" spans="1:6">
      <c r="A1682">
        <v>132726</v>
      </c>
      <c r="B1682">
        <v>2</v>
      </c>
      <c r="C1682">
        <v>1</v>
      </c>
      <c r="D1682" s="32">
        <v>43066.63076388889</v>
      </c>
      <c r="E1682">
        <v>6</v>
      </c>
      <c r="F1682" t="s">
        <v>15</v>
      </c>
    </row>
    <row r="1683" spans="1:6">
      <c r="A1683">
        <v>217179</v>
      </c>
      <c r="B1683">
        <v>2</v>
      </c>
      <c r="C1683">
        <v>1</v>
      </c>
      <c r="D1683" s="32">
        <v>43064.475439814814</v>
      </c>
      <c r="E1683">
        <v>8</v>
      </c>
      <c r="F1683" t="s">
        <v>15</v>
      </c>
    </row>
    <row r="1684" spans="1:6">
      <c r="A1684">
        <v>840214</v>
      </c>
      <c r="B1684">
        <v>2</v>
      </c>
      <c r="C1684">
        <v>1</v>
      </c>
      <c r="D1684" s="32">
        <v>43069.998900462961</v>
      </c>
      <c r="E1684">
        <v>3</v>
      </c>
      <c r="F1684" t="s">
        <v>15</v>
      </c>
    </row>
    <row r="1685" spans="1:6">
      <c r="A1685">
        <v>200776</v>
      </c>
      <c r="B1685">
        <v>2</v>
      </c>
      <c r="C1685">
        <v>1</v>
      </c>
      <c r="D1685" s="32">
        <v>43064.12296296296</v>
      </c>
      <c r="E1685">
        <v>8</v>
      </c>
      <c r="F1685" t="s">
        <v>15</v>
      </c>
    </row>
    <row r="1686" spans="1:6">
      <c r="A1686">
        <v>386217</v>
      </c>
      <c r="B1686">
        <v>2</v>
      </c>
      <c r="C1686">
        <v>1</v>
      </c>
      <c r="D1686" s="32">
        <v>43066.340196759258</v>
      </c>
      <c r="E1686">
        <v>6</v>
      </c>
      <c r="F1686" t="s">
        <v>15</v>
      </c>
    </row>
    <row r="1687" spans="1:6">
      <c r="A1687">
        <v>301152</v>
      </c>
      <c r="B1687">
        <v>2</v>
      </c>
      <c r="C1687">
        <v>1</v>
      </c>
      <c r="D1687" s="32">
        <v>43065.174039351848</v>
      </c>
      <c r="E1687">
        <v>7</v>
      </c>
      <c r="F1687" t="s">
        <v>15</v>
      </c>
    </row>
    <row r="1688" spans="1:6">
      <c r="A1688">
        <v>421685</v>
      </c>
      <c r="B1688">
        <v>2</v>
      </c>
      <c r="C1688">
        <v>1</v>
      </c>
      <c r="D1688" s="32">
        <v>43066.492013888892</v>
      </c>
      <c r="E1688">
        <v>6</v>
      </c>
      <c r="F1688" t="s">
        <v>15</v>
      </c>
    </row>
    <row r="1689" spans="1:6">
      <c r="A1689">
        <v>780748</v>
      </c>
      <c r="B1689">
        <v>2</v>
      </c>
      <c r="C1689">
        <v>1</v>
      </c>
      <c r="D1689" s="32">
        <v>43066.051782407405</v>
      </c>
      <c r="E1689">
        <v>6</v>
      </c>
      <c r="F1689" t="s">
        <v>15</v>
      </c>
    </row>
    <row r="1690" spans="1:6">
      <c r="A1690">
        <v>921740</v>
      </c>
      <c r="B1690">
        <v>2</v>
      </c>
      <c r="C1690">
        <v>1</v>
      </c>
      <c r="D1690" s="32">
        <v>43064.079629629632</v>
      </c>
      <c r="E1690">
        <v>8</v>
      </c>
      <c r="F1690" t="s">
        <v>15</v>
      </c>
    </row>
    <row r="1691" spans="1:6">
      <c r="A1691">
        <v>316324</v>
      </c>
      <c r="B1691">
        <v>2</v>
      </c>
      <c r="C1691">
        <v>1</v>
      </c>
      <c r="D1691" s="32">
        <v>43067.4609837963</v>
      </c>
      <c r="E1691">
        <v>5</v>
      </c>
      <c r="F1691" t="s">
        <v>15</v>
      </c>
    </row>
    <row r="1692" spans="1:6">
      <c r="A1692">
        <v>117962</v>
      </c>
      <c r="B1692">
        <v>2</v>
      </c>
      <c r="C1692">
        <v>1</v>
      </c>
      <c r="D1692" s="32">
        <v>43065.611516203702</v>
      </c>
      <c r="E1692">
        <v>7</v>
      </c>
      <c r="F1692" t="s">
        <v>15</v>
      </c>
    </row>
    <row r="1693" spans="1:6">
      <c r="A1693">
        <v>72002</v>
      </c>
      <c r="B1693">
        <v>2</v>
      </c>
      <c r="C1693">
        <v>1</v>
      </c>
      <c r="D1693" s="32">
        <v>43065.203703703701</v>
      </c>
      <c r="E1693">
        <v>7</v>
      </c>
      <c r="F1693" t="s">
        <v>15</v>
      </c>
    </row>
    <row r="1694" spans="1:6">
      <c r="A1694">
        <v>263208</v>
      </c>
      <c r="B1694">
        <v>2</v>
      </c>
      <c r="C1694">
        <v>1</v>
      </c>
      <c r="D1694" s="32">
        <v>43066.478090277778</v>
      </c>
      <c r="E1694">
        <v>6</v>
      </c>
      <c r="F1694" t="s">
        <v>15</v>
      </c>
    </row>
    <row r="1695" spans="1:6">
      <c r="A1695">
        <v>276307</v>
      </c>
      <c r="B1695">
        <v>2</v>
      </c>
      <c r="C1695">
        <v>1</v>
      </c>
      <c r="D1695" s="32">
        <v>43068.393773148149</v>
      </c>
      <c r="E1695">
        <v>4</v>
      </c>
      <c r="F1695" t="s">
        <v>15</v>
      </c>
    </row>
    <row r="1696" spans="1:6">
      <c r="A1696">
        <v>629530</v>
      </c>
      <c r="B1696">
        <v>2</v>
      </c>
      <c r="C1696">
        <v>1</v>
      </c>
      <c r="D1696" s="32">
        <v>43064.66165509259</v>
      </c>
      <c r="E1696">
        <v>8</v>
      </c>
      <c r="F1696" t="s">
        <v>15</v>
      </c>
    </row>
    <row r="1697" spans="1:6">
      <c r="A1697">
        <v>539503</v>
      </c>
      <c r="B1697">
        <v>2</v>
      </c>
      <c r="C1697">
        <v>1</v>
      </c>
      <c r="D1697" s="32">
        <v>43069.067754629628</v>
      </c>
      <c r="E1697">
        <v>3</v>
      </c>
      <c r="F1697" t="s">
        <v>15</v>
      </c>
    </row>
    <row r="1698" spans="1:6">
      <c r="A1698">
        <v>50283</v>
      </c>
      <c r="B1698">
        <v>2</v>
      </c>
      <c r="C1698">
        <v>1</v>
      </c>
      <c r="D1698" s="32">
        <v>43067.121574074074</v>
      </c>
      <c r="E1698">
        <v>5</v>
      </c>
      <c r="F1698" t="s">
        <v>15</v>
      </c>
    </row>
    <row r="1699" spans="1:6">
      <c r="A1699">
        <v>693100</v>
      </c>
      <c r="B1699">
        <v>2</v>
      </c>
      <c r="C1699">
        <v>1</v>
      </c>
      <c r="D1699" s="32">
        <v>43068.526979166665</v>
      </c>
      <c r="E1699">
        <v>4</v>
      </c>
      <c r="F1699" t="s">
        <v>15</v>
      </c>
    </row>
    <row r="1700" spans="1:6">
      <c r="A1700">
        <v>337305</v>
      </c>
      <c r="B1700">
        <v>2</v>
      </c>
      <c r="C1700">
        <v>1</v>
      </c>
      <c r="D1700" s="32">
        <v>43064.395798611113</v>
      </c>
      <c r="E1700">
        <v>8</v>
      </c>
      <c r="F1700" t="s">
        <v>15</v>
      </c>
    </row>
    <row r="1701" spans="1:6">
      <c r="A1701">
        <v>940753</v>
      </c>
      <c r="B1701">
        <v>2</v>
      </c>
      <c r="C1701">
        <v>1</v>
      </c>
      <c r="D1701" s="32">
        <v>43064.101215277777</v>
      </c>
      <c r="E1701">
        <v>8</v>
      </c>
      <c r="F1701" t="s">
        <v>15</v>
      </c>
    </row>
    <row r="1702" spans="1:6">
      <c r="A1702">
        <v>40268</v>
      </c>
      <c r="B1702">
        <v>2</v>
      </c>
      <c r="C1702">
        <v>1</v>
      </c>
      <c r="D1702" s="32">
        <v>43065.331423611111</v>
      </c>
      <c r="E1702">
        <v>7</v>
      </c>
      <c r="F1702" t="s">
        <v>15</v>
      </c>
    </row>
    <row r="1703" spans="1:6">
      <c r="A1703">
        <v>423924</v>
      </c>
      <c r="B1703">
        <v>2</v>
      </c>
      <c r="C1703">
        <v>1</v>
      </c>
      <c r="D1703" s="32">
        <v>43066.074293981481</v>
      </c>
      <c r="E1703">
        <v>6</v>
      </c>
      <c r="F1703" t="s">
        <v>15</v>
      </c>
    </row>
    <row r="1704" spans="1:6">
      <c r="A1704">
        <v>632862</v>
      </c>
      <c r="B1704">
        <v>2</v>
      </c>
      <c r="C1704">
        <v>1</v>
      </c>
      <c r="D1704" s="32">
        <v>43069.013425925928</v>
      </c>
      <c r="E1704">
        <v>3</v>
      </c>
      <c r="F1704" t="s">
        <v>15</v>
      </c>
    </row>
    <row r="1705" spans="1:6">
      <c r="A1705">
        <v>328966</v>
      </c>
      <c r="B1705">
        <v>2</v>
      </c>
      <c r="C1705">
        <v>1</v>
      </c>
      <c r="D1705" s="32">
        <v>43066.341793981483</v>
      </c>
      <c r="E1705">
        <v>6</v>
      </c>
      <c r="F1705" t="s">
        <v>15</v>
      </c>
    </row>
    <row r="1706" spans="1:6">
      <c r="A1706">
        <v>313834</v>
      </c>
      <c r="B1706">
        <v>2</v>
      </c>
      <c r="C1706">
        <v>1</v>
      </c>
      <c r="D1706" s="32">
        <v>43069.232303240744</v>
      </c>
      <c r="E1706">
        <v>3</v>
      </c>
      <c r="F1706" t="s">
        <v>15</v>
      </c>
    </row>
    <row r="1707" spans="1:6">
      <c r="A1707">
        <v>552281</v>
      </c>
      <c r="B1707">
        <v>2</v>
      </c>
      <c r="C1707">
        <v>1</v>
      </c>
      <c r="D1707" s="32">
        <v>43069.094490740739</v>
      </c>
      <c r="E1707">
        <v>3</v>
      </c>
      <c r="F1707" t="s">
        <v>15</v>
      </c>
    </row>
    <row r="1708" spans="1:6">
      <c r="A1708">
        <v>427308</v>
      </c>
      <c r="B1708">
        <v>2</v>
      </c>
      <c r="C1708">
        <v>1</v>
      </c>
      <c r="D1708" s="32">
        <v>43066.193819444445</v>
      </c>
      <c r="E1708">
        <v>6</v>
      </c>
      <c r="F1708" t="s">
        <v>15</v>
      </c>
    </row>
    <row r="1709" spans="1:6">
      <c r="A1709">
        <v>575295</v>
      </c>
      <c r="B1709">
        <v>2</v>
      </c>
      <c r="C1709">
        <v>2</v>
      </c>
      <c r="D1709" s="32">
        <v>43066.564432870371</v>
      </c>
      <c r="E1709">
        <v>6</v>
      </c>
      <c r="F1709" t="s">
        <v>15</v>
      </c>
    </row>
    <row r="1710" spans="1:6">
      <c r="A1710">
        <v>564879</v>
      </c>
      <c r="B1710">
        <v>2</v>
      </c>
      <c r="C1710">
        <v>1</v>
      </c>
      <c r="D1710" s="32">
        <v>43068.464594907404</v>
      </c>
      <c r="E1710">
        <v>4</v>
      </c>
      <c r="F1710" t="s">
        <v>15</v>
      </c>
    </row>
    <row r="1711" spans="1:6">
      <c r="A1711">
        <v>92652</v>
      </c>
      <c r="B1711">
        <v>2</v>
      </c>
      <c r="C1711">
        <v>1</v>
      </c>
      <c r="D1711" s="32">
        <v>43069.262106481481</v>
      </c>
      <c r="E1711">
        <v>3</v>
      </c>
      <c r="F1711" t="s">
        <v>15</v>
      </c>
    </row>
    <row r="1712" spans="1:6">
      <c r="A1712">
        <v>384027</v>
      </c>
      <c r="B1712">
        <v>2</v>
      </c>
      <c r="C1712">
        <v>1</v>
      </c>
      <c r="D1712" s="32">
        <v>43068.722928240742</v>
      </c>
      <c r="E1712">
        <v>4</v>
      </c>
      <c r="F1712" t="s">
        <v>15</v>
      </c>
    </row>
    <row r="1713" spans="1:6">
      <c r="A1713">
        <v>929333</v>
      </c>
      <c r="B1713">
        <v>2</v>
      </c>
      <c r="C1713">
        <v>1</v>
      </c>
      <c r="D1713" s="32">
        <v>43065.398113425923</v>
      </c>
      <c r="E1713">
        <v>7</v>
      </c>
      <c r="F1713" t="s">
        <v>15</v>
      </c>
    </row>
    <row r="1714" spans="1:6">
      <c r="A1714">
        <v>687808</v>
      </c>
      <c r="B1714">
        <v>2</v>
      </c>
      <c r="C1714">
        <v>1</v>
      </c>
      <c r="D1714" s="32">
        <v>43065.286296296297</v>
      </c>
      <c r="E1714">
        <v>7</v>
      </c>
      <c r="F1714" t="s">
        <v>15</v>
      </c>
    </row>
    <row r="1715" spans="1:6">
      <c r="A1715">
        <v>1010418</v>
      </c>
      <c r="B1715">
        <v>2</v>
      </c>
      <c r="C1715">
        <v>1</v>
      </c>
      <c r="D1715" s="32">
        <v>43064.383946759262</v>
      </c>
      <c r="E1715">
        <v>8</v>
      </c>
      <c r="F1715" t="s">
        <v>15</v>
      </c>
    </row>
    <row r="1716" spans="1:6">
      <c r="A1716">
        <v>466850</v>
      </c>
      <c r="B1716">
        <v>2</v>
      </c>
      <c r="C1716">
        <v>1</v>
      </c>
      <c r="D1716" s="32">
        <v>43068.116736111115</v>
      </c>
      <c r="E1716">
        <v>4</v>
      </c>
      <c r="F1716" t="s">
        <v>15</v>
      </c>
    </row>
    <row r="1717" spans="1:6">
      <c r="A1717">
        <v>699762</v>
      </c>
      <c r="B1717">
        <v>2</v>
      </c>
      <c r="C1717">
        <v>1</v>
      </c>
      <c r="D1717" s="32">
        <v>43066.174826388888</v>
      </c>
      <c r="E1717">
        <v>6</v>
      </c>
      <c r="F1717" t="s">
        <v>15</v>
      </c>
    </row>
    <row r="1718" spans="1:6">
      <c r="A1718">
        <v>207729</v>
      </c>
      <c r="B1718">
        <v>2</v>
      </c>
      <c r="C1718">
        <v>1</v>
      </c>
      <c r="D1718" s="32">
        <v>43066.259432870371</v>
      </c>
      <c r="E1718">
        <v>6</v>
      </c>
      <c r="F1718" t="s">
        <v>15</v>
      </c>
    </row>
    <row r="1719" spans="1:6">
      <c r="A1719">
        <v>218004</v>
      </c>
      <c r="B1719">
        <v>2</v>
      </c>
      <c r="C1719">
        <v>1</v>
      </c>
      <c r="D1719" s="32">
        <v>43065.254004629627</v>
      </c>
      <c r="E1719">
        <v>7</v>
      </c>
      <c r="F1719" t="s">
        <v>15</v>
      </c>
    </row>
    <row r="1720" spans="1:6">
      <c r="A1720">
        <v>736422</v>
      </c>
      <c r="B1720">
        <v>2</v>
      </c>
      <c r="C1720">
        <v>1</v>
      </c>
      <c r="D1720" s="32">
        <v>43065.350381944445</v>
      </c>
      <c r="E1720">
        <v>7</v>
      </c>
      <c r="F1720" t="s">
        <v>15</v>
      </c>
    </row>
    <row r="1721" spans="1:6">
      <c r="A1721">
        <v>96981</v>
      </c>
      <c r="B1721">
        <v>2</v>
      </c>
      <c r="C1721">
        <v>1</v>
      </c>
      <c r="D1721" s="32">
        <v>43065.178043981483</v>
      </c>
      <c r="E1721">
        <v>7</v>
      </c>
      <c r="F1721" t="s">
        <v>15</v>
      </c>
    </row>
    <row r="1722" spans="1:6">
      <c r="A1722">
        <v>627371</v>
      </c>
      <c r="B1722">
        <v>2</v>
      </c>
      <c r="C1722">
        <v>1</v>
      </c>
      <c r="D1722" s="32">
        <v>43067.167962962965</v>
      </c>
      <c r="E1722">
        <v>5</v>
      </c>
      <c r="F1722" t="s">
        <v>15</v>
      </c>
    </row>
    <row r="1723" spans="1:6">
      <c r="A1723">
        <v>999444</v>
      </c>
      <c r="B1723">
        <v>2</v>
      </c>
      <c r="C1723">
        <v>1</v>
      </c>
      <c r="D1723" s="32">
        <v>43064.603321759256</v>
      </c>
      <c r="E1723">
        <v>8</v>
      </c>
      <c r="F1723" t="s">
        <v>15</v>
      </c>
    </row>
    <row r="1724" spans="1:6">
      <c r="A1724">
        <v>485385</v>
      </c>
      <c r="B1724">
        <v>2</v>
      </c>
      <c r="C1724">
        <v>1</v>
      </c>
      <c r="D1724" s="32">
        <v>43068.151956018519</v>
      </c>
      <c r="E1724">
        <v>4</v>
      </c>
      <c r="F1724" t="s">
        <v>15</v>
      </c>
    </row>
    <row r="1725" spans="1:6">
      <c r="A1725">
        <v>496795</v>
      </c>
      <c r="B1725">
        <v>2</v>
      </c>
      <c r="C1725">
        <v>1</v>
      </c>
      <c r="D1725" s="32">
        <v>43068.478437500002</v>
      </c>
      <c r="E1725">
        <v>4</v>
      </c>
      <c r="F1725" t="s">
        <v>15</v>
      </c>
    </row>
    <row r="1726" spans="1:6">
      <c r="A1726">
        <v>65190</v>
      </c>
      <c r="B1726">
        <v>2</v>
      </c>
      <c r="C1726">
        <v>1</v>
      </c>
      <c r="D1726" s="32">
        <v>43064.540243055555</v>
      </c>
      <c r="E1726">
        <v>8</v>
      </c>
      <c r="F1726" t="s">
        <v>15</v>
      </c>
    </row>
    <row r="1727" spans="1:6">
      <c r="A1727">
        <v>877953</v>
      </c>
      <c r="B1727">
        <v>2</v>
      </c>
      <c r="C1727">
        <v>1</v>
      </c>
      <c r="D1727" s="32">
        <v>43067.412256944444</v>
      </c>
      <c r="E1727">
        <v>5</v>
      </c>
      <c r="F1727" t="s">
        <v>15</v>
      </c>
    </row>
    <row r="1728" spans="1:6">
      <c r="A1728">
        <v>313712</v>
      </c>
      <c r="B1728">
        <v>2</v>
      </c>
      <c r="C1728">
        <v>2</v>
      </c>
      <c r="D1728" s="32">
        <v>43067.319444444445</v>
      </c>
      <c r="E1728">
        <v>5</v>
      </c>
      <c r="F1728" t="s">
        <v>15</v>
      </c>
    </row>
    <row r="1729" spans="1:6">
      <c r="A1729">
        <v>650242</v>
      </c>
      <c r="B1729">
        <v>2</v>
      </c>
      <c r="C1729">
        <v>1</v>
      </c>
      <c r="D1729" s="32">
        <v>43065.087685185186</v>
      </c>
      <c r="E1729">
        <v>7</v>
      </c>
      <c r="F1729" t="s">
        <v>15</v>
      </c>
    </row>
    <row r="1730" spans="1:6">
      <c r="A1730">
        <v>466703</v>
      </c>
      <c r="B1730">
        <v>2</v>
      </c>
      <c r="C1730">
        <v>1</v>
      </c>
      <c r="D1730" s="32">
        <v>43065.66479166667</v>
      </c>
      <c r="E1730">
        <v>7</v>
      </c>
      <c r="F1730" t="s">
        <v>15</v>
      </c>
    </row>
    <row r="1731" spans="1:6">
      <c r="A1731">
        <v>826768</v>
      </c>
      <c r="B1731">
        <v>2</v>
      </c>
      <c r="C1731">
        <v>1</v>
      </c>
      <c r="D1731" s="32">
        <v>43068.417210648149</v>
      </c>
      <c r="E1731">
        <v>4</v>
      </c>
      <c r="F1731" t="s">
        <v>15</v>
      </c>
    </row>
    <row r="1732" spans="1:6">
      <c r="A1732">
        <v>22398</v>
      </c>
      <c r="B1732">
        <v>2</v>
      </c>
      <c r="C1732">
        <v>3</v>
      </c>
      <c r="D1732" s="32">
        <v>43068.548055555555</v>
      </c>
      <c r="E1732">
        <v>4</v>
      </c>
      <c r="F1732" t="s">
        <v>15</v>
      </c>
    </row>
    <row r="1733" spans="1:6">
      <c r="A1733">
        <v>920408</v>
      </c>
      <c r="B1733">
        <v>2</v>
      </c>
      <c r="C1733">
        <v>1</v>
      </c>
      <c r="D1733" s="32">
        <v>43069.060312499998</v>
      </c>
      <c r="E1733">
        <v>3</v>
      </c>
      <c r="F1733" t="s">
        <v>15</v>
      </c>
    </row>
    <row r="1734" spans="1:6">
      <c r="A1734">
        <v>517439</v>
      </c>
      <c r="B1734">
        <v>2</v>
      </c>
      <c r="C1734">
        <v>1</v>
      </c>
      <c r="D1734" s="32">
        <v>43066.520150462966</v>
      </c>
      <c r="E1734">
        <v>6</v>
      </c>
      <c r="F1734" t="s">
        <v>15</v>
      </c>
    </row>
    <row r="1735" spans="1:6">
      <c r="A1735">
        <v>190999</v>
      </c>
      <c r="B1735">
        <v>2</v>
      </c>
      <c r="C1735">
        <v>1</v>
      </c>
      <c r="D1735" s="32">
        <v>43064.699803240743</v>
      </c>
      <c r="E1735">
        <v>8</v>
      </c>
      <c r="F1735" t="s">
        <v>15</v>
      </c>
    </row>
    <row r="1736" spans="1:6">
      <c r="A1736">
        <v>391954</v>
      </c>
      <c r="B1736">
        <v>2</v>
      </c>
      <c r="C1736">
        <v>1</v>
      </c>
      <c r="D1736" s="32">
        <v>43067.376851851855</v>
      </c>
      <c r="E1736">
        <v>5</v>
      </c>
      <c r="F1736" t="s">
        <v>15</v>
      </c>
    </row>
    <row r="1737" spans="1:6">
      <c r="A1737">
        <v>715470</v>
      </c>
      <c r="B1737">
        <v>2</v>
      </c>
      <c r="C1737">
        <v>1</v>
      </c>
      <c r="D1737" s="32">
        <v>43069.332685185182</v>
      </c>
      <c r="E1737">
        <v>3</v>
      </c>
      <c r="F1737" t="s">
        <v>15</v>
      </c>
    </row>
    <row r="1738" spans="1:6">
      <c r="A1738">
        <v>990711</v>
      </c>
      <c r="B1738">
        <v>2</v>
      </c>
      <c r="C1738">
        <v>1</v>
      </c>
      <c r="D1738" s="32">
        <v>43065.586840277778</v>
      </c>
      <c r="E1738">
        <v>7</v>
      </c>
      <c r="F1738" t="s">
        <v>15</v>
      </c>
    </row>
    <row r="1739" spans="1:6">
      <c r="A1739">
        <v>963711</v>
      </c>
      <c r="B1739">
        <v>2</v>
      </c>
      <c r="C1739">
        <v>2</v>
      </c>
      <c r="D1739" s="32">
        <v>43067.146620370368</v>
      </c>
      <c r="E1739">
        <v>5</v>
      </c>
      <c r="F1739" t="s">
        <v>15</v>
      </c>
    </row>
    <row r="1740" spans="1:6">
      <c r="A1740">
        <v>824941</v>
      </c>
      <c r="B1740">
        <v>2</v>
      </c>
      <c r="C1740">
        <v>1</v>
      </c>
      <c r="D1740" s="32">
        <v>43068.655752314815</v>
      </c>
      <c r="E1740">
        <v>4</v>
      </c>
      <c r="F1740" t="s">
        <v>15</v>
      </c>
    </row>
    <row r="1741" spans="1:6">
      <c r="A1741">
        <v>898312</v>
      </c>
      <c r="B1741">
        <v>2</v>
      </c>
      <c r="C1741">
        <v>1</v>
      </c>
      <c r="D1741" s="32">
        <v>43064.407326388886</v>
      </c>
      <c r="E1741">
        <v>8</v>
      </c>
      <c r="F1741" t="s">
        <v>15</v>
      </c>
    </row>
    <row r="1742" spans="1:6">
      <c r="A1742">
        <v>135197</v>
      </c>
      <c r="B1742">
        <v>2</v>
      </c>
      <c r="C1742">
        <v>1</v>
      </c>
      <c r="D1742" s="32">
        <v>43067.02202546296</v>
      </c>
      <c r="E1742">
        <v>5</v>
      </c>
      <c r="F1742" t="s">
        <v>15</v>
      </c>
    </row>
    <row r="1743" spans="1:6">
      <c r="A1743">
        <v>578069</v>
      </c>
      <c r="B1743">
        <v>2</v>
      </c>
      <c r="C1743">
        <v>1</v>
      </c>
      <c r="D1743" s="32">
        <v>43069.085578703707</v>
      </c>
      <c r="E1743">
        <v>3</v>
      </c>
      <c r="F1743" t="s">
        <v>15</v>
      </c>
    </row>
    <row r="1744" spans="1:6">
      <c r="A1744">
        <v>976888</v>
      </c>
      <c r="B1744">
        <v>2</v>
      </c>
      <c r="C1744">
        <v>1</v>
      </c>
      <c r="D1744" s="32">
        <v>43069.235358796293</v>
      </c>
      <c r="E1744">
        <v>3</v>
      </c>
      <c r="F1744" t="s">
        <v>15</v>
      </c>
    </row>
    <row r="1745" spans="1:6">
      <c r="A1745">
        <v>247003</v>
      </c>
      <c r="B1745">
        <v>2</v>
      </c>
      <c r="C1745">
        <v>1</v>
      </c>
      <c r="D1745" s="32">
        <v>43069.337337962963</v>
      </c>
      <c r="E1745">
        <v>3</v>
      </c>
      <c r="F1745" t="s">
        <v>15</v>
      </c>
    </row>
    <row r="1746" spans="1:6">
      <c r="A1746">
        <v>989616</v>
      </c>
      <c r="B1746">
        <v>2</v>
      </c>
      <c r="C1746">
        <v>1</v>
      </c>
      <c r="D1746" s="32">
        <v>43064.147604166668</v>
      </c>
      <c r="E1746">
        <v>8</v>
      </c>
      <c r="F1746" t="s">
        <v>15</v>
      </c>
    </row>
    <row r="1747" spans="1:6">
      <c r="A1747">
        <v>430394</v>
      </c>
      <c r="B1747">
        <v>2</v>
      </c>
      <c r="C1747">
        <v>1</v>
      </c>
      <c r="D1747" s="32">
        <v>43067.087002314816</v>
      </c>
      <c r="E1747">
        <v>5</v>
      </c>
      <c r="F1747" t="s">
        <v>15</v>
      </c>
    </row>
    <row r="1748" spans="1:6">
      <c r="A1748">
        <v>316401</v>
      </c>
      <c r="B1748">
        <v>2</v>
      </c>
      <c r="C1748">
        <v>1</v>
      </c>
      <c r="D1748" s="32">
        <v>43069.57104166667</v>
      </c>
      <c r="E1748">
        <v>3</v>
      </c>
      <c r="F1748" t="s">
        <v>15</v>
      </c>
    </row>
    <row r="1749" spans="1:6">
      <c r="A1749">
        <v>339614</v>
      </c>
      <c r="B1749">
        <v>2</v>
      </c>
      <c r="C1749">
        <v>1</v>
      </c>
      <c r="D1749" s="32">
        <v>43065.162303240744</v>
      </c>
      <c r="E1749">
        <v>7</v>
      </c>
      <c r="F1749" t="s">
        <v>15</v>
      </c>
    </row>
    <row r="1750" spans="1:6">
      <c r="A1750">
        <v>253908</v>
      </c>
      <c r="B1750">
        <v>2</v>
      </c>
      <c r="C1750">
        <v>1</v>
      </c>
      <c r="D1750" s="32">
        <v>43068.865115740744</v>
      </c>
      <c r="E1750">
        <v>4</v>
      </c>
      <c r="F1750" t="s">
        <v>15</v>
      </c>
    </row>
    <row r="1751" spans="1:6">
      <c r="A1751">
        <v>845027</v>
      </c>
      <c r="B1751">
        <v>2</v>
      </c>
      <c r="C1751">
        <v>1</v>
      </c>
      <c r="D1751" s="32">
        <v>43069.363159722219</v>
      </c>
      <c r="E1751">
        <v>3</v>
      </c>
      <c r="F1751" t="s">
        <v>15</v>
      </c>
    </row>
    <row r="1752" spans="1:6">
      <c r="A1752">
        <v>506696</v>
      </c>
      <c r="B1752">
        <v>2</v>
      </c>
      <c r="C1752">
        <v>2</v>
      </c>
      <c r="D1752" s="32">
        <v>43067.577974537038</v>
      </c>
      <c r="E1752">
        <v>5</v>
      </c>
      <c r="F1752" t="s">
        <v>15</v>
      </c>
    </row>
    <row r="1753" spans="1:6">
      <c r="A1753">
        <v>290636</v>
      </c>
      <c r="B1753">
        <v>2</v>
      </c>
      <c r="C1753">
        <v>2</v>
      </c>
      <c r="D1753" s="32">
        <v>43069.391064814816</v>
      </c>
      <c r="E1753">
        <v>3</v>
      </c>
      <c r="F1753" t="s">
        <v>15</v>
      </c>
    </row>
    <row r="1754" spans="1:6">
      <c r="A1754">
        <v>797977</v>
      </c>
      <c r="B1754">
        <v>2</v>
      </c>
      <c r="C1754">
        <v>1</v>
      </c>
      <c r="D1754" s="32">
        <v>43065.347719907404</v>
      </c>
      <c r="E1754">
        <v>7</v>
      </c>
      <c r="F1754" t="s">
        <v>15</v>
      </c>
    </row>
    <row r="1755" spans="1:6">
      <c r="A1755">
        <v>428847</v>
      </c>
      <c r="B1755">
        <v>2</v>
      </c>
      <c r="C1755">
        <v>1</v>
      </c>
      <c r="D1755" s="32">
        <v>43064.336701388886</v>
      </c>
      <c r="E1755">
        <v>8</v>
      </c>
      <c r="F1755" t="s">
        <v>15</v>
      </c>
    </row>
    <row r="1756" spans="1:6">
      <c r="A1756">
        <v>312958</v>
      </c>
      <c r="B1756">
        <v>2</v>
      </c>
      <c r="C1756">
        <v>1</v>
      </c>
      <c r="D1756" s="32">
        <v>43064.581180555557</v>
      </c>
      <c r="E1756">
        <v>8</v>
      </c>
      <c r="F1756" t="s">
        <v>15</v>
      </c>
    </row>
    <row r="1757" spans="1:6">
      <c r="A1757">
        <v>721586</v>
      </c>
      <c r="B1757">
        <v>2</v>
      </c>
      <c r="C1757">
        <v>1</v>
      </c>
      <c r="D1757" s="32">
        <v>43064.438969907409</v>
      </c>
      <c r="E1757">
        <v>8</v>
      </c>
      <c r="F1757" t="s">
        <v>15</v>
      </c>
    </row>
    <row r="1758" spans="1:6">
      <c r="A1758">
        <v>982641</v>
      </c>
      <c r="B1758">
        <v>2</v>
      </c>
      <c r="C1758">
        <v>1</v>
      </c>
      <c r="D1758" s="32">
        <v>43064.412766203706</v>
      </c>
      <c r="E1758">
        <v>8</v>
      </c>
      <c r="F1758" t="s">
        <v>15</v>
      </c>
    </row>
    <row r="1759" spans="1:6">
      <c r="A1759">
        <v>249896</v>
      </c>
      <c r="B1759">
        <v>2</v>
      </c>
      <c r="C1759">
        <v>1</v>
      </c>
      <c r="D1759" s="32">
        <v>43067.18377314815</v>
      </c>
      <c r="E1759">
        <v>5</v>
      </c>
      <c r="F1759" t="s">
        <v>15</v>
      </c>
    </row>
    <row r="1760" spans="1:6">
      <c r="A1760">
        <v>267935</v>
      </c>
      <c r="B1760">
        <v>2</v>
      </c>
      <c r="C1760">
        <v>1</v>
      </c>
      <c r="D1760" s="32">
        <v>43066.774780092594</v>
      </c>
      <c r="E1760">
        <v>6</v>
      </c>
      <c r="F1760" t="s">
        <v>15</v>
      </c>
    </row>
    <row r="1761" spans="1:6">
      <c r="A1761">
        <v>600347</v>
      </c>
      <c r="B1761">
        <v>2</v>
      </c>
      <c r="C1761">
        <v>1</v>
      </c>
      <c r="D1761" s="32">
        <v>43064.541238425925</v>
      </c>
      <c r="E1761">
        <v>8</v>
      </c>
      <c r="F1761" t="s">
        <v>15</v>
      </c>
    </row>
    <row r="1762" spans="1:6">
      <c r="A1762">
        <v>115751</v>
      </c>
      <c r="B1762">
        <v>2</v>
      </c>
      <c r="C1762">
        <v>1</v>
      </c>
      <c r="D1762" s="32">
        <v>43069.143240740741</v>
      </c>
      <c r="E1762">
        <v>3</v>
      </c>
      <c r="F1762" t="s">
        <v>15</v>
      </c>
    </row>
    <row r="1763" spans="1:6">
      <c r="A1763">
        <v>665585</v>
      </c>
      <c r="B1763">
        <v>2</v>
      </c>
      <c r="C1763">
        <v>1</v>
      </c>
      <c r="D1763" s="32">
        <v>43069.628506944442</v>
      </c>
      <c r="E1763">
        <v>3</v>
      </c>
      <c r="F1763" t="s">
        <v>15</v>
      </c>
    </row>
    <row r="1764" spans="1:6">
      <c r="A1764">
        <v>270556</v>
      </c>
      <c r="B1764">
        <v>2</v>
      </c>
      <c r="C1764">
        <v>1</v>
      </c>
      <c r="D1764" s="32">
        <v>43068.300324074073</v>
      </c>
      <c r="E1764">
        <v>4</v>
      </c>
      <c r="F1764" t="s">
        <v>15</v>
      </c>
    </row>
    <row r="1765" spans="1:6">
      <c r="A1765">
        <v>868427</v>
      </c>
      <c r="B1765">
        <v>2</v>
      </c>
      <c r="C1765">
        <v>1</v>
      </c>
      <c r="D1765" s="32">
        <v>43065.204456018517</v>
      </c>
      <c r="E1765">
        <v>7</v>
      </c>
      <c r="F1765" t="s">
        <v>15</v>
      </c>
    </row>
    <row r="1766" spans="1:6">
      <c r="A1766">
        <v>415142</v>
      </c>
      <c r="B1766">
        <v>2</v>
      </c>
      <c r="C1766">
        <v>1</v>
      </c>
      <c r="D1766" s="32">
        <v>43066.547430555554</v>
      </c>
      <c r="E1766">
        <v>6</v>
      </c>
      <c r="F1766" t="s">
        <v>15</v>
      </c>
    </row>
    <row r="1767" spans="1:6">
      <c r="A1767">
        <v>261415</v>
      </c>
      <c r="B1767">
        <v>2</v>
      </c>
      <c r="C1767">
        <v>1</v>
      </c>
      <c r="D1767" s="32">
        <v>43068.680543981478</v>
      </c>
      <c r="E1767">
        <v>4</v>
      </c>
      <c r="F1767" t="s">
        <v>15</v>
      </c>
    </row>
    <row r="1768" spans="1:6">
      <c r="A1768">
        <v>59117</v>
      </c>
      <c r="B1768">
        <v>2</v>
      </c>
      <c r="C1768">
        <v>1</v>
      </c>
      <c r="D1768" s="32">
        <v>43066.510555555556</v>
      </c>
      <c r="E1768">
        <v>6</v>
      </c>
      <c r="F1768" t="s">
        <v>15</v>
      </c>
    </row>
    <row r="1769" spans="1:6">
      <c r="A1769">
        <v>691715</v>
      </c>
      <c r="B1769">
        <v>2</v>
      </c>
      <c r="C1769">
        <v>1</v>
      </c>
      <c r="D1769" s="32">
        <v>43068.287546296298</v>
      </c>
      <c r="E1769">
        <v>4</v>
      </c>
      <c r="F1769" t="s">
        <v>15</v>
      </c>
    </row>
    <row r="1770" spans="1:6">
      <c r="A1770">
        <v>787209</v>
      </c>
      <c r="B1770">
        <v>2</v>
      </c>
      <c r="C1770">
        <v>1</v>
      </c>
      <c r="D1770" s="32">
        <v>43066.241388888891</v>
      </c>
      <c r="E1770">
        <v>6</v>
      </c>
      <c r="F1770" t="s">
        <v>15</v>
      </c>
    </row>
    <row r="1771" spans="1:6">
      <c r="A1771">
        <v>625152</v>
      </c>
      <c r="B1771">
        <v>2</v>
      </c>
      <c r="C1771">
        <v>2</v>
      </c>
      <c r="D1771" s="32">
        <v>43066.152280092596</v>
      </c>
      <c r="E1771">
        <v>6</v>
      </c>
      <c r="F1771" t="s">
        <v>15</v>
      </c>
    </row>
    <row r="1772" spans="1:6">
      <c r="A1772">
        <v>879181</v>
      </c>
      <c r="B1772">
        <v>2</v>
      </c>
      <c r="C1772">
        <v>1</v>
      </c>
      <c r="D1772" s="32">
        <v>43067.695</v>
      </c>
      <c r="E1772">
        <v>5</v>
      </c>
      <c r="F1772" t="s">
        <v>15</v>
      </c>
    </row>
    <row r="1773" spans="1:6">
      <c r="A1773">
        <v>294936</v>
      </c>
      <c r="B1773">
        <v>2</v>
      </c>
      <c r="C1773">
        <v>1</v>
      </c>
      <c r="D1773" s="32">
        <v>43069.242812500001</v>
      </c>
      <c r="E1773">
        <v>3</v>
      </c>
      <c r="F1773" t="s">
        <v>15</v>
      </c>
    </row>
    <row r="1774" spans="1:6">
      <c r="A1774">
        <v>362470</v>
      </c>
      <c r="B1774">
        <v>2</v>
      </c>
      <c r="C1774">
        <v>1</v>
      </c>
      <c r="D1774" s="32">
        <v>43066.862534722219</v>
      </c>
      <c r="E1774">
        <v>6</v>
      </c>
      <c r="F1774" t="s">
        <v>15</v>
      </c>
    </row>
    <row r="1775" spans="1:6">
      <c r="A1775">
        <v>128552</v>
      </c>
      <c r="B1775">
        <v>2</v>
      </c>
      <c r="C1775">
        <v>1</v>
      </c>
      <c r="D1775" s="32">
        <v>43069.58971064815</v>
      </c>
      <c r="E1775">
        <v>3</v>
      </c>
      <c r="F1775" t="s">
        <v>15</v>
      </c>
    </row>
    <row r="1776" spans="1:6">
      <c r="A1776">
        <v>262217</v>
      </c>
      <c r="B1776">
        <v>2</v>
      </c>
      <c r="C1776">
        <v>2</v>
      </c>
      <c r="D1776" s="32">
        <v>43069.607789351852</v>
      </c>
      <c r="E1776">
        <v>3</v>
      </c>
      <c r="F1776" t="s">
        <v>15</v>
      </c>
    </row>
    <row r="1777" spans="1:6">
      <c r="A1777">
        <v>530323</v>
      </c>
      <c r="B1777">
        <v>2</v>
      </c>
      <c r="C1777">
        <v>1</v>
      </c>
      <c r="D1777" s="32">
        <v>43066.423726851855</v>
      </c>
      <c r="E1777">
        <v>6</v>
      </c>
      <c r="F1777" t="s">
        <v>15</v>
      </c>
    </row>
    <row r="1778" spans="1:6">
      <c r="A1778">
        <v>131648</v>
      </c>
      <c r="B1778">
        <v>2</v>
      </c>
      <c r="C1778">
        <v>1</v>
      </c>
      <c r="D1778" s="32">
        <v>43065.578773148147</v>
      </c>
      <c r="E1778">
        <v>7</v>
      </c>
      <c r="F1778" t="s">
        <v>15</v>
      </c>
    </row>
    <row r="1779" spans="1:6">
      <c r="A1779">
        <v>247841</v>
      </c>
      <c r="B1779">
        <v>2</v>
      </c>
      <c r="C1779">
        <v>1</v>
      </c>
      <c r="D1779" s="32">
        <v>43067.19259259259</v>
      </c>
      <c r="E1779">
        <v>5</v>
      </c>
      <c r="F1779" t="s">
        <v>15</v>
      </c>
    </row>
    <row r="1780" spans="1:6">
      <c r="A1780">
        <v>490020</v>
      </c>
      <c r="B1780">
        <v>2</v>
      </c>
      <c r="C1780">
        <v>1</v>
      </c>
      <c r="D1780" s="32">
        <v>43069.164479166669</v>
      </c>
      <c r="E1780">
        <v>3</v>
      </c>
      <c r="F1780" t="s">
        <v>15</v>
      </c>
    </row>
    <row r="1781" spans="1:6">
      <c r="A1781">
        <v>570973</v>
      </c>
      <c r="B1781">
        <v>2</v>
      </c>
      <c r="C1781">
        <v>1</v>
      </c>
      <c r="D1781" s="32">
        <v>43066.379571759258</v>
      </c>
      <c r="E1781">
        <v>6</v>
      </c>
      <c r="F1781" t="s">
        <v>15</v>
      </c>
    </row>
    <row r="1782" spans="1:6">
      <c r="A1782">
        <v>772860</v>
      </c>
      <c r="B1782">
        <v>2</v>
      </c>
      <c r="C1782">
        <v>1</v>
      </c>
      <c r="D1782" s="32">
        <v>43068.648819444446</v>
      </c>
      <c r="E1782">
        <v>4</v>
      </c>
      <c r="F1782" t="s">
        <v>15</v>
      </c>
    </row>
    <row r="1783" spans="1:6">
      <c r="A1783">
        <v>150795</v>
      </c>
      <c r="B1783">
        <v>2</v>
      </c>
      <c r="C1783">
        <v>1</v>
      </c>
      <c r="D1783" s="32">
        <v>43069.240439814814</v>
      </c>
      <c r="E1783">
        <v>3</v>
      </c>
      <c r="F1783" t="s">
        <v>15</v>
      </c>
    </row>
    <row r="1784" spans="1:6">
      <c r="A1784">
        <v>35129</v>
      </c>
      <c r="B1784">
        <v>2</v>
      </c>
      <c r="C1784">
        <v>2</v>
      </c>
      <c r="D1784" s="32">
        <v>43068.180289351854</v>
      </c>
      <c r="E1784">
        <v>4</v>
      </c>
      <c r="F1784" t="s">
        <v>15</v>
      </c>
    </row>
    <row r="1785" spans="1:6">
      <c r="A1785">
        <v>222271</v>
      </c>
      <c r="B1785">
        <v>2</v>
      </c>
      <c r="C1785">
        <v>1</v>
      </c>
      <c r="D1785" s="32">
        <v>43064.076851851853</v>
      </c>
      <c r="E1785">
        <v>8</v>
      </c>
      <c r="F1785" t="s">
        <v>15</v>
      </c>
    </row>
    <row r="1786" spans="1:6">
      <c r="A1786">
        <v>318600</v>
      </c>
      <c r="B1786">
        <v>2</v>
      </c>
      <c r="C1786">
        <v>1</v>
      </c>
      <c r="D1786" s="32">
        <v>43064.271354166667</v>
      </c>
      <c r="E1786">
        <v>8</v>
      </c>
      <c r="F1786" t="s">
        <v>15</v>
      </c>
    </row>
    <row r="1787" spans="1:6">
      <c r="A1787">
        <v>163053</v>
      </c>
      <c r="B1787">
        <v>2</v>
      </c>
      <c r="C1787">
        <v>2</v>
      </c>
      <c r="D1787" s="32">
        <v>43064.152349537035</v>
      </c>
      <c r="E1787">
        <v>8</v>
      </c>
      <c r="F1787" t="s">
        <v>15</v>
      </c>
    </row>
    <row r="1788" spans="1:6">
      <c r="A1788">
        <v>661344</v>
      </c>
      <c r="B1788">
        <v>2</v>
      </c>
      <c r="C1788">
        <v>1</v>
      </c>
      <c r="D1788" s="32">
        <v>43066.777766203704</v>
      </c>
      <c r="E1788">
        <v>6</v>
      </c>
      <c r="F1788" t="s">
        <v>15</v>
      </c>
    </row>
    <row r="1789" spans="1:6">
      <c r="A1789">
        <v>206996</v>
      </c>
      <c r="B1789">
        <v>2</v>
      </c>
      <c r="C1789">
        <v>1</v>
      </c>
      <c r="D1789" s="32">
        <v>43065.672442129631</v>
      </c>
      <c r="E1789">
        <v>7</v>
      </c>
      <c r="F1789" t="s">
        <v>15</v>
      </c>
    </row>
    <row r="1790" spans="1:6">
      <c r="A1790">
        <v>80661</v>
      </c>
      <c r="B1790">
        <v>2</v>
      </c>
      <c r="C1790">
        <v>1</v>
      </c>
      <c r="D1790" s="32">
        <v>43064.255567129629</v>
      </c>
      <c r="E1790">
        <v>8</v>
      </c>
      <c r="F1790" t="s">
        <v>15</v>
      </c>
    </row>
    <row r="1791" spans="1:6">
      <c r="A1791">
        <v>197902</v>
      </c>
      <c r="B1791">
        <v>2</v>
      </c>
      <c r="C1791">
        <v>1</v>
      </c>
      <c r="D1791" s="32">
        <v>43068.166608796295</v>
      </c>
      <c r="E1791">
        <v>4</v>
      </c>
      <c r="F1791" t="s">
        <v>15</v>
      </c>
    </row>
    <row r="1792" spans="1:6">
      <c r="A1792">
        <v>82084</v>
      </c>
      <c r="B1792">
        <v>2</v>
      </c>
      <c r="C1792">
        <v>1</v>
      </c>
      <c r="D1792" s="32">
        <v>43064.240636574075</v>
      </c>
      <c r="E1792">
        <v>8</v>
      </c>
      <c r="F1792" t="s">
        <v>15</v>
      </c>
    </row>
    <row r="1793" spans="1:6">
      <c r="A1793">
        <v>858444</v>
      </c>
      <c r="B1793">
        <v>2</v>
      </c>
      <c r="C1793">
        <v>1</v>
      </c>
      <c r="D1793" s="32">
        <v>43068.567071759258</v>
      </c>
      <c r="E1793">
        <v>4</v>
      </c>
      <c r="F1793" t="s">
        <v>15</v>
      </c>
    </row>
    <row r="1794" spans="1:6">
      <c r="A1794">
        <v>117446</v>
      </c>
      <c r="B1794">
        <v>2</v>
      </c>
      <c r="C1794">
        <v>1</v>
      </c>
      <c r="D1794" s="32">
        <v>43064.619525462964</v>
      </c>
      <c r="E1794">
        <v>8</v>
      </c>
      <c r="F1794" t="s">
        <v>15</v>
      </c>
    </row>
    <row r="1795" spans="1:6">
      <c r="A1795">
        <v>994618</v>
      </c>
      <c r="B1795">
        <v>2</v>
      </c>
      <c r="C1795">
        <v>1</v>
      </c>
      <c r="D1795" s="32">
        <v>43064.305196759262</v>
      </c>
      <c r="E1795">
        <v>8</v>
      </c>
      <c r="F1795" t="s">
        <v>15</v>
      </c>
    </row>
    <row r="1796" spans="1:6">
      <c r="A1796">
        <v>497492</v>
      </c>
      <c r="B1796">
        <v>2</v>
      </c>
      <c r="C1796">
        <v>1</v>
      </c>
      <c r="D1796" s="32">
        <v>43065.19394675926</v>
      </c>
      <c r="E1796">
        <v>7</v>
      </c>
      <c r="F1796" t="s">
        <v>15</v>
      </c>
    </row>
    <row r="1797" spans="1:6">
      <c r="A1797">
        <v>335083</v>
      </c>
      <c r="B1797">
        <v>2</v>
      </c>
      <c r="C1797">
        <v>1</v>
      </c>
      <c r="D1797" s="32">
        <v>43065.516226851854</v>
      </c>
      <c r="E1797">
        <v>7</v>
      </c>
      <c r="F1797" t="s">
        <v>15</v>
      </c>
    </row>
    <row r="1798" spans="1:6">
      <c r="A1798">
        <v>392177</v>
      </c>
      <c r="B1798">
        <v>2</v>
      </c>
      <c r="C1798">
        <v>1</v>
      </c>
      <c r="D1798" s="32">
        <v>43067.117129629631</v>
      </c>
      <c r="E1798">
        <v>5</v>
      </c>
      <c r="F1798" t="s">
        <v>15</v>
      </c>
    </row>
    <row r="1799" spans="1:6">
      <c r="A1799">
        <v>194124</v>
      </c>
      <c r="B1799">
        <v>2</v>
      </c>
      <c r="C1799">
        <v>1</v>
      </c>
      <c r="D1799" s="32">
        <v>43068.356064814812</v>
      </c>
      <c r="E1799">
        <v>4</v>
      </c>
      <c r="F1799" t="s">
        <v>15</v>
      </c>
    </row>
    <row r="1800" spans="1:6">
      <c r="A1800">
        <v>765830</v>
      </c>
      <c r="B1800">
        <v>2</v>
      </c>
      <c r="C1800">
        <v>1</v>
      </c>
      <c r="D1800" s="32">
        <v>43064.656701388885</v>
      </c>
      <c r="E1800">
        <v>8</v>
      </c>
      <c r="F1800" t="s">
        <v>15</v>
      </c>
    </row>
    <row r="1801" spans="1:6">
      <c r="A1801">
        <v>345026</v>
      </c>
      <c r="B1801">
        <v>2</v>
      </c>
      <c r="C1801">
        <v>1</v>
      </c>
      <c r="D1801" s="32">
        <v>43065.457939814813</v>
      </c>
      <c r="E1801">
        <v>7</v>
      </c>
      <c r="F1801" t="s">
        <v>15</v>
      </c>
    </row>
    <row r="1802" spans="1:6">
      <c r="A1802">
        <v>316264</v>
      </c>
      <c r="B1802">
        <v>2</v>
      </c>
      <c r="C1802">
        <v>1</v>
      </c>
      <c r="D1802" s="32">
        <v>43065.358518518522</v>
      </c>
      <c r="E1802">
        <v>7</v>
      </c>
      <c r="F1802" t="s">
        <v>15</v>
      </c>
    </row>
    <row r="1803" spans="1:6">
      <c r="A1803">
        <v>265273</v>
      </c>
      <c r="B1803">
        <v>2</v>
      </c>
      <c r="C1803">
        <v>1</v>
      </c>
      <c r="D1803" s="32">
        <v>43066.033703703702</v>
      </c>
      <c r="E1803">
        <v>6</v>
      </c>
      <c r="F1803" t="s">
        <v>15</v>
      </c>
    </row>
    <row r="1804" spans="1:6">
      <c r="A1804">
        <v>41233</v>
      </c>
      <c r="B1804">
        <v>2</v>
      </c>
      <c r="C1804">
        <v>2</v>
      </c>
      <c r="D1804" s="32">
        <v>43069.59851851852</v>
      </c>
      <c r="E1804">
        <v>3</v>
      </c>
      <c r="F1804" t="s">
        <v>15</v>
      </c>
    </row>
    <row r="1805" spans="1:6">
      <c r="A1805">
        <v>676047</v>
      </c>
      <c r="B1805">
        <v>2</v>
      </c>
      <c r="C1805">
        <v>1</v>
      </c>
      <c r="D1805" s="32">
        <v>43066.093692129631</v>
      </c>
      <c r="E1805">
        <v>6</v>
      </c>
      <c r="F1805" t="s">
        <v>15</v>
      </c>
    </row>
    <row r="1806" spans="1:6">
      <c r="A1806">
        <v>741147</v>
      </c>
      <c r="B1806">
        <v>2</v>
      </c>
      <c r="C1806">
        <v>1</v>
      </c>
      <c r="D1806" s="32">
        <v>43065.144699074073</v>
      </c>
      <c r="E1806">
        <v>7</v>
      </c>
      <c r="F1806" t="s">
        <v>15</v>
      </c>
    </row>
    <row r="1807" spans="1:6">
      <c r="A1807">
        <v>85659</v>
      </c>
      <c r="B1807">
        <v>2</v>
      </c>
      <c r="C1807">
        <v>1</v>
      </c>
      <c r="D1807" s="32">
        <v>43066.310347222221</v>
      </c>
      <c r="E1807">
        <v>6</v>
      </c>
      <c r="F1807" t="s">
        <v>15</v>
      </c>
    </row>
    <row r="1808" spans="1:6">
      <c r="A1808">
        <v>538260</v>
      </c>
      <c r="B1808">
        <v>2</v>
      </c>
      <c r="C1808">
        <v>1</v>
      </c>
      <c r="D1808" s="32">
        <v>43067.101747685185</v>
      </c>
      <c r="E1808">
        <v>5</v>
      </c>
      <c r="F1808" t="s">
        <v>15</v>
      </c>
    </row>
    <row r="1809" spans="1:6">
      <c r="A1809">
        <v>691837</v>
      </c>
      <c r="B1809">
        <v>2</v>
      </c>
      <c r="C1809">
        <v>1</v>
      </c>
      <c r="D1809" s="32">
        <v>43065.743738425925</v>
      </c>
      <c r="E1809">
        <v>7</v>
      </c>
      <c r="F1809" t="s">
        <v>15</v>
      </c>
    </row>
    <row r="1810" spans="1:6">
      <c r="A1810">
        <v>526631</v>
      </c>
      <c r="B1810">
        <v>2</v>
      </c>
      <c r="C1810">
        <v>1</v>
      </c>
      <c r="D1810" s="32">
        <v>43068.144884259258</v>
      </c>
      <c r="E1810">
        <v>4</v>
      </c>
      <c r="F1810" t="s">
        <v>15</v>
      </c>
    </row>
    <row r="1811" spans="1:6">
      <c r="A1811">
        <v>288209</v>
      </c>
      <c r="B1811">
        <v>2</v>
      </c>
      <c r="C1811">
        <v>1</v>
      </c>
      <c r="D1811" s="32">
        <v>43067.670335648145</v>
      </c>
      <c r="E1811">
        <v>5</v>
      </c>
      <c r="F1811" t="s">
        <v>15</v>
      </c>
    </row>
    <row r="1812" spans="1:6">
      <c r="A1812">
        <v>279496</v>
      </c>
      <c r="B1812">
        <v>2</v>
      </c>
      <c r="C1812">
        <v>1</v>
      </c>
      <c r="D1812" s="32">
        <v>43065.105324074073</v>
      </c>
      <c r="E1812">
        <v>7</v>
      </c>
      <c r="F1812" t="s">
        <v>15</v>
      </c>
    </row>
    <row r="1813" spans="1:6">
      <c r="A1813">
        <v>514133</v>
      </c>
      <c r="B1813">
        <v>2</v>
      </c>
      <c r="C1813">
        <v>1</v>
      </c>
      <c r="D1813" s="32">
        <v>43069.638599537036</v>
      </c>
      <c r="E1813">
        <v>3</v>
      </c>
      <c r="F1813" t="s">
        <v>15</v>
      </c>
    </row>
    <row r="1814" spans="1:6">
      <c r="A1814">
        <v>819340</v>
      </c>
      <c r="B1814">
        <v>2</v>
      </c>
      <c r="C1814">
        <v>1</v>
      </c>
      <c r="D1814" s="32">
        <v>43064.018229166664</v>
      </c>
      <c r="E1814">
        <v>8</v>
      </c>
      <c r="F1814" t="s">
        <v>15</v>
      </c>
    </row>
    <row r="1815" spans="1:6">
      <c r="A1815">
        <v>774934</v>
      </c>
      <c r="B1815">
        <v>2</v>
      </c>
      <c r="C1815">
        <v>1</v>
      </c>
      <c r="D1815" s="32">
        <v>43068.101446759261</v>
      </c>
      <c r="E1815">
        <v>4</v>
      </c>
      <c r="F1815" t="s">
        <v>15</v>
      </c>
    </row>
    <row r="1816" spans="1:6">
      <c r="A1816">
        <v>135550</v>
      </c>
      <c r="B1816">
        <v>2</v>
      </c>
      <c r="C1816">
        <v>1</v>
      </c>
      <c r="D1816" s="32">
        <v>43069.505254629628</v>
      </c>
      <c r="E1816">
        <v>3</v>
      </c>
      <c r="F1816" t="s">
        <v>15</v>
      </c>
    </row>
    <row r="1817" spans="1:6">
      <c r="A1817">
        <v>202073</v>
      </c>
      <c r="B1817">
        <v>2</v>
      </c>
      <c r="C1817">
        <v>1</v>
      </c>
      <c r="D1817" s="32">
        <v>43066.264016203706</v>
      </c>
      <c r="E1817">
        <v>6</v>
      </c>
      <c r="F1817" t="s">
        <v>15</v>
      </c>
    </row>
    <row r="1818" spans="1:6">
      <c r="A1818">
        <v>531591</v>
      </c>
      <c r="B1818">
        <v>2</v>
      </c>
      <c r="C1818">
        <v>1</v>
      </c>
      <c r="D1818" s="32">
        <v>43067.259282407409</v>
      </c>
      <c r="E1818">
        <v>5</v>
      </c>
      <c r="F1818" t="s">
        <v>15</v>
      </c>
    </row>
    <row r="1819" spans="1:6">
      <c r="A1819">
        <v>718464</v>
      </c>
      <c r="B1819">
        <v>2</v>
      </c>
      <c r="C1819">
        <v>1</v>
      </c>
      <c r="D1819" s="32">
        <v>43068.148090277777</v>
      </c>
      <c r="E1819">
        <v>4</v>
      </c>
      <c r="F1819" t="s">
        <v>15</v>
      </c>
    </row>
    <row r="1820" spans="1:6">
      <c r="A1820">
        <v>26144</v>
      </c>
      <c r="B1820">
        <v>2</v>
      </c>
      <c r="C1820">
        <v>1</v>
      </c>
      <c r="D1820" s="32">
        <v>43066.711273148147</v>
      </c>
      <c r="E1820">
        <v>6</v>
      </c>
      <c r="F1820" t="s">
        <v>15</v>
      </c>
    </row>
    <row r="1821" spans="1:6">
      <c r="A1821">
        <v>774538</v>
      </c>
      <c r="B1821">
        <v>2</v>
      </c>
      <c r="C1821">
        <v>1</v>
      </c>
      <c r="D1821" s="32">
        <v>43069.658634259256</v>
      </c>
      <c r="E1821">
        <v>3</v>
      </c>
      <c r="F1821" t="s">
        <v>15</v>
      </c>
    </row>
    <row r="1822" spans="1:6">
      <c r="A1822">
        <v>430329</v>
      </c>
      <c r="B1822">
        <v>2</v>
      </c>
      <c r="C1822">
        <v>1</v>
      </c>
      <c r="D1822" s="32">
        <v>43068.556458333333</v>
      </c>
      <c r="E1822">
        <v>4</v>
      </c>
      <c r="F1822" t="s">
        <v>15</v>
      </c>
    </row>
    <row r="1823" spans="1:6">
      <c r="A1823">
        <v>839995</v>
      </c>
      <c r="B1823">
        <v>2</v>
      </c>
      <c r="C1823">
        <v>1</v>
      </c>
      <c r="D1823" s="32">
        <v>43067.338287037041</v>
      </c>
      <c r="E1823">
        <v>5</v>
      </c>
      <c r="F1823" t="s">
        <v>15</v>
      </c>
    </row>
    <row r="1824" spans="1:6">
      <c r="A1824">
        <v>330382</v>
      </c>
      <c r="B1824">
        <v>2</v>
      </c>
      <c r="C1824">
        <v>1</v>
      </c>
      <c r="D1824" s="32">
        <v>43066.061215277776</v>
      </c>
      <c r="E1824">
        <v>6</v>
      </c>
      <c r="F1824" t="s">
        <v>15</v>
      </c>
    </row>
    <row r="1825" spans="1:6">
      <c r="A1825">
        <v>964043</v>
      </c>
      <c r="B1825">
        <v>2</v>
      </c>
      <c r="C1825">
        <v>1</v>
      </c>
      <c r="D1825" s="32">
        <v>43066.159409722219</v>
      </c>
      <c r="E1825">
        <v>6</v>
      </c>
      <c r="F1825" t="s">
        <v>15</v>
      </c>
    </row>
    <row r="1826" spans="1:6">
      <c r="A1826">
        <v>381372</v>
      </c>
      <c r="B1826">
        <v>2</v>
      </c>
      <c r="C1826">
        <v>1</v>
      </c>
      <c r="D1826" s="32">
        <v>43069.005995370368</v>
      </c>
      <c r="E1826">
        <v>3</v>
      </c>
      <c r="F1826" t="s">
        <v>15</v>
      </c>
    </row>
    <row r="1827" spans="1:6">
      <c r="A1827">
        <v>47440</v>
      </c>
      <c r="B1827">
        <v>2</v>
      </c>
      <c r="C1827">
        <v>1</v>
      </c>
      <c r="D1827" s="32">
        <v>43069.073437500003</v>
      </c>
      <c r="E1827">
        <v>3</v>
      </c>
      <c r="F1827" t="s">
        <v>15</v>
      </c>
    </row>
    <row r="1828" spans="1:6">
      <c r="A1828">
        <v>397787</v>
      </c>
      <c r="B1828">
        <v>2</v>
      </c>
      <c r="C1828">
        <v>1</v>
      </c>
      <c r="D1828" s="32">
        <v>43069.204247685186</v>
      </c>
      <c r="E1828">
        <v>3</v>
      </c>
      <c r="F1828" t="s">
        <v>15</v>
      </c>
    </row>
    <row r="1829" spans="1:6">
      <c r="A1829">
        <v>537186</v>
      </c>
      <c r="B1829">
        <v>2</v>
      </c>
      <c r="C1829">
        <v>1</v>
      </c>
      <c r="D1829" s="32">
        <v>43067.616249999999</v>
      </c>
      <c r="E1829">
        <v>5</v>
      </c>
      <c r="F1829" t="s">
        <v>15</v>
      </c>
    </row>
    <row r="1830" spans="1:6">
      <c r="A1830">
        <v>1017678</v>
      </c>
      <c r="B1830">
        <v>2</v>
      </c>
      <c r="C1830">
        <v>1</v>
      </c>
      <c r="D1830" s="32">
        <v>43068.168877314813</v>
      </c>
      <c r="E1830">
        <v>4</v>
      </c>
      <c r="F1830" t="s">
        <v>15</v>
      </c>
    </row>
    <row r="1831" spans="1:6">
      <c r="A1831">
        <v>527955</v>
      </c>
      <c r="B1831">
        <v>2</v>
      </c>
      <c r="C1831">
        <v>1</v>
      </c>
      <c r="D1831" s="32">
        <v>43066.214513888888</v>
      </c>
      <c r="E1831">
        <v>6</v>
      </c>
      <c r="F1831" t="s">
        <v>15</v>
      </c>
    </row>
    <row r="1832" spans="1:6">
      <c r="A1832">
        <v>337446</v>
      </c>
      <c r="B1832">
        <v>2</v>
      </c>
      <c r="C1832">
        <v>1</v>
      </c>
      <c r="D1832" s="32">
        <v>43068.041585648149</v>
      </c>
      <c r="E1832">
        <v>4</v>
      </c>
      <c r="F1832" t="s">
        <v>15</v>
      </c>
    </row>
    <row r="1833" spans="1:6">
      <c r="A1833">
        <v>149878</v>
      </c>
      <c r="B1833">
        <v>2</v>
      </c>
      <c r="C1833">
        <v>1</v>
      </c>
      <c r="D1833" s="32">
        <v>43068.721180555556</v>
      </c>
      <c r="E1833">
        <v>4</v>
      </c>
      <c r="F1833" t="s">
        <v>15</v>
      </c>
    </row>
    <row r="1834" spans="1:6">
      <c r="A1834">
        <v>156000</v>
      </c>
      <c r="B1834">
        <v>2</v>
      </c>
      <c r="C1834">
        <v>1</v>
      </c>
      <c r="D1834" s="32">
        <v>43069.135694444441</v>
      </c>
      <c r="E1834">
        <v>3</v>
      </c>
      <c r="F1834" t="s">
        <v>15</v>
      </c>
    </row>
    <row r="1835" spans="1:6">
      <c r="A1835">
        <v>745260</v>
      </c>
      <c r="B1835">
        <v>2</v>
      </c>
      <c r="C1835">
        <v>1</v>
      </c>
      <c r="D1835" s="32">
        <v>43065.591134259259</v>
      </c>
      <c r="E1835">
        <v>7</v>
      </c>
      <c r="F1835" t="s">
        <v>15</v>
      </c>
    </row>
    <row r="1836" spans="1:6">
      <c r="A1836">
        <v>766656</v>
      </c>
      <c r="B1836">
        <v>2</v>
      </c>
      <c r="C1836">
        <v>1</v>
      </c>
      <c r="D1836" s="32">
        <v>43068.124641203707</v>
      </c>
      <c r="E1836">
        <v>4</v>
      </c>
      <c r="F1836" t="s">
        <v>15</v>
      </c>
    </row>
    <row r="1837" spans="1:6">
      <c r="A1837">
        <v>230537</v>
      </c>
      <c r="B1837">
        <v>2</v>
      </c>
      <c r="C1837">
        <v>1</v>
      </c>
      <c r="D1837" s="32">
        <v>43068.305428240739</v>
      </c>
      <c r="E1837">
        <v>4</v>
      </c>
      <c r="F1837" t="s">
        <v>15</v>
      </c>
    </row>
    <row r="1838" spans="1:6">
      <c r="A1838">
        <v>216135</v>
      </c>
      <c r="B1838">
        <v>2</v>
      </c>
      <c r="C1838">
        <v>1</v>
      </c>
      <c r="D1838" s="32">
        <v>43064.345937500002</v>
      </c>
      <c r="E1838">
        <v>8</v>
      </c>
      <c r="F1838" t="s">
        <v>15</v>
      </c>
    </row>
    <row r="1839" spans="1:6">
      <c r="A1839">
        <v>714911</v>
      </c>
      <c r="B1839">
        <v>2</v>
      </c>
      <c r="C1839">
        <v>1</v>
      </c>
      <c r="D1839" s="32">
        <v>43068.452557870369</v>
      </c>
      <c r="E1839">
        <v>4</v>
      </c>
      <c r="F1839" t="s">
        <v>15</v>
      </c>
    </row>
    <row r="1840" spans="1:6">
      <c r="A1840">
        <v>522107</v>
      </c>
      <c r="B1840">
        <v>2</v>
      </c>
      <c r="C1840">
        <v>1</v>
      </c>
      <c r="D1840" s="32">
        <v>43069.576550925929</v>
      </c>
      <c r="E1840">
        <v>3</v>
      </c>
      <c r="F1840" t="s">
        <v>15</v>
      </c>
    </row>
    <row r="1841" spans="1:6">
      <c r="A1841">
        <v>477731</v>
      </c>
      <c r="B1841">
        <v>2</v>
      </c>
      <c r="C1841">
        <v>1</v>
      </c>
      <c r="D1841" s="32">
        <v>43064.059120370373</v>
      </c>
      <c r="E1841">
        <v>8</v>
      </c>
      <c r="F1841" t="s">
        <v>15</v>
      </c>
    </row>
    <row r="1842" spans="1:6">
      <c r="A1842">
        <v>31645</v>
      </c>
      <c r="B1842">
        <v>2</v>
      </c>
      <c r="C1842">
        <v>1</v>
      </c>
      <c r="D1842" s="32">
        <v>43069.489641203705</v>
      </c>
      <c r="E1842">
        <v>3</v>
      </c>
      <c r="F1842" t="s">
        <v>15</v>
      </c>
    </row>
    <row r="1843" spans="1:6">
      <c r="A1843">
        <v>925984</v>
      </c>
      <c r="B1843">
        <v>2</v>
      </c>
      <c r="C1843">
        <v>1</v>
      </c>
      <c r="D1843" s="32">
        <v>43068.528344907405</v>
      </c>
      <c r="E1843">
        <v>4</v>
      </c>
      <c r="F1843" t="s">
        <v>15</v>
      </c>
    </row>
    <row r="1844" spans="1:6">
      <c r="A1844">
        <v>30148</v>
      </c>
      <c r="B1844">
        <v>2</v>
      </c>
      <c r="C1844">
        <v>1</v>
      </c>
      <c r="D1844" s="32">
        <v>43067.985949074071</v>
      </c>
      <c r="E1844">
        <v>5</v>
      </c>
      <c r="F1844" t="s">
        <v>15</v>
      </c>
    </row>
    <row r="1845" spans="1:6">
      <c r="A1845">
        <v>398621</v>
      </c>
      <c r="B1845">
        <v>2</v>
      </c>
      <c r="C1845">
        <v>1</v>
      </c>
      <c r="D1845" s="32">
        <v>43067.348425925928</v>
      </c>
      <c r="E1845">
        <v>5</v>
      </c>
      <c r="F1845" t="s">
        <v>15</v>
      </c>
    </row>
    <row r="1846" spans="1:6">
      <c r="A1846">
        <v>748575</v>
      </c>
      <c r="B1846">
        <v>2</v>
      </c>
      <c r="C1846">
        <v>1</v>
      </c>
      <c r="D1846" s="32">
        <v>43065.384606481479</v>
      </c>
      <c r="E1846">
        <v>7</v>
      </c>
      <c r="F1846" t="s">
        <v>15</v>
      </c>
    </row>
    <row r="1847" spans="1:6">
      <c r="A1847">
        <v>85534</v>
      </c>
      <c r="B1847">
        <v>2</v>
      </c>
      <c r="C1847">
        <v>1</v>
      </c>
      <c r="D1847" s="32">
        <v>43069.364236111112</v>
      </c>
      <c r="E1847">
        <v>3</v>
      </c>
      <c r="F1847" t="s">
        <v>15</v>
      </c>
    </row>
    <row r="1848" spans="1:6">
      <c r="A1848">
        <v>39975</v>
      </c>
      <c r="B1848">
        <v>2</v>
      </c>
      <c r="C1848">
        <v>1</v>
      </c>
      <c r="D1848" s="32">
        <v>43068.150960648149</v>
      </c>
      <c r="E1848">
        <v>4</v>
      </c>
      <c r="F1848" t="s">
        <v>15</v>
      </c>
    </row>
    <row r="1849" spans="1:6">
      <c r="A1849">
        <v>624502</v>
      </c>
      <c r="B1849">
        <v>2</v>
      </c>
      <c r="C1849">
        <v>1</v>
      </c>
      <c r="D1849" s="32">
        <v>43068.670844907407</v>
      </c>
      <c r="E1849">
        <v>4</v>
      </c>
      <c r="F1849" t="s">
        <v>15</v>
      </c>
    </row>
    <row r="1850" spans="1:6">
      <c r="A1850">
        <v>900047</v>
      </c>
      <c r="B1850">
        <v>2</v>
      </c>
      <c r="C1850">
        <v>1</v>
      </c>
      <c r="D1850" s="32">
        <v>43065.115856481483</v>
      </c>
      <c r="E1850">
        <v>7</v>
      </c>
      <c r="F1850" t="s">
        <v>15</v>
      </c>
    </row>
    <row r="1851" spans="1:6">
      <c r="A1851">
        <v>71346</v>
      </c>
      <c r="B1851">
        <v>2</v>
      </c>
      <c r="C1851">
        <v>1</v>
      </c>
      <c r="D1851" s="32">
        <v>43068.401250000003</v>
      </c>
      <c r="E1851">
        <v>4</v>
      </c>
      <c r="F1851" t="s">
        <v>15</v>
      </c>
    </row>
    <row r="1852" spans="1:6">
      <c r="A1852">
        <v>361</v>
      </c>
      <c r="B1852">
        <v>2</v>
      </c>
      <c r="C1852">
        <v>1</v>
      </c>
      <c r="D1852" s="32">
        <v>43066.453958333332</v>
      </c>
      <c r="E1852">
        <v>6</v>
      </c>
      <c r="F1852" t="s">
        <v>15</v>
      </c>
    </row>
    <row r="1853" spans="1:6">
      <c r="A1853">
        <v>133183</v>
      </c>
      <c r="B1853">
        <v>2</v>
      </c>
      <c r="C1853">
        <v>2</v>
      </c>
      <c r="D1853" s="32">
        <v>43067.501423611109</v>
      </c>
      <c r="E1853">
        <v>5</v>
      </c>
      <c r="F1853" t="s">
        <v>15</v>
      </c>
    </row>
    <row r="1854" spans="1:6">
      <c r="A1854">
        <v>454335</v>
      </c>
      <c r="B1854">
        <v>2</v>
      </c>
      <c r="C1854">
        <v>1</v>
      </c>
      <c r="D1854" s="32">
        <v>43065.500925925924</v>
      </c>
      <c r="E1854">
        <v>7</v>
      </c>
      <c r="F1854" t="s">
        <v>15</v>
      </c>
    </row>
    <row r="1855" spans="1:6">
      <c r="A1855">
        <v>114073</v>
      </c>
      <c r="B1855">
        <v>2</v>
      </c>
      <c r="C1855">
        <v>2</v>
      </c>
      <c r="D1855" s="32">
        <v>43068.2656712963</v>
      </c>
      <c r="E1855">
        <v>4</v>
      </c>
      <c r="F1855" t="s">
        <v>15</v>
      </c>
    </row>
    <row r="1856" spans="1:6">
      <c r="A1856">
        <v>179223</v>
      </c>
      <c r="B1856">
        <v>2</v>
      </c>
      <c r="C1856">
        <v>1</v>
      </c>
      <c r="D1856" s="32">
        <v>43064.72755787037</v>
      </c>
      <c r="E1856">
        <v>8</v>
      </c>
      <c r="F1856" t="s">
        <v>15</v>
      </c>
    </row>
    <row r="1857" spans="1:6">
      <c r="A1857">
        <v>764031</v>
      </c>
      <c r="B1857">
        <v>2</v>
      </c>
      <c r="C1857">
        <v>1</v>
      </c>
      <c r="D1857" s="32">
        <v>43065.580833333333</v>
      </c>
      <c r="E1857">
        <v>7</v>
      </c>
      <c r="F1857" t="s">
        <v>15</v>
      </c>
    </row>
    <row r="1858" spans="1:6">
      <c r="A1858">
        <v>988188</v>
      </c>
      <c r="B1858">
        <v>2</v>
      </c>
      <c r="C1858">
        <v>1</v>
      </c>
      <c r="D1858" s="32">
        <v>43069.605034722219</v>
      </c>
      <c r="E1858">
        <v>3</v>
      </c>
      <c r="F1858" t="s">
        <v>15</v>
      </c>
    </row>
    <row r="1859" spans="1:6">
      <c r="A1859">
        <v>395369</v>
      </c>
      <c r="B1859">
        <v>2</v>
      </c>
      <c r="C1859">
        <v>1</v>
      </c>
      <c r="D1859" s="32">
        <v>43068.622002314813</v>
      </c>
      <c r="E1859">
        <v>4</v>
      </c>
      <c r="F1859" t="s">
        <v>15</v>
      </c>
    </row>
    <row r="1860" spans="1:6">
      <c r="A1860">
        <v>373953</v>
      </c>
      <c r="B1860">
        <v>2</v>
      </c>
      <c r="C1860">
        <v>1</v>
      </c>
      <c r="D1860" s="32">
        <v>43067.626030092593</v>
      </c>
      <c r="E1860">
        <v>5</v>
      </c>
      <c r="F1860" t="s">
        <v>15</v>
      </c>
    </row>
    <row r="1861" spans="1:6">
      <c r="A1861">
        <v>849264</v>
      </c>
      <c r="B1861">
        <v>2</v>
      </c>
      <c r="C1861">
        <v>1</v>
      </c>
      <c r="D1861" s="32">
        <v>43064.111030092594</v>
      </c>
      <c r="E1861">
        <v>8</v>
      </c>
      <c r="F1861" t="s">
        <v>15</v>
      </c>
    </row>
    <row r="1862" spans="1:6">
      <c r="A1862">
        <v>986505</v>
      </c>
      <c r="B1862">
        <v>2</v>
      </c>
      <c r="C1862">
        <v>1</v>
      </c>
      <c r="D1862" s="32">
        <v>43064.355127314811</v>
      </c>
      <c r="E1862">
        <v>8</v>
      </c>
      <c r="F1862" t="s">
        <v>15</v>
      </c>
    </row>
    <row r="1863" spans="1:6">
      <c r="A1863">
        <v>25838</v>
      </c>
      <c r="B1863">
        <v>2</v>
      </c>
      <c r="C1863">
        <v>1</v>
      </c>
      <c r="D1863" s="32">
        <v>43065.449305555558</v>
      </c>
      <c r="E1863">
        <v>7</v>
      </c>
      <c r="F1863" t="s">
        <v>15</v>
      </c>
    </row>
    <row r="1864" spans="1:6">
      <c r="A1864">
        <v>405186</v>
      </c>
      <c r="B1864">
        <v>2</v>
      </c>
      <c r="C1864">
        <v>1</v>
      </c>
      <c r="D1864" s="32">
        <v>43069.663252314815</v>
      </c>
      <c r="E1864">
        <v>3</v>
      </c>
      <c r="F1864" t="s">
        <v>15</v>
      </c>
    </row>
    <row r="1865" spans="1:6">
      <c r="A1865">
        <v>934431</v>
      </c>
      <c r="B1865">
        <v>2</v>
      </c>
      <c r="C1865">
        <v>1</v>
      </c>
      <c r="D1865" s="32">
        <v>43068.711331018516</v>
      </c>
      <c r="E1865">
        <v>4</v>
      </c>
      <c r="F1865" t="s">
        <v>15</v>
      </c>
    </row>
    <row r="1866" spans="1:6">
      <c r="A1866">
        <v>955629</v>
      </c>
      <c r="B1866">
        <v>2</v>
      </c>
      <c r="C1866">
        <v>3</v>
      </c>
      <c r="D1866" s="32">
        <v>43067.601712962962</v>
      </c>
      <c r="E1866">
        <v>5</v>
      </c>
      <c r="F1866" t="s">
        <v>15</v>
      </c>
    </row>
    <row r="1867" spans="1:6">
      <c r="A1867">
        <v>313718</v>
      </c>
      <c r="B1867">
        <v>2</v>
      </c>
      <c r="C1867">
        <v>1</v>
      </c>
      <c r="D1867" s="32">
        <v>43069.701805555553</v>
      </c>
      <c r="E1867">
        <v>3</v>
      </c>
      <c r="F1867" t="s">
        <v>15</v>
      </c>
    </row>
    <row r="1868" spans="1:6">
      <c r="A1868">
        <v>250740</v>
      </c>
      <c r="B1868">
        <v>2</v>
      </c>
      <c r="C1868">
        <v>1</v>
      </c>
      <c r="D1868" s="32">
        <v>43068.352175925924</v>
      </c>
      <c r="E1868">
        <v>4</v>
      </c>
      <c r="F1868" t="s">
        <v>15</v>
      </c>
    </row>
    <row r="1869" spans="1:6">
      <c r="A1869">
        <v>905512</v>
      </c>
      <c r="B1869">
        <v>2</v>
      </c>
      <c r="C1869">
        <v>1</v>
      </c>
      <c r="D1869" s="32">
        <v>43068.361180555556</v>
      </c>
      <c r="E1869">
        <v>4</v>
      </c>
      <c r="F1869" t="s">
        <v>15</v>
      </c>
    </row>
    <row r="1870" spans="1:6">
      <c r="A1870">
        <v>987270</v>
      </c>
      <c r="B1870">
        <v>2</v>
      </c>
      <c r="C1870">
        <v>1</v>
      </c>
      <c r="D1870" s="32">
        <v>43068.787789351853</v>
      </c>
      <c r="E1870">
        <v>4</v>
      </c>
      <c r="F1870" t="s">
        <v>15</v>
      </c>
    </row>
    <row r="1871" spans="1:6">
      <c r="A1871">
        <v>774955</v>
      </c>
      <c r="B1871">
        <v>2</v>
      </c>
      <c r="C1871">
        <v>1</v>
      </c>
      <c r="D1871" s="32">
        <v>43069.66479166667</v>
      </c>
      <c r="E1871">
        <v>3</v>
      </c>
      <c r="F1871" t="s">
        <v>15</v>
      </c>
    </row>
    <row r="1872" spans="1:6">
      <c r="A1872">
        <v>269547</v>
      </c>
      <c r="B1872">
        <v>2</v>
      </c>
      <c r="C1872">
        <v>1</v>
      </c>
      <c r="D1872" s="32">
        <v>43066.45548611111</v>
      </c>
      <c r="E1872">
        <v>6</v>
      </c>
      <c r="F1872" t="s">
        <v>15</v>
      </c>
    </row>
    <row r="1873" spans="1:6">
      <c r="A1873">
        <v>146826</v>
      </c>
      <c r="B1873">
        <v>2</v>
      </c>
      <c r="C1873">
        <v>1</v>
      </c>
      <c r="D1873" s="32">
        <v>43069.412210648145</v>
      </c>
      <c r="E1873">
        <v>3</v>
      </c>
      <c r="F1873" t="s">
        <v>15</v>
      </c>
    </row>
    <row r="1874" spans="1:6">
      <c r="A1874">
        <v>52192</v>
      </c>
      <c r="B1874">
        <v>2</v>
      </c>
      <c r="C1874">
        <v>1</v>
      </c>
      <c r="D1874" s="32">
        <v>43065.581631944442</v>
      </c>
      <c r="E1874">
        <v>7</v>
      </c>
      <c r="F1874" t="s">
        <v>15</v>
      </c>
    </row>
    <row r="1875" spans="1:6">
      <c r="A1875">
        <v>975832</v>
      </c>
      <c r="B1875">
        <v>2</v>
      </c>
      <c r="C1875">
        <v>1</v>
      </c>
      <c r="D1875" s="32">
        <v>43065.424062500002</v>
      </c>
      <c r="E1875">
        <v>7</v>
      </c>
      <c r="F1875" t="s">
        <v>15</v>
      </c>
    </row>
    <row r="1876" spans="1:6">
      <c r="A1876">
        <v>493949</v>
      </c>
      <c r="B1876">
        <v>2</v>
      </c>
      <c r="C1876">
        <v>1</v>
      </c>
      <c r="D1876" s="32">
        <v>43064.22142361111</v>
      </c>
      <c r="E1876">
        <v>8</v>
      </c>
      <c r="F1876" t="s">
        <v>15</v>
      </c>
    </row>
    <row r="1877" spans="1:6">
      <c r="A1877">
        <v>655761</v>
      </c>
      <c r="B1877">
        <v>2</v>
      </c>
      <c r="C1877">
        <v>1</v>
      </c>
      <c r="D1877" s="32">
        <v>43067.629872685182</v>
      </c>
      <c r="E1877">
        <v>5</v>
      </c>
      <c r="F1877" t="s">
        <v>15</v>
      </c>
    </row>
    <row r="1878" spans="1:6">
      <c r="A1878">
        <v>591328</v>
      </c>
      <c r="B1878">
        <v>2</v>
      </c>
      <c r="C1878">
        <v>1</v>
      </c>
      <c r="D1878" s="32">
        <v>43069.300127314818</v>
      </c>
      <c r="E1878">
        <v>3</v>
      </c>
      <c r="F1878" t="s">
        <v>15</v>
      </c>
    </row>
    <row r="1879" spans="1:6">
      <c r="A1879">
        <v>634118</v>
      </c>
      <c r="B1879">
        <v>2</v>
      </c>
      <c r="C1879">
        <v>1</v>
      </c>
      <c r="D1879" s="32">
        <v>43067.141550925924</v>
      </c>
      <c r="E1879">
        <v>5</v>
      </c>
      <c r="F1879" t="s">
        <v>15</v>
      </c>
    </row>
    <row r="1880" spans="1:6">
      <c r="A1880">
        <v>836002</v>
      </c>
      <c r="B1880">
        <v>2</v>
      </c>
      <c r="C1880">
        <v>1</v>
      </c>
      <c r="D1880" s="32">
        <v>43064.220972222225</v>
      </c>
      <c r="E1880">
        <v>8</v>
      </c>
      <c r="F1880" t="s">
        <v>15</v>
      </c>
    </row>
    <row r="1881" spans="1:6">
      <c r="A1881">
        <v>890703</v>
      </c>
      <c r="B1881">
        <v>2</v>
      </c>
      <c r="C1881">
        <v>2</v>
      </c>
      <c r="D1881" s="32">
        <v>43064.076666666668</v>
      </c>
      <c r="E1881">
        <v>8</v>
      </c>
      <c r="F1881" t="s">
        <v>15</v>
      </c>
    </row>
    <row r="1882" spans="1:6">
      <c r="A1882">
        <v>431533</v>
      </c>
      <c r="B1882">
        <v>2</v>
      </c>
      <c r="C1882">
        <v>1</v>
      </c>
      <c r="D1882" s="32">
        <v>43069.606944444444</v>
      </c>
      <c r="E1882">
        <v>3</v>
      </c>
      <c r="F1882" t="s">
        <v>15</v>
      </c>
    </row>
    <row r="1883" spans="1:6">
      <c r="A1883">
        <v>236077</v>
      </c>
      <c r="B1883">
        <v>2</v>
      </c>
      <c r="C1883">
        <v>1</v>
      </c>
      <c r="D1883" s="32">
        <v>43064.255416666667</v>
      </c>
      <c r="E1883">
        <v>8</v>
      </c>
      <c r="F1883" t="s">
        <v>15</v>
      </c>
    </row>
    <row r="1884" spans="1:6">
      <c r="A1884">
        <v>270591</v>
      </c>
      <c r="B1884">
        <v>2</v>
      </c>
      <c r="C1884">
        <v>1</v>
      </c>
      <c r="D1884" s="32">
        <v>43064.452384259261</v>
      </c>
      <c r="E1884">
        <v>8</v>
      </c>
      <c r="F1884" t="s">
        <v>15</v>
      </c>
    </row>
    <row r="1885" spans="1:6">
      <c r="A1885">
        <v>855881</v>
      </c>
      <c r="B1885">
        <v>2</v>
      </c>
      <c r="C1885">
        <v>1</v>
      </c>
      <c r="D1885" s="32">
        <v>43066.501273148147</v>
      </c>
      <c r="E1885">
        <v>6</v>
      </c>
      <c r="F1885" t="s">
        <v>15</v>
      </c>
    </row>
    <row r="1886" spans="1:6">
      <c r="A1886">
        <v>995669</v>
      </c>
      <c r="B1886">
        <v>2</v>
      </c>
      <c r="C1886">
        <v>1</v>
      </c>
      <c r="D1886" s="32">
        <v>43065.569155092591</v>
      </c>
      <c r="E1886">
        <v>7</v>
      </c>
      <c r="F1886" t="s">
        <v>15</v>
      </c>
    </row>
    <row r="1887" spans="1:6">
      <c r="A1887">
        <v>89853</v>
      </c>
      <c r="B1887">
        <v>2</v>
      </c>
      <c r="C1887">
        <v>1</v>
      </c>
      <c r="D1887" s="32">
        <v>43068.579884259256</v>
      </c>
      <c r="E1887">
        <v>4</v>
      </c>
      <c r="F1887" t="s">
        <v>15</v>
      </c>
    </row>
    <row r="1888" spans="1:6">
      <c r="A1888">
        <v>706922</v>
      </c>
      <c r="B1888">
        <v>2</v>
      </c>
      <c r="C1888">
        <v>1</v>
      </c>
      <c r="D1888" s="32">
        <v>43067.653043981481</v>
      </c>
      <c r="E1888">
        <v>5</v>
      </c>
      <c r="F1888" t="s">
        <v>15</v>
      </c>
    </row>
    <row r="1889" spans="1:6">
      <c r="A1889">
        <v>117195</v>
      </c>
      <c r="B1889">
        <v>2</v>
      </c>
      <c r="C1889">
        <v>1</v>
      </c>
      <c r="D1889" s="32">
        <v>43068.035462962966</v>
      </c>
      <c r="E1889">
        <v>4</v>
      </c>
      <c r="F1889" t="s">
        <v>15</v>
      </c>
    </row>
    <row r="1890" spans="1:6">
      <c r="A1890">
        <v>709821</v>
      </c>
      <c r="B1890">
        <v>2</v>
      </c>
      <c r="C1890">
        <v>1</v>
      </c>
      <c r="D1890" s="32">
        <v>43065.439733796295</v>
      </c>
      <c r="E1890">
        <v>7</v>
      </c>
      <c r="F1890" t="s">
        <v>15</v>
      </c>
    </row>
    <row r="1891" spans="1:6">
      <c r="A1891">
        <v>870044</v>
      </c>
      <c r="B1891">
        <v>2</v>
      </c>
      <c r="C1891">
        <v>1</v>
      </c>
      <c r="D1891" s="32">
        <v>43067.49422453704</v>
      </c>
      <c r="E1891">
        <v>5</v>
      </c>
      <c r="F1891" t="s">
        <v>15</v>
      </c>
    </row>
    <row r="1892" spans="1:6">
      <c r="A1892">
        <v>677925</v>
      </c>
      <c r="B1892">
        <v>2</v>
      </c>
      <c r="C1892">
        <v>1</v>
      </c>
      <c r="D1892" s="32">
        <v>43066.450162037036</v>
      </c>
      <c r="E1892">
        <v>6</v>
      </c>
      <c r="F1892" t="s">
        <v>15</v>
      </c>
    </row>
    <row r="1893" spans="1:6">
      <c r="A1893">
        <v>648375</v>
      </c>
      <c r="B1893">
        <v>2</v>
      </c>
      <c r="C1893">
        <v>1</v>
      </c>
      <c r="D1893" s="32">
        <v>43065.668692129628</v>
      </c>
      <c r="E1893">
        <v>7</v>
      </c>
      <c r="F1893" t="s">
        <v>15</v>
      </c>
    </row>
    <row r="1894" spans="1:6">
      <c r="A1894">
        <v>196772</v>
      </c>
      <c r="B1894">
        <v>2</v>
      </c>
      <c r="C1894">
        <v>1</v>
      </c>
      <c r="D1894" s="32">
        <v>43068.070844907408</v>
      </c>
      <c r="E1894">
        <v>4</v>
      </c>
      <c r="F1894" t="s">
        <v>15</v>
      </c>
    </row>
    <row r="1895" spans="1:6">
      <c r="A1895">
        <v>324356</v>
      </c>
      <c r="B1895">
        <v>2</v>
      </c>
      <c r="C1895">
        <v>1</v>
      </c>
      <c r="D1895" s="32">
        <v>43066.270891203705</v>
      </c>
      <c r="E1895">
        <v>6</v>
      </c>
      <c r="F1895" t="s">
        <v>15</v>
      </c>
    </row>
    <row r="1896" spans="1:6">
      <c r="A1896">
        <v>698796</v>
      </c>
      <c r="B1896">
        <v>2</v>
      </c>
      <c r="C1896">
        <v>1</v>
      </c>
      <c r="D1896" s="32">
        <v>43065.087812500002</v>
      </c>
      <c r="E1896">
        <v>7</v>
      </c>
      <c r="F1896" t="s">
        <v>15</v>
      </c>
    </row>
    <row r="1897" spans="1:6">
      <c r="A1897">
        <v>159373</v>
      </c>
      <c r="B1897">
        <v>2</v>
      </c>
      <c r="C1897">
        <v>1</v>
      </c>
      <c r="D1897" s="32">
        <v>43065.541319444441</v>
      </c>
      <c r="E1897">
        <v>7</v>
      </c>
      <c r="F1897" t="s">
        <v>15</v>
      </c>
    </row>
    <row r="1898" spans="1:6">
      <c r="A1898">
        <v>762697</v>
      </c>
      <c r="B1898">
        <v>2</v>
      </c>
      <c r="C1898">
        <v>1</v>
      </c>
      <c r="D1898" s="32">
        <v>43069.568819444445</v>
      </c>
      <c r="E1898">
        <v>3</v>
      </c>
      <c r="F1898" t="s">
        <v>15</v>
      </c>
    </row>
    <row r="1899" spans="1:6">
      <c r="A1899">
        <v>45932</v>
      </c>
      <c r="B1899">
        <v>2</v>
      </c>
      <c r="C1899">
        <v>1</v>
      </c>
      <c r="D1899" s="32">
        <v>43069.040046296293</v>
      </c>
      <c r="E1899">
        <v>3</v>
      </c>
      <c r="F1899" t="s">
        <v>15</v>
      </c>
    </row>
    <row r="1900" spans="1:6">
      <c r="A1900">
        <v>338057</v>
      </c>
      <c r="B1900">
        <v>2</v>
      </c>
      <c r="C1900">
        <v>1</v>
      </c>
      <c r="D1900" s="32">
        <v>43068.120428240742</v>
      </c>
      <c r="E1900">
        <v>4</v>
      </c>
      <c r="F1900" t="s">
        <v>15</v>
      </c>
    </row>
    <row r="1901" spans="1:6">
      <c r="A1901">
        <v>923109</v>
      </c>
      <c r="B1901">
        <v>2</v>
      </c>
      <c r="C1901">
        <v>2</v>
      </c>
      <c r="D1901" s="32">
        <v>43067.214467592596</v>
      </c>
      <c r="E1901">
        <v>5</v>
      </c>
      <c r="F1901" t="s">
        <v>15</v>
      </c>
    </row>
    <row r="1902" spans="1:6">
      <c r="A1902">
        <v>265631</v>
      </c>
      <c r="B1902">
        <v>2</v>
      </c>
      <c r="C1902">
        <v>1</v>
      </c>
      <c r="D1902" s="32">
        <v>43068.524571759262</v>
      </c>
      <c r="E1902">
        <v>4</v>
      </c>
      <c r="F1902" t="s">
        <v>15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54350-5DEA-4B57-801C-AD08AFC25952}">
  <dimension ref="A1:M24"/>
  <sheetViews>
    <sheetView tabSelected="1" topLeftCell="F1" workbookViewId="0">
      <selection activeCell="H11" sqref="H11:M13"/>
    </sheetView>
  </sheetViews>
  <sheetFormatPr defaultRowHeight="14.4"/>
  <cols>
    <col min="1" max="1" width="16.21875" customWidth="1"/>
    <col min="2" max="2" width="15.6640625" customWidth="1"/>
    <col min="3" max="3" width="24.6640625" customWidth="1"/>
    <col min="4" max="4" width="12" customWidth="1"/>
    <col min="5" max="5" width="16.88671875" customWidth="1"/>
    <col min="6" max="6" width="19.44140625" customWidth="1"/>
    <col min="7" max="7" width="18.6640625" customWidth="1"/>
    <col min="8" max="8" width="27.5546875" customWidth="1"/>
    <col min="9" max="9" width="24.33203125" customWidth="1"/>
    <col min="10" max="10" width="17.5546875" customWidth="1"/>
    <col min="11" max="11" width="27" customWidth="1"/>
    <col min="12" max="12" width="25.5546875" customWidth="1"/>
    <col min="13" max="13" width="29.6640625" customWidth="1"/>
  </cols>
  <sheetData>
    <row r="1" spans="1:13" ht="15" thickBot="1">
      <c r="A1" s="85" t="s">
        <v>83</v>
      </c>
      <c r="B1" s="82" t="s">
        <v>173</v>
      </c>
      <c r="C1" s="63" t="s">
        <v>85</v>
      </c>
      <c r="D1" s="64" t="s">
        <v>86</v>
      </c>
      <c r="E1" s="64" t="s">
        <v>87</v>
      </c>
      <c r="F1" s="64" t="s">
        <v>88</v>
      </c>
      <c r="G1" s="64" t="s">
        <v>89</v>
      </c>
      <c r="H1" s="64" t="s">
        <v>90</v>
      </c>
      <c r="I1" s="64" t="s">
        <v>177</v>
      </c>
      <c r="J1" s="64" t="s">
        <v>91</v>
      </c>
      <c r="K1" s="64" t="s">
        <v>175</v>
      </c>
      <c r="L1" s="64" t="s">
        <v>92</v>
      </c>
      <c r="M1" s="64" t="s">
        <v>174</v>
      </c>
    </row>
    <row r="2" spans="1:13" ht="30" thickTop="1" thickBot="1">
      <c r="A2" s="86">
        <v>0.15</v>
      </c>
      <c r="B2" s="83" t="s">
        <v>151</v>
      </c>
      <c r="C2" s="65">
        <f>COUNTIFS('LoyaltyUsers-Data'!B:B,"&gt;=2",'LoyaltyUsers-Data'!C:C,"&gt;=2")</f>
        <v>205</v>
      </c>
      <c r="D2" s="66">
        <v>242386</v>
      </c>
      <c r="E2" s="67">
        <f>C2/D2</f>
        <v>8.4575841839050112E-4</v>
      </c>
      <c r="F2" s="67">
        <f>COUNT('LoyaltyUsers-Data'!A:A)</f>
        <v>1901</v>
      </c>
      <c r="G2" s="67">
        <f>ROUND(0.01*D2,0)</f>
        <v>2424</v>
      </c>
      <c r="H2" s="67">
        <f>ROUND(A2*F2,0)</f>
        <v>285</v>
      </c>
      <c r="I2" s="67">
        <f>Table23[[#This Row],[Expected New Loyal Users]]+Table23[[#This Row],[Currently Loyal Users]]</f>
        <v>490</v>
      </c>
      <c r="J2" s="68">
        <v>250</v>
      </c>
      <c r="K2" s="69">
        <f>H2*J2</f>
        <v>71250</v>
      </c>
      <c r="L2" s="70">
        <f>('LoyaltyUsers-Simulated Sol'!$H2+'LoyaltyUsers-Simulated Sol'!$C2)/'LoyaltyUsers-Simulated Sol'!$D2</f>
        <v>2.0215689024943684E-3</v>
      </c>
      <c r="M2" s="71">
        <f>('LoyaltyUsers-Simulated Sol'!$L2-'LoyaltyUsers-Simulated Sol'!$E2)/'LoyaltyUsers-Simulated Sol'!$E2</f>
        <v>1.3902439024390243</v>
      </c>
    </row>
    <row r="3" spans="1:13" ht="15.6" thickTop="1" thickBot="1">
      <c r="A3" s="87">
        <v>0.25</v>
      </c>
      <c r="B3" s="84" t="s">
        <v>152</v>
      </c>
      <c r="C3" s="72">
        <f>COUNTIFS('LoyaltyUsers-Data'!B:B,"&gt;=2",'LoyaltyUsers-Data'!C:C,"&gt;=2")</f>
        <v>205</v>
      </c>
      <c r="D3" s="73">
        <v>242386</v>
      </c>
      <c r="E3" s="56">
        <f t="shared" ref="E3:E4" si="0">C3/D3</f>
        <v>8.4575841839050112E-4</v>
      </c>
      <c r="F3" s="56">
        <f>COUNT('LoyaltyUsers-Data'!A:A)</f>
        <v>1901</v>
      </c>
      <c r="G3" s="56">
        <f t="shared" ref="G3:G4" si="1">ROUND(0.01*D3,0)</f>
        <v>2424</v>
      </c>
      <c r="H3" s="56">
        <f>ROUND(A3*F3,0)</f>
        <v>475</v>
      </c>
      <c r="I3" s="67">
        <f>Table23[[#This Row],[Expected New Loyal Users]]+Table23[[#This Row],[Currently Loyal Users]]</f>
        <v>680</v>
      </c>
      <c r="J3" s="68">
        <v>250</v>
      </c>
      <c r="K3" s="74">
        <f>H3*J3</f>
        <v>118750</v>
      </c>
      <c r="L3" s="75">
        <f>('LoyaltyUsers-Simulated Sol'!$H3+'LoyaltyUsers-Simulated Sol'!$C3)/'LoyaltyUsers-Simulated Sol'!$D3</f>
        <v>2.8054425585636133E-3</v>
      </c>
      <c r="M3" s="76">
        <f>('LoyaltyUsers-Simulated Sol'!$L3-'LoyaltyUsers-Simulated Sol'!$E3)/'LoyaltyUsers-Simulated Sol'!$E3</f>
        <v>2.3170731707317076</v>
      </c>
    </row>
    <row r="4" spans="1:13" ht="46.8" customHeight="1" thickTop="1" thickBot="1">
      <c r="A4" s="88">
        <v>0.3</v>
      </c>
      <c r="B4" s="60" t="s">
        <v>153</v>
      </c>
      <c r="C4" s="77">
        <f>COUNTIFS('LoyaltyUsers-Data'!B:B,"&gt;=2",'LoyaltyUsers-Data'!C:C,"&gt;=2")</f>
        <v>205</v>
      </c>
      <c r="D4" s="78">
        <v>242386</v>
      </c>
      <c r="E4" s="59">
        <f t="shared" si="0"/>
        <v>8.4575841839050112E-4</v>
      </c>
      <c r="F4" s="59">
        <f>COUNT('LoyaltyUsers-Data'!A:A)</f>
        <v>1901</v>
      </c>
      <c r="G4" s="59">
        <f t="shared" si="1"/>
        <v>2424</v>
      </c>
      <c r="H4" s="59">
        <f>ROUND(A4*F4,0)</f>
        <v>570</v>
      </c>
      <c r="I4" s="67">
        <f>Table23[[#This Row],[Expected New Loyal Users]]+Table23[[#This Row],[Currently Loyal Users]]</f>
        <v>775</v>
      </c>
      <c r="J4" s="62">
        <v>250</v>
      </c>
      <c r="K4" s="79">
        <f>H4*J4</f>
        <v>142500</v>
      </c>
      <c r="L4" s="80">
        <f>('LoyaltyUsers-Simulated Sol'!$H4+'LoyaltyUsers-Simulated Sol'!$C4)/'LoyaltyUsers-Simulated Sol'!$D4</f>
        <v>3.1973793865982358E-3</v>
      </c>
      <c r="M4" s="81">
        <f>('LoyaltyUsers-Simulated Sol'!$L4-'LoyaltyUsers-Simulated Sol'!$E4)/'LoyaltyUsers-Simulated Sol'!$E4</f>
        <v>2.780487804878049</v>
      </c>
    </row>
    <row r="5" spans="1:13" ht="14.4" customHeight="1"/>
    <row r="6" spans="1:13" ht="14.4" customHeight="1"/>
    <row r="7" spans="1:13" ht="14.4" customHeight="1"/>
    <row r="8" spans="1:13" ht="14.4" customHeight="1"/>
    <row r="9" spans="1:13" ht="14.4" customHeight="1"/>
    <row r="10" spans="1:13" ht="14.4" customHeight="1"/>
    <row r="11" spans="1:13" ht="14.4" customHeight="1">
      <c r="E11" s="61" t="s">
        <v>93</v>
      </c>
      <c r="F11" s="61"/>
      <c r="G11" s="61"/>
      <c r="H11" s="61"/>
      <c r="I11" s="61"/>
    </row>
    <row r="12" spans="1:13" ht="14.4" customHeight="1">
      <c r="E12" s="61"/>
      <c r="F12" s="61"/>
      <c r="G12" s="61"/>
      <c r="H12" s="61"/>
      <c r="I12" s="61"/>
    </row>
    <row r="13" spans="1:13" ht="14.4" customHeight="1">
      <c r="E13" s="61"/>
      <c r="F13" s="61"/>
      <c r="G13" s="61"/>
      <c r="H13" s="61"/>
      <c r="I13" s="61"/>
    </row>
    <row r="14" spans="1:13" ht="14.4" customHeight="1">
      <c r="E14" s="61"/>
      <c r="F14" s="61"/>
      <c r="G14" s="61"/>
      <c r="H14" s="61"/>
      <c r="I14" s="61"/>
    </row>
    <row r="15" spans="1:13" ht="14.4" customHeight="1">
      <c r="E15" s="61"/>
      <c r="F15" s="61"/>
      <c r="G15" s="61"/>
      <c r="H15" s="61"/>
      <c r="I15" s="61"/>
    </row>
    <row r="16" spans="1:13" ht="14.4" customHeight="1">
      <c r="E16" s="61"/>
      <c r="F16" s="61"/>
      <c r="G16" s="61"/>
      <c r="H16" s="61"/>
      <c r="I16" s="61"/>
    </row>
    <row r="17" spans="3:9" ht="14.4" customHeight="1">
      <c r="E17" s="61"/>
      <c r="F17" s="61"/>
      <c r="G17" s="61"/>
      <c r="H17" s="61"/>
      <c r="I17" s="61"/>
    </row>
    <row r="18" spans="3:9" ht="14.4" customHeight="1">
      <c r="C18" s="61"/>
      <c r="D18" s="61"/>
      <c r="E18" s="61"/>
      <c r="F18" s="61"/>
      <c r="G18" s="61"/>
      <c r="H18" s="61"/>
      <c r="I18" s="61"/>
    </row>
    <row r="19" spans="3:9" ht="14.4" customHeight="1">
      <c r="C19" s="61"/>
      <c r="D19" s="61"/>
      <c r="E19" s="61"/>
      <c r="F19" s="61"/>
      <c r="G19" s="61"/>
      <c r="H19" s="61"/>
      <c r="I19" s="61"/>
    </row>
    <row r="20" spans="3:9" ht="14.4" customHeight="1">
      <c r="C20" s="61"/>
      <c r="D20" s="61"/>
      <c r="E20" s="61"/>
      <c r="F20" s="61"/>
      <c r="G20" s="61"/>
      <c r="H20" s="61"/>
      <c r="I20" s="61"/>
    </row>
    <row r="21" spans="3:9" ht="14.4" customHeight="1">
      <c r="C21" s="61"/>
      <c r="D21" s="61"/>
      <c r="E21" s="61"/>
      <c r="F21" s="61"/>
      <c r="G21" s="61"/>
      <c r="H21" s="61"/>
      <c r="I21" s="61"/>
    </row>
    <row r="22" spans="3:9" ht="18">
      <c r="E22" s="61"/>
      <c r="F22" s="61"/>
      <c r="G22" s="61"/>
      <c r="H22" s="61"/>
      <c r="I22" s="61"/>
    </row>
    <row r="23" spans="3:9" ht="18">
      <c r="E23" s="61"/>
      <c r="F23" s="61"/>
      <c r="G23" s="61"/>
      <c r="H23" s="61"/>
      <c r="I23" s="61"/>
    </row>
    <row r="24" spans="3:9" ht="18">
      <c r="E24" s="61"/>
      <c r="F24" s="61"/>
      <c r="G24" s="61"/>
      <c r="H24" s="61"/>
      <c r="I24" s="61"/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79A48-E144-4464-947C-1BED9C2FAEEA}">
  <dimension ref="A1:E25"/>
  <sheetViews>
    <sheetView workbookViewId="0">
      <selection activeCell="E25" sqref="A1:E25"/>
    </sheetView>
  </sheetViews>
  <sheetFormatPr defaultRowHeight="14.4"/>
  <cols>
    <col min="1" max="1" width="13" bestFit="1" customWidth="1"/>
    <col min="2" max="2" width="14" bestFit="1" customWidth="1"/>
    <col min="3" max="3" width="7.88671875" bestFit="1" customWidth="1"/>
    <col min="4" max="4" width="8.6640625" bestFit="1" customWidth="1"/>
    <col min="5" max="5" width="11.5546875" bestFit="1" customWidth="1"/>
  </cols>
  <sheetData>
    <row r="1" spans="1:5">
      <c r="A1" t="s">
        <v>17</v>
      </c>
      <c r="B1" t="s">
        <v>3</v>
      </c>
      <c r="C1" t="s">
        <v>18</v>
      </c>
      <c r="D1" t="s">
        <v>19</v>
      </c>
      <c r="E1" t="s">
        <v>20</v>
      </c>
    </row>
    <row r="2" spans="1:5">
      <c r="A2">
        <v>14</v>
      </c>
      <c r="B2">
        <v>47848</v>
      </c>
      <c r="C2">
        <v>42986</v>
      </c>
      <c r="D2">
        <v>2783</v>
      </c>
      <c r="E2">
        <v>719</v>
      </c>
    </row>
    <row r="3" spans="1:5">
      <c r="A3">
        <v>13</v>
      </c>
      <c r="B3">
        <v>46821</v>
      </c>
      <c r="C3">
        <v>42412</v>
      </c>
      <c r="D3">
        <v>2529</v>
      </c>
      <c r="E3">
        <v>705</v>
      </c>
    </row>
    <row r="4" spans="1:5">
      <c r="A4">
        <v>12</v>
      </c>
      <c r="B4">
        <v>39645</v>
      </c>
      <c r="C4">
        <v>35945</v>
      </c>
      <c r="D4">
        <v>2113</v>
      </c>
      <c r="E4">
        <v>603</v>
      </c>
    </row>
    <row r="5" spans="1:5">
      <c r="A5">
        <v>15</v>
      </c>
      <c r="B5">
        <v>37114</v>
      </c>
      <c r="C5">
        <v>33160</v>
      </c>
      <c r="D5">
        <v>2297</v>
      </c>
      <c r="E5">
        <v>529</v>
      </c>
    </row>
    <row r="6" spans="1:5">
      <c r="A6">
        <v>8</v>
      </c>
      <c r="B6">
        <v>24817</v>
      </c>
      <c r="C6">
        <v>22371</v>
      </c>
      <c r="D6">
        <v>1271</v>
      </c>
      <c r="E6">
        <v>467</v>
      </c>
    </row>
    <row r="7" spans="1:5">
      <c r="A7">
        <v>11</v>
      </c>
      <c r="B7">
        <v>30391</v>
      </c>
      <c r="C7">
        <v>27687</v>
      </c>
      <c r="D7">
        <v>1473</v>
      </c>
      <c r="E7">
        <v>466</v>
      </c>
    </row>
    <row r="8" spans="1:5">
      <c r="A8">
        <v>5</v>
      </c>
      <c r="B8">
        <v>24016</v>
      </c>
      <c r="C8">
        <v>21606</v>
      </c>
      <c r="D8">
        <v>1282</v>
      </c>
      <c r="E8">
        <v>461</v>
      </c>
    </row>
    <row r="9" spans="1:5">
      <c r="A9">
        <v>7</v>
      </c>
      <c r="B9">
        <v>25745</v>
      </c>
      <c r="C9">
        <v>23303</v>
      </c>
      <c r="D9">
        <v>1361</v>
      </c>
      <c r="E9">
        <v>459</v>
      </c>
    </row>
    <row r="10" spans="1:5">
      <c r="A10">
        <v>3</v>
      </c>
      <c r="B10">
        <v>21784</v>
      </c>
      <c r="C10">
        <v>19444</v>
      </c>
      <c r="D10">
        <v>1228</v>
      </c>
      <c r="E10">
        <v>457</v>
      </c>
    </row>
    <row r="11" spans="1:5">
      <c r="A11">
        <v>6</v>
      </c>
      <c r="B11">
        <v>24783</v>
      </c>
      <c r="C11">
        <v>22328</v>
      </c>
      <c r="D11">
        <v>1323</v>
      </c>
      <c r="E11">
        <v>444</v>
      </c>
    </row>
    <row r="12" spans="1:5">
      <c r="A12">
        <v>4</v>
      </c>
      <c r="B12">
        <v>21102</v>
      </c>
      <c r="C12">
        <v>18902</v>
      </c>
      <c r="D12">
        <v>1129</v>
      </c>
      <c r="E12">
        <v>431</v>
      </c>
    </row>
    <row r="13" spans="1:5">
      <c r="A13">
        <v>2</v>
      </c>
      <c r="B13">
        <v>22683</v>
      </c>
      <c r="C13">
        <v>20351</v>
      </c>
      <c r="D13">
        <v>1222</v>
      </c>
      <c r="E13">
        <v>418</v>
      </c>
    </row>
    <row r="14" spans="1:5">
      <c r="A14">
        <v>10</v>
      </c>
      <c r="B14">
        <v>22755</v>
      </c>
      <c r="C14">
        <v>20657</v>
      </c>
      <c r="D14">
        <v>1123</v>
      </c>
      <c r="E14">
        <v>366</v>
      </c>
    </row>
    <row r="15" spans="1:5">
      <c r="A15">
        <v>9</v>
      </c>
      <c r="B15">
        <v>21826</v>
      </c>
      <c r="C15">
        <v>19725</v>
      </c>
      <c r="D15">
        <v>1150</v>
      </c>
      <c r="E15">
        <v>355</v>
      </c>
    </row>
    <row r="16" spans="1:5">
      <c r="A16">
        <v>1</v>
      </c>
      <c r="B16">
        <v>18795</v>
      </c>
      <c r="C16">
        <v>16926</v>
      </c>
      <c r="D16">
        <v>960</v>
      </c>
      <c r="E16">
        <v>342</v>
      </c>
    </row>
    <row r="17" spans="1:5">
      <c r="A17">
        <v>16</v>
      </c>
      <c r="B17">
        <v>18174</v>
      </c>
      <c r="C17">
        <v>16370</v>
      </c>
      <c r="D17">
        <v>988</v>
      </c>
      <c r="E17">
        <v>260</v>
      </c>
    </row>
    <row r="18" spans="1:5">
      <c r="A18">
        <v>0</v>
      </c>
      <c r="B18">
        <v>15296</v>
      </c>
      <c r="C18">
        <v>13754</v>
      </c>
      <c r="D18">
        <v>844</v>
      </c>
      <c r="E18">
        <v>248</v>
      </c>
    </row>
    <row r="19" spans="1:5">
      <c r="A19">
        <v>17</v>
      </c>
      <c r="B19">
        <v>8594</v>
      </c>
      <c r="C19">
        <v>7706</v>
      </c>
      <c r="D19">
        <v>481</v>
      </c>
      <c r="E19">
        <v>128</v>
      </c>
    </row>
    <row r="20" spans="1:5">
      <c r="A20">
        <v>23</v>
      </c>
      <c r="B20">
        <v>9470</v>
      </c>
      <c r="C20">
        <v>8498</v>
      </c>
      <c r="D20">
        <v>562</v>
      </c>
      <c r="E20">
        <v>113</v>
      </c>
    </row>
    <row r="21" spans="1:5">
      <c r="A21">
        <v>22</v>
      </c>
      <c r="B21">
        <v>5446</v>
      </c>
      <c r="C21">
        <v>4897</v>
      </c>
      <c r="D21">
        <v>345</v>
      </c>
      <c r="E21">
        <v>55</v>
      </c>
    </row>
    <row r="22" spans="1:5">
      <c r="A22">
        <v>18</v>
      </c>
      <c r="B22">
        <v>4563</v>
      </c>
      <c r="C22">
        <v>4128</v>
      </c>
      <c r="D22">
        <v>237</v>
      </c>
      <c r="E22">
        <v>54</v>
      </c>
    </row>
    <row r="23" spans="1:5">
      <c r="A23">
        <v>19</v>
      </c>
      <c r="B23">
        <v>2971</v>
      </c>
      <c r="C23">
        <v>2679</v>
      </c>
      <c r="D23">
        <v>159</v>
      </c>
      <c r="E23">
        <v>53</v>
      </c>
    </row>
    <row r="24" spans="1:5">
      <c r="A24">
        <v>20</v>
      </c>
      <c r="B24">
        <v>2371</v>
      </c>
      <c r="C24">
        <v>2120</v>
      </c>
      <c r="D24">
        <v>149</v>
      </c>
      <c r="E24">
        <v>32</v>
      </c>
    </row>
    <row r="25" spans="1:5">
      <c r="A25">
        <v>21</v>
      </c>
      <c r="B25">
        <v>2990</v>
      </c>
      <c r="C25">
        <v>2717</v>
      </c>
      <c r="D25">
        <v>180</v>
      </c>
      <c r="E25">
        <v>29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BB09F-90D9-4254-A9DC-C578DC3A452E}">
  <dimension ref="A1:L45"/>
  <sheetViews>
    <sheetView topLeftCell="A19" workbookViewId="0">
      <selection activeCell="L25" sqref="A1:L25"/>
    </sheetView>
  </sheetViews>
  <sheetFormatPr defaultRowHeight="14.4"/>
  <cols>
    <col min="1" max="1" width="12.77734375" customWidth="1"/>
    <col min="2" max="2" width="31" customWidth="1"/>
    <col min="3" max="3" width="18.77734375" customWidth="1"/>
    <col min="5" max="5" width="12.5546875" customWidth="1"/>
    <col min="6" max="6" width="21.33203125" style="43" customWidth="1"/>
    <col min="7" max="7" width="20.109375" customWidth="1"/>
    <col min="8" max="8" width="29.109375" customWidth="1"/>
    <col min="9" max="9" width="22.33203125" customWidth="1"/>
    <col min="10" max="10" width="20.33203125" customWidth="1"/>
    <col min="11" max="11" width="16" customWidth="1"/>
    <col min="12" max="12" width="15.44140625" customWidth="1"/>
  </cols>
  <sheetData>
    <row r="1" spans="1:12">
      <c r="A1" t="s">
        <v>17</v>
      </c>
      <c r="B1" t="s">
        <v>3</v>
      </c>
      <c r="C1" t="s">
        <v>18</v>
      </c>
      <c r="D1" t="s">
        <v>19</v>
      </c>
      <c r="E1" t="s">
        <v>20</v>
      </c>
      <c r="F1" s="43" t="s">
        <v>83</v>
      </c>
      <c r="G1" t="s">
        <v>91</v>
      </c>
      <c r="H1" t="s">
        <v>94</v>
      </c>
      <c r="I1" t="s">
        <v>95</v>
      </c>
      <c r="J1" t="s">
        <v>176</v>
      </c>
      <c r="K1" t="s">
        <v>168</v>
      </c>
      <c r="L1" t="s">
        <v>96</v>
      </c>
    </row>
    <row r="2" spans="1:12">
      <c r="A2">
        <v>0</v>
      </c>
      <c r="B2">
        <v>15296</v>
      </c>
      <c r="C2">
        <v>13754</v>
      </c>
      <c r="D2">
        <v>844</v>
      </c>
      <c r="E2">
        <v>248</v>
      </c>
      <c r="F2" s="43">
        <f>ROUND(Time_Sensitive_Engagement_By_Hour27[[#This Row],[converted]]/Time_Sensitive_Engagement_By_Hour27[[#This Row],[views]],5)</f>
        <v>1.8030000000000001E-2</v>
      </c>
      <c r="G2" s="24">
        <v>250</v>
      </c>
      <c r="H2" s="24">
        <v>120</v>
      </c>
      <c r="I2" s="30">
        <f>Time_Sensitive_Engagement_By_Hour27[[#This Row],[Avg Revenue/User]]*Time_Sensitive_Engagement_By_Hour27[[#This Row],[Conversion Rate]]*1000</f>
        <v>4507.5</v>
      </c>
      <c r="J2" s="30">
        <f>(Time_Sensitive_Engagement_By_Hour27[[#This Row],[Campaign Cost per 1000 views]]*Time_Sensitive_Engagement_By_Hour27[[#This Row],[views]])/1000</f>
        <v>1650.48</v>
      </c>
      <c r="K2" s="30">
        <f>Time_Sensitive_Engagement_By_Hour27[[#This Row],[Avg Revenue/User]]*Time_Sensitive_Engagement_By_Hour27[[#This Row],[converted]]</f>
        <v>62000</v>
      </c>
      <c r="L2" s="30">
        <f>Time_Sensitive_Engagement_By_Hour27[[#This Row],[Total Revenue]]-Time_Sensitive_Engagement_By_Hour27[[#This Row],[Total Campaign Cost]]</f>
        <v>60349.52</v>
      </c>
    </row>
    <row r="3" spans="1:12">
      <c r="A3">
        <v>1</v>
      </c>
      <c r="B3">
        <v>18795</v>
      </c>
      <c r="C3">
        <v>16926</v>
      </c>
      <c r="D3">
        <v>960</v>
      </c>
      <c r="E3">
        <v>342</v>
      </c>
      <c r="F3" s="43">
        <f>ROUND(Time_Sensitive_Engagement_By_Hour27[[#This Row],[converted]]/Time_Sensitive_Engagement_By_Hour27[[#This Row],[views]],5)</f>
        <v>2.0209999999999999E-2</v>
      </c>
      <c r="G3" s="24">
        <v>250</v>
      </c>
      <c r="H3" s="24">
        <v>120</v>
      </c>
      <c r="I3" s="30">
        <f>Time_Sensitive_Engagement_By_Hour27[[#This Row],[Avg Revenue/User]]*Time_Sensitive_Engagement_By_Hour27[[#This Row],[Conversion Rate]]*1000</f>
        <v>5052.4999999999991</v>
      </c>
      <c r="J3" s="30">
        <f>(Time_Sensitive_Engagement_By_Hour27[[#This Row],[Campaign Cost per 1000 views]]*Time_Sensitive_Engagement_By_Hour27[[#This Row],[views]])/1000</f>
        <v>2031.12</v>
      </c>
      <c r="K3" s="30">
        <f>Time_Sensitive_Engagement_By_Hour27[[#This Row],[Avg Revenue/User]]*Time_Sensitive_Engagement_By_Hour27[[#This Row],[converted]]</f>
        <v>85500</v>
      </c>
      <c r="L3" s="30">
        <f>Time_Sensitive_Engagement_By_Hour27[[#This Row],[Total Revenue]]-Time_Sensitive_Engagement_By_Hour27[[#This Row],[Total Campaign Cost]]</f>
        <v>83468.88</v>
      </c>
    </row>
    <row r="4" spans="1:12">
      <c r="A4">
        <v>2</v>
      </c>
      <c r="B4">
        <v>22683</v>
      </c>
      <c r="C4">
        <v>20351</v>
      </c>
      <c r="D4">
        <v>1222</v>
      </c>
      <c r="E4">
        <v>418</v>
      </c>
      <c r="F4" s="43">
        <f>ROUND(Time_Sensitive_Engagement_By_Hour27[[#This Row],[converted]]/Time_Sensitive_Engagement_By_Hour27[[#This Row],[views]],5)</f>
        <v>2.0539999999999999E-2</v>
      </c>
      <c r="G4" s="24">
        <v>250</v>
      </c>
      <c r="H4" s="24">
        <v>120</v>
      </c>
      <c r="I4" s="30">
        <f>Time_Sensitive_Engagement_By_Hour27[[#This Row],[Avg Revenue/User]]*Time_Sensitive_Engagement_By_Hour27[[#This Row],[Conversion Rate]]*1000</f>
        <v>5135</v>
      </c>
      <c r="J4" s="30">
        <f>(Time_Sensitive_Engagement_By_Hour27[[#This Row],[Campaign Cost per 1000 views]]*Time_Sensitive_Engagement_By_Hour27[[#This Row],[views]])/1000</f>
        <v>2442.12</v>
      </c>
      <c r="K4" s="30">
        <f>Time_Sensitive_Engagement_By_Hour27[[#This Row],[Avg Revenue/User]]*Time_Sensitive_Engagement_By_Hour27[[#This Row],[converted]]</f>
        <v>104500</v>
      </c>
      <c r="L4" s="30">
        <f>Time_Sensitive_Engagement_By_Hour27[[#This Row],[Total Revenue]]-Time_Sensitive_Engagement_By_Hour27[[#This Row],[Total Campaign Cost]]</f>
        <v>102057.88</v>
      </c>
    </row>
    <row r="5" spans="1:12">
      <c r="A5">
        <v>3</v>
      </c>
      <c r="B5">
        <v>21784</v>
      </c>
      <c r="C5">
        <v>19444</v>
      </c>
      <c r="D5">
        <v>1228</v>
      </c>
      <c r="E5">
        <v>457</v>
      </c>
      <c r="F5" s="43">
        <f>ROUND(Time_Sensitive_Engagement_By_Hour27[[#This Row],[converted]]/Time_Sensitive_Engagement_By_Hour27[[#This Row],[views]],5)</f>
        <v>2.35E-2</v>
      </c>
      <c r="G5" s="24">
        <v>250</v>
      </c>
      <c r="H5" s="24">
        <v>120</v>
      </c>
      <c r="I5" s="30">
        <f>Time_Sensitive_Engagement_By_Hour27[[#This Row],[Avg Revenue/User]]*Time_Sensitive_Engagement_By_Hour27[[#This Row],[Conversion Rate]]*1000</f>
        <v>5875</v>
      </c>
      <c r="J5" s="30">
        <f>(Time_Sensitive_Engagement_By_Hour27[[#This Row],[Campaign Cost per 1000 views]]*Time_Sensitive_Engagement_By_Hour27[[#This Row],[views]])/1000</f>
        <v>2333.2800000000002</v>
      </c>
      <c r="K5" s="30">
        <f>Time_Sensitive_Engagement_By_Hour27[[#This Row],[Avg Revenue/User]]*Time_Sensitive_Engagement_By_Hour27[[#This Row],[converted]]</f>
        <v>114250</v>
      </c>
      <c r="L5" s="30">
        <f>Time_Sensitive_Engagement_By_Hour27[[#This Row],[Total Revenue]]-Time_Sensitive_Engagement_By_Hour27[[#This Row],[Total Campaign Cost]]</f>
        <v>111916.72</v>
      </c>
    </row>
    <row r="6" spans="1:12">
      <c r="A6">
        <v>4</v>
      </c>
      <c r="B6">
        <v>21102</v>
      </c>
      <c r="C6">
        <v>18902</v>
      </c>
      <c r="D6">
        <v>1129</v>
      </c>
      <c r="E6">
        <v>431</v>
      </c>
      <c r="F6" s="43">
        <f>ROUND(Time_Sensitive_Engagement_By_Hour27[[#This Row],[converted]]/Time_Sensitive_Engagement_By_Hour27[[#This Row],[views]],5)</f>
        <v>2.2800000000000001E-2</v>
      </c>
      <c r="G6" s="24">
        <v>250</v>
      </c>
      <c r="H6" s="24">
        <v>120</v>
      </c>
      <c r="I6" s="30">
        <f>Time_Sensitive_Engagement_By_Hour27[[#This Row],[Avg Revenue/User]]*Time_Sensitive_Engagement_By_Hour27[[#This Row],[Conversion Rate]]*1000</f>
        <v>5700</v>
      </c>
      <c r="J6" s="30">
        <f>(Time_Sensitive_Engagement_By_Hour27[[#This Row],[Campaign Cost per 1000 views]]*Time_Sensitive_Engagement_By_Hour27[[#This Row],[views]])/1000</f>
        <v>2268.2399999999998</v>
      </c>
      <c r="K6" s="30">
        <f>Time_Sensitive_Engagement_By_Hour27[[#This Row],[Avg Revenue/User]]*Time_Sensitive_Engagement_By_Hour27[[#This Row],[converted]]</f>
        <v>107750</v>
      </c>
      <c r="L6" s="30">
        <f>Time_Sensitive_Engagement_By_Hour27[[#This Row],[Total Revenue]]-Time_Sensitive_Engagement_By_Hour27[[#This Row],[Total Campaign Cost]]</f>
        <v>105481.76</v>
      </c>
    </row>
    <row r="7" spans="1:12">
      <c r="A7">
        <v>5</v>
      </c>
      <c r="B7">
        <v>24016</v>
      </c>
      <c r="C7">
        <v>21606</v>
      </c>
      <c r="D7">
        <v>1282</v>
      </c>
      <c r="E7">
        <v>461</v>
      </c>
      <c r="F7" s="43">
        <f>ROUND(Time_Sensitive_Engagement_By_Hour27[[#This Row],[converted]]/Time_Sensitive_Engagement_By_Hour27[[#This Row],[views]],5)</f>
        <v>2.1340000000000001E-2</v>
      </c>
      <c r="G7" s="24">
        <v>250</v>
      </c>
      <c r="H7" s="24">
        <v>120</v>
      </c>
      <c r="I7" s="30">
        <f>Time_Sensitive_Engagement_By_Hour27[[#This Row],[Avg Revenue/User]]*Time_Sensitive_Engagement_By_Hour27[[#This Row],[Conversion Rate]]*1000</f>
        <v>5335</v>
      </c>
      <c r="J7" s="30">
        <f>(Time_Sensitive_Engagement_By_Hour27[[#This Row],[Campaign Cost per 1000 views]]*Time_Sensitive_Engagement_By_Hour27[[#This Row],[views]])/1000</f>
        <v>2592.7199999999998</v>
      </c>
      <c r="K7" s="30">
        <f>Time_Sensitive_Engagement_By_Hour27[[#This Row],[Avg Revenue/User]]*Time_Sensitive_Engagement_By_Hour27[[#This Row],[converted]]</f>
        <v>115250</v>
      </c>
      <c r="L7" s="30">
        <f>Time_Sensitive_Engagement_By_Hour27[[#This Row],[Total Revenue]]-Time_Sensitive_Engagement_By_Hour27[[#This Row],[Total Campaign Cost]]</f>
        <v>112657.28</v>
      </c>
    </row>
    <row r="8" spans="1:12">
      <c r="A8">
        <v>6</v>
      </c>
      <c r="B8">
        <v>24783</v>
      </c>
      <c r="C8">
        <v>22328</v>
      </c>
      <c r="D8">
        <v>1323</v>
      </c>
      <c r="E8">
        <v>444</v>
      </c>
      <c r="F8" s="43">
        <f>ROUND(Time_Sensitive_Engagement_By_Hour27[[#This Row],[converted]]/Time_Sensitive_Engagement_By_Hour27[[#This Row],[views]],5)</f>
        <v>1.9890000000000001E-2</v>
      </c>
      <c r="G8" s="24">
        <v>250</v>
      </c>
      <c r="H8" s="24">
        <v>120</v>
      </c>
      <c r="I8" s="30">
        <f>Time_Sensitive_Engagement_By_Hour27[[#This Row],[Avg Revenue/User]]*Time_Sensitive_Engagement_By_Hour27[[#This Row],[Conversion Rate]]*1000</f>
        <v>4972.5</v>
      </c>
      <c r="J8" s="30">
        <f>(Time_Sensitive_Engagement_By_Hour27[[#This Row],[Campaign Cost per 1000 views]]*Time_Sensitive_Engagement_By_Hour27[[#This Row],[views]])/1000</f>
        <v>2679.36</v>
      </c>
      <c r="K8" s="30">
        <f>Time_Sensitive_Engagement_By_Hour27[[#This Row],[Avg Revenue/User]]*Time_Sensitive_Engagement_By_Hour27[[#This Row],[converted]]</f>
        <v>111000</v>
      </c>
      <c r="L8" s="30">
        <f>Time_Sensitive_Engagement_By_Hour27[[#This Row],[Total Revenue]]-Time_Sensitive_Engagement_By_Hour27[[#This Row],[Total Campaign Cost]]</f>
        <v>108320.64</v>
      </c>
    </row>
    <row r="9" spans="1:12">
      <c r="A9">
        <v>7</v>
      </c>
      <c r="B9">
        <v>25745</v>
      </c>
      <c r="C9">
        <v>23303</v>
      </c>
      <c r="D9">
        <v>1361</v>
      </c>
      <c r="E9">
        <v>459</v>
      </c>
      <c r="F9" s="43">
        <f>ROUND(Time_Sensitive_Engagement_By_Hour27[[#This Row],[converted]]/Time_Sensitive_Engagement_By_Hour27[[#This Row],[views]],5)</f>
        <v>1.9699999999999999E-2</v>
      </c>
      <c r="G9" s="24">
        <v>250</v>
      </c>
      <c r="H9" s="24">
        <v>120</v>
      </c>
      <c r="I9" s="30">
        <f>Time_Sensitive_Engagement_By_Hour27[[#This Row],[Avg Revenue/User]]*Time_Sensitive_Engagement_By_Hour27[[#This Row],[Conversion Rate]]*1000</f>
        <v>4925</v>
      </c>
      <c r="J9" s="30">
        <f>(Time_Sensitive_Engagement_By_Hour27[[#This Row],[Campaign Cost per 1000 views]]*Time_Sensitive_Engagement_By_Hour27[[#This Row],[views]])/1000</f>
        <v>2796.36</v>
      </c>
      <c r="K9" s="30">
        <f>Time_Sensitive_Engagement_By_Hour27[[#This Row],[Avg Revenue/User]]*Time_Sensitive_Engagement_By_Hour27[[#This Row],[converted]]</f>
        <v>114750</v>
      </c>
      <c r="L9" s="30">
        <f>Time_Sensitive_Engagement_By_Hour27[[#This Row],[Total Revenue]]-Time_Sensitive_Engagement_By_Hour27[[#This Row],[Total Campaign Cost]]</f>
        <v>111953.64</v>
      </c>
    </row>
    <row r="10" spans="1:12">
      <c r="A10">
        <v>8</v>
      </c>
      <c r="B10">
        <v>24817</v>
      </c>
      <c r="C10">
        <v>22371</v>
      </c>
      <c r="D10">
        <v>1271</v>
      </c>
      <c r="E10">
        <v>467</v>
      </c>
      <c r="F10" s="43">
        <f>ROUND(Time_Sensitive_Engagement_By_Hour27[[#This Row],[converted]]/Time_Sensitive_Engagement_By_Hour27[[#This Row],[views]],5)</f>
        <v>2.0879999999999999E-2</v>
      </c>
      <c r="G10" s="24">
        <v>250</v>
      </c>
      <c r="H10" s="24">
        <v>120</v>
      </c>
      <c r="I10" s="30">
        <f>Time_Sensitive_Engagement_By_Hour27[[#This Row],[Avg Revenue/User]]*Time_Sensitive_Engagement_By_Hour27[[#This Row],[Conversion Rate]]*1000</f>
        <v>5220</v>
      </c>
      <c r="J10" s="30">
        <f>(Time_Sensitive_Engagement_By_Hour27[[#This Row],[Campaign Cost per 1000 views]]*Time_Sensitive_Engagement_By_Hour27[[#This Row],[views]])/1000</f>
        <v>2684.52</v>
      </c>
      <c r="K10" s="30">
        <f>Time_Sensitive_Engagement_By_Hour27[[#This Row],[Avg Revenue/User]]*Time_Sensitive_Engagement_By_Hour27[[#This Row],[converted]]</f>
        <v>116750</v>
      </c>
      <c r="L10" s="30">
        <f>Time_Sensitive_Engagement_By_Hour27[[#This Row],[Total Revenue]]-Time_Sensitive_Engagement_By_Hour27[[#This Row],[Total Campaign Cost]]</f>
        <v>114065.48</v>
      </c>
    </row>
    <row r="11" spans="1:12">
      <c r="A11">
        <v>9</v>
      </c>
      <c r="B11">
        <v>21826</v>
      </c>
      <c r="C11">
        <v>19725</v>
      </c>
      <c r="D11">
        <v>1150</v>
      </c>
      <c r="E11">
        <v>355</v>
      </c>
      <c r="F11" s="43">
        <f>ROUND(Time_Sensitive_Engagement_By_Hour27[[#This Row],[converted]]/Time_Sensitive_Engagement_By_Hour27[[#This Row],[views]],5)</f>
        <v>1.7999999999999999E-2</v>
      </c>
      <c r="G11" s="24">
        <v>250</v>
      </c>
      <c r="H11" s="24">
        <v>120</v>
      </c>
      <c r="I11" s="30">
        <f>Time_Sensitive_Engagement_By_Hour27[[#This Row],[Avg Revenue/User]]*Time_Sensitive_Engagement_By_Hour27[[#This Row],[Conversion Rate]]*1000</f>
        <v>4500</v>
      </c>
      <c r="J11" s="30">
        <f>(Time_Sensitive_Engagement_By_Hour27[[#This Row],[Campaign Cost per 1000 views]]*Time_Sensitive_Engagement_By_Hour27[[#This Row],[views]])/1000</f>
        <v>2367</v>
      </c>
      <c r="K11" s="30">
        <f>Time_Sensitive_Engagement_By_Hour27[[#This Row],[Avg Revenue/User]]*Time_Sensitive_Engagement_By_Hour27[[#This Row],[converted]]</f>
        <v>88750</v>
      </c>
      <c r="L11" s="30">
        <f>Time_Sensitive_Engagement_By_Hour27[[#This Row],[Total Revenue]]-Time_Sensitive_Engagement_By_Hour27[[#This Row],[Total Campaign Cost]]</f>
        <v>86383</v>
      </c>
    </row>
    <row r="12" spans="1:12">
      <c r="A12">
        <v>10</v>
      </c>
      <c r="B12">
        <v>22755</v>
      </c>
      <c r="C12">
        <v>20657</v>
      </c>
      <c r="D12">
        <v>1123</v>
      </c>
      <c r="E12">
        <v>366</v>
      </c>
      <c r="F12" s="43">
        <f>ROUND(Time_Sensitive_Engagement_By_Hour27[[#This Row],[converted]]/Time_Sensitive_Engagement_By_Hour27[[#This Row],[views]],5)</f>
        <v>1.772E-2</v>
      </c>
      <c r="G12" s="24">
        <v>250</v>
      </c>
      <c r="H12" s="24">
        <v>120</v>
      </c>
      <c r="I12" s="30">
        <f>Time_Sensitive_Engagement_By_Hour27[[#This Row],[Avg Revenue/User]]*Time_Sensitive_Engagement_By_Hour27[[#This Row],[Conversion Rate]]*1000</f>
        <v>4430</v>
      </c>
      <c r="J12" s="30">
        <f>(Time_Sensitive_Engagement_By_Hour27[[#This Row],[Campaign Cost per 1000 views]]*Time_Sensitive_Engagement_By_Hour27[[#This Row],[views]])/1000</f>
        <v>2478.84</v>
      </c>
      <c r="K12" s="30">
        <f>Time_Sensitive_Engagement_By_Hour27[[#This Row],[Avg Revenue/User]]*Time_Sensitive_Engagement_By_Hour27[[#This Row],[converted]]</f>
        <v>91500</v>
      </c>
      <c r="L12" s="30">
        <f>Time_Sensitive_Engagement_By_Hour27[[#This Row],[Total Revenue]]-Time_Sensitive_Engagement_By_Hour27[[#This Row],[Total Campaign Cost]]</f>
        <v>89021.16</v>
      </c>
    </row>
    <row r="13" spans="1:12">
      <c r="A13">
        <v>11</v>
      </c>
      <c r="B13">
        <v>30391</v>
      </c>
      <c r="C13">
        <v>27687</v>
      </c>
      <c r="D13">
        <v>1473</v>
      </c>
      <c r="E13">
        <v>466</v>
      </c>
      <c r="F13" s="43">
        <f>ROUND(Time_Sensitive_Engagement_By_Hour27[[#This Row],[converted]]/Time_Sensitive_Engagement_By_Hour27[[#This Row],[views]],5)</f>
        <v>1.6830000000000001E-2</v>
      </c>
      <c r="G13" s="24">
        <v>250</v>
      </c>
      <c r="H13" s="24">
        <v>120</v>
      </c>
      <c r="I13" s="30">
        <f>Time_Sensitive_Engagement_By_Hour27[[#This Row],[Avg Revenue/User]]*Time_Sensitive_Engagement_By_Hour27[[#This Row],[Conversion Rate]]*1000</f>
        <v>4207.5000000000009</v>
      </c>
      <c r="J13" s="30">
        <f>(Time_Sensitive_Engagement_By_Hour27[[#This Row],[Campaign Cost per 1000 views]]*Time_Sensitive_Engagement_By_Hour27[[#This Row],[views]])/1000</f>
        <v>3322.44</v>
      </c>
      <c r="K13" s="30">
        <f>Time_Sensitive_Engagement_By_Hour27[[#This Row],[Avg Revenue/User]]*Time_Sensitive_Engagement_By_Hour27[[#This Row],[converted]]</f>
        <v>116500</v>
      </c>
      <c r="L13" s="30">
        <f>Time_Sensitive_Engagement_By_Hour27[[#This Row],[Total Revenue]]-Time_Sensitive_Engagement_By_Hour27[[#This Row],[Total Campaign Cost]]</f>
        <v>113177.56</v>
      </c>
    </row>
    <row r="14" spans="1:12">
      <c r="A14">
        <v>12</v>
      </c>
      <c r="B14">
        <v>39645</v>
      </c>
      <c r="C14">
        <v>35945</v>
      </c>
      <c r="D14">
        <v>2113</v>
      </c>
      <c r="E14">
        <v>603</v>
      </c>
      <c r="F14" s="43">
        <f>ROUND(Time_Sensitive_Engagement_By_Hour27[[#This Row],[converted]]/Time_Sensitive_Engagement_By_Hour27[[#This Row],[views]],5)</f>
        <v>1.678E-2</v>
      </c>
      <c r="G14" s="24">
        <v>250</v>
      </c>
      <c r="H14" s="24">
        <v>120</v>
      </c>
      <c r="I14" s="30">
        <f>Time_Sensitive_Engagement_By_Hour27[[#This Row],[Avg Revenue/User]]*Time_Sensitive_Engagement_By_Hour27[[#This Row],[Conversion Rate]]*1000</f>
        <v>4195</v>
      </c>
      <c r="J14" s="30">
        <f>(Time_Sensitive_Engagement_By_Hour27[[#This Row],[Campaign Cost per 1000 views]]*Time_Sensitive_Engagement_By_Hour27[[#This Row],[views]])/1000</f>
        <v>4313.3999999999996</v>
      </c>
      <c r="K14" s="30">
        <f>Time_Sensitive_Engagement_By_Hour27[[#This Row],[Avg Revenue/User]]*Time_Sensitive_Engagement_By_Hour27[[#This Row],[converted]]</f>
        <v>150750</v>
      </c>
      <c r="L14" s="30">
        <f>Time_Sensitive_Engagement_By_Hour27[[#This Row],[Total Revenue]]-Time_Sensitive_Engagement_By_Hour27[[#This Row],[Total Campaign Cost]]</f>
        <v>146436.6</v>
      </c>
    </row>
    <row r="15" spans="1:12">
      <c r="A15">
        <v>13</v>
      </c>
      <c r="B15">
        <v>46821</v>
      </c>
      <c r="C15">
        <v>42412</v>
      </c>
      <c r="D15">
        <v>2529</v>
      </c>
      <c r="E15">
        <v>705</v>
      </c>
      <c r="F15" s="43">
        <f>ROUND(Time_Sensitive_Engagement_By_Hour27[[#This Row],[converted]]/Time_Sensitive_Engagement_By_Hour27[[#This Row],[views]],5)</f>
        <v>1.6619999999999999E-2</v>
      </c>
      <c r="G15" s="24">
        <v>250</v>
      </c>
      <c r="H15" s="24">
        <v>120</v>
      </c>
      <c r="I15" s="30">
        <f>Time_Sensitive_Engagement_By_Hour27[[#This Row],[Avg Revenue/User]]*Time_Sensitive_Engagement_By_Hour27[[#This Row],[Conversion Rate]]*1000</f>
        <v>4155</v>
      </c>
      <c r="J15" s="30">
        <f>(Time_Sensitive_Engagement_By_Hour27[[#This Row],[Campaign Cost per 1000 views]]*Time_Sensitive_Engagement_By_Hour27[[#This Row],[views]])/1000</f>
        <v>5089.4399999999996</v>
      </c>
      <c r="K15" s="30">
        <f>Time_Sensitive_Engagement_By_Hour27[[#This Row],[Avg Revenue/User]]*Time_Sensitive_Engagement_By_Hour27[[#This Row],[converted]]</f>
        <v>176250</v>
      </c>
      <c r="L15" s="30">
        <f>Time_Sensitive_Engagement_By_Hour27[[#This Row],[Total Revenue]]-Time_Sensitive_Engagement_By_Hour27[[#This Row],[Total Campaign Cost]]</f>
        <v>171160.56</v>
      </c>
    </row>
    <row r="16" spans="1:12">
      <c r="A16">
        <v>14</v>
      </c>
      <c r="B16">
        <v>47848</v>
      </c>
      <c r="C16">
        <v>42986</v>
      </c>
      <c r="D16">
        <v>2783</v>
      </c>
      <c r="E16">
        <v>719</v>
      </c>
      <c r="F16" s="43">
        <f>ROUND(Time_Sensitive_Engagement_By_Hour27[[#This Row],[converted]]/Time_Sensitive_Engagement_By_Hour27[[#This Row],[views]],5)</f>
        <v>1.6729999999999998E-2</v>
      </c>
      <c r="G16" s="24">
        <v>250</v>
      </c>
      <c r="H16" s="24">
        <v>120</v>
      </c>
      <c r="I16" s="30">
        <f>Time_Sensitive_Engagement_By_Hour27[[#This Row],[Avg Revenue/User]]*Time_Sensitive_Engagement_By_Hour27[[#This Row],[Conversion Rate]]*1000</f>
        <v>4182.4999999999991</v>
      </c>
      <c r="J16" s="30">
        <f>(Time_Sensitive_Engagement_By_Hour27[[#This Row],[Campaign Cost per 1000 views]]*Time_Sensitive_Engagement_By_Hour27[[#This Row],[views]])/1000</f>
        <v>5158.32</v>
      </c>
      <c r="K16" s="30">
        <f>Time_Sensitive_Engagement_By_Hour27[[#This Row],[Avg Revenue/User]]*Time_Sensitive_Engagement_By_Hour27[[#This Row],[converted]]</f>
        <v>179750</v>
      </c>
      <c r="L16" s="30">
        <f>Time_Sensitive_Engagement_By_Hour27[[#This Row],[Total Revenue]]-Time_Sensitive_Engagement_By_Hour27[[#This Row],[Total Campaign Cost]]</f>
        <v>174591.68</v>
      </c>
    </row>
    <row r="17" spans="1:12">
      <c r="A17">
        <v>15</v>
      </c>
      <c r="B17">
        <v>37114</v>
      </c>
      <c r="C17">
        <v>33160</v>
      </c>
      <c r="D17">
        <v>2297</v>
      </c>
      <c r="E17">
        <v>529</v>
      </c>
      <c r="F17" s="43">
        <f>ROUND(Time_Sensitive_Engagement_By_Hour27[[#This Row],[converted]]/Time_Sensitive_Engagement_By_Hour27[[#This Row],[views]],5)</f>
        <v>1.5949999999999999E-2</v>
      </c>
      <c r="G17" s="24">
        <v>250</v>
      </c>
      <c r="H17" s="24">
        <v>120</v>
      </c>
      <c r="I17" s="30">
        <f>Time_Sensitive_Engagement_By_Hour27[[#This Row],[Avg Revenue/User]]*Time_Sensitive_Engagement_By_Hour27[[#This Row],[Conversion Rate]]*1000</f>
        <v>3987.5</v>
      </c>
      <c r="J17" s="30">
        <f>(Time_Sensitive_Engagement_By_Hour27[[#This Row],[Campaign Cost per 1000 views]]*Time_Sensitive_Engagement_By_Hour27[[#This Row],[views]])/1000</f>
        <v>3979.2</v>
      </c>
      <c r="K17" s="30">
        <f>Time_Sensitive_Engagement_By_Hour27[[#This Row],[Avg Revenue/User]]*Time_Sensitive_Engagement_By_Hour27[[#This Row],[converted]]</f>
        <v>132250</v>
      </c>
      <c r="L17" s="30">
        <f>Time_Sensitive_Engagement_By_Hour27[[#This Row],[Total Revenue]]-Time_Sensitive_Engagement_By_Hour27[[#This Row],[Total Campaign Cost]]</f>
        <v>128270.8</v>
      </c>
    </row>
    <row r="18" spans="1:12">
      <c r="A18">
        <v>16</v>
      </c>
      <c r="B18">
        <v>18174</v>
      </c>
      <c r="C18">
        <v>16370</v>
      </c>
      <c r="D18">
        <v>988</v>
      </c>
      <c r="E18">
        <v>260</v>
      </c>
      <c r="F18" s="43">
        <f>ROUND(Time_Sensitive_Engagement_By_Hour27[[#This Row],[converted]]/Time_Sensitive_Engagement_By_Hour27[[#This Row],[views]],5)</f>
        <v>1.5879999999999998E-2</v>
      </c>
      <c r="G18" s="24">
        <v>250</v>
      </c>
      <c r="H18" s="24">
        <v>120</v>
      </c>
      <c r="I18" s="30">
        <f>Time_Sensitive_Engagement_By_Hour27[[#This Row],[Avg Revenue/User]]*Time_Sensitive_Engagement_By_Hour27[[#This Row],[Conversion Rate]]*1000</f>
        <v>3969.9999999999995</v>
      </c>
      <c r="J18" s="30">
        <f>(Time_Sensitive_Engagement_By_Hour27[[#This Row],[Campaign Cost per 1000 views]]*Time_Sensitive_Engagement_By_Hour27[[#This Row],[views]])/1000</f>
        <v>1964.4</v>
      </c>
      <c r="K18" s="30">
        <f>Time_Sensitive_Engagement_By_Hour27[[#This Row],[Avg Revenue/User]]*Time_Sensitive_Engagement_By_Hour27[[#This Row],[converted]]</f>
        <v>65000</v>
      </c>
      <c r="L18" s="30">
        <f>Time_Sensitive_Engagement_By_Hour27[[#This Row],[Total Revenue]]-Time_Sensitive_Engagement_By_Hour27[[#This Row],[Total Campaign Cost]]</f>
        <v>63035.6</v>
      </c>
    </row>
    <row r="19" spans="1:12">
      <c r="A19">
        <v>17</v>
      </c>
      <c r="B19">
        <v>8594</v>
      </c>
      <c r="C19">
        <v>7706</v>
      </c>
      <c r="D19">
        <v>481</v>
      </c>
      <c r="E19">
        <v>128</v>
      </c>
      <c r="F19" s="43">
        <f>ROUND(Time_Sensitive_Engagement_By_Hour27[[#This Row],[converted]]/Time_Sensitive_Engagement_By_Hour27[[#This Row],[views]],5)</f>
        <v>1.661E-2</v>
      </c>
      <c r="G19" s="24">
        <v>250</v>
      </c>
      <c r="H19" s="24">
        <v>120</v>
      </c>
      <c r="I19" s="30">
        <f>Time_Sensitive_Engagement_By_Hour27[[#This Row],[Avg Revenue/User]]*Time_Sensitive_Engagement_By_Hour27[[#This Row],[Conversion Rate]]*1000</f>
        <v>4152.5</v>
      </c>
      <c r="J19" s="30">
        <f>(Time_Sensitive_Engagement_By_Hour27[[#This Row],[Campaign Cost per 1000 views]]*Time_Sensitive_Engagement_By_Hour27[[#This Row],[views]])/1000</f>
        <v>924.72</v>
      </c>
      <c r="K19" s="30">
        <f>Time_Sensitive_Engagement_By_Hour27[[#This Row],[Avg Revenue/User]]*Time_Sensitive_Engagement_By_Hour27[[#This Row],[converted]]</f>
        <v>32000</v>
      </c>
      <c r="L19" s="30">
        <f>Time_Sensitive_Engagement_By_Hour27[[#This Row],[Total Revenue]]-Time_Sensitive_Engagement_By_Hour27[[#This Row],[Total Campaign Cost]]</f>
        <v>31075.279999999999</v>
      </c>
    </row>
    <row r="20" spans="1:12">
      <c r="A20">
        <v>18</v>
      </c>
      <c r="B20">
        <v>4563</v>
      </c>
      <c r="C20">
        <v>4128</v>
      </c>
      <c r="D20">
        <v>237</v>
      </c>
      <c r="E20">
        <v>54</v>
      </c>
      <c r="F20" s="43">
        <f>ROUND(Time_Sensitive_Engagement_By_Hour27[[#This Row],[converted]]/Time_Sensitive_Engagement_By_Hour27[[#This Row],[views]],5)</f>
        <v>1.308E-2</v>
      </c>
      <c r="G20" s="24">
        <v>250</v>
      </c>
      <c r="H20" s="24">
        <v>120</v>
      </c>
      <c r="I20" s="30">
        <f>Time_Sensitive_Engagement_By_Hour27[[#This Row],[Avg Revenue/User]]*Time_Sensitive_Engagement_By_Hour27[[#This Row],[Conversion Rate]]*1000</f>
        <v>3270</v>
      </c>
      <c r="J20" s="30">
        <f>(Time_Sensitive_Engagement_By_Hour27[[#This Row],[Campaign Cost per 1000 views]]*Time_Sensitive_Engagement_By_Hour27[[#This Row],[views]])/1000</f>
        <v>495.36</v>
      </c>
      <c r="K20" s="30">
        <f>Time_Sensitive_Engagement_By_Hour27[[#This Row],[Avg Revenue/User]]*Time_Sensitive_Engagement_By_Hour27[[#This Row],[converted]]</f>
        <v>13500</v>
      </c>
      <c r="L20" s="30">
        <f>Time_Sensitive_Engagement_By_Hour27[[#This Row],[Total Revenue]]-Time_Sensitive_Engagement_By_Hour27[[#This Row],[Total Campaign Cost]]</f>
        <v>13004.64</v>
      </c>
    </row>
    <row r="21" spans="1:12">
      <c r="A21">
        <v>19</v>
      </c>
      <c r="B21">
        <v>2971</v>
      </c>
      <c r="C21">
        <v>2679</v>
      </c>
      <c r="D21">
        <v>159</v>
      </c>
      <c r="E21">
        <v>53</v>
      </c>
      <c r="F21" s="43">
        <f>ROUND(Time_Sensitive_Engagement_By_Hour27[[#This Row],[converted]]/Time_Sensitive_Engagement_By_Hour27[[#This Row],[views]],5)</f>
        <v>1.9779999999999999E-2</v>
      </c>
      <c r="G21" s="24">
        <v>250</v>
      </c>
      <c r="H21" s="24">
        <v>120</v>
      </c>
      <c r="I21" s="30">
        <f>Time_Sensitive_Engagement_By_Hour27[[#This Row],[Avg Revenue/User]]*Time_Sensitive_Engagement_By_Hour27[[#This Row],[Conversion Rate]]*1000</f>
        <v>4944.9999999999991</v>
      </c>
      <c r="J21" s="30">
        <f>(Time_Sensitive_Engagement_By_Hour27[[#This Row],[Campaign Cost per 1000 views]]*Time_Sensitive_Engagement_By_Hour27[[#This Row],[views]])/1000</f>
        <v>321.48</v>
      </c>
      <c r="K21" s="30">
        <f>Time_Sensitive_Engagement_By_Hour27[[#This Row],[Avg Revenue/User]]*Time_Sensitive_Engagement_By_Hour27[[#This Row],[converted]]</f>
        <v>13250</v>
      </c>
      <c r="L21" s="30">
        <f>Time_Sensitive_Engagement_By_Hour27[[#This Row],[Total Revenue]]-Time_Sensitive_Engagement_By_Hour27[[#This Row],[Total Campaign Cost]]</f>
        <v>12928.52</v>
      </c>
    </row>
    <row r="22" spans="1:12">
      <c r="A22">
        <v>20</v>
      </c>
      <c r="B22">
        <v>2371</v>
      </c>
      <c r="C22">
        <v>2120</v>
      </c>
      <c r="D22">
        <v>149</v>
      </c>
      <c r="E22">
        <v>32</v>
      </c>
      <c r="F22" s="43">
        <f>ROUND(Time_Sensitive_Engagement_By_Hour27[[#This Row],[converted]]/Time_Sensitive_Engagement_By_Hour27[[#This Row],[views]],5)</f>
        <v>1.5089999999999999E-2</v>
      </c>
      <c r="G22" s="24">
        <v>250</v>
      </c>
      <c r="H22" s="24">
        <v>120</v>
      </c>
      <c r="I22" s="30">
        <f>Time_Sensitive_Engagement_By_Hour27[[#This Row],[Avg Revenue/User]]*Time_Sensitive_Engagement_By_Hour27[[#This Row],[Conversion Rate]]*1000</f>
        <v>3772.5</v>
      </c>
      <c r="J22" s="30">
        <f>(Time_Sensitive_Engagement_By_Hour27[[#This Row],[Campaign Cost per 1000 views]]*Time_Sensitive_Engagement_By_Hour27[[#This Row],[views]])/1000</f>
        <v>254.4</v>
      </c>
      <c r="K22" s="30">
        <f>Time_Sensitive_Engagement_By_Hour27[[#This Row],[Avg Revenue/User]]*Time_Sensitive_Engagement_By_Hour27[[#This Row],[converted]]</f>
        <v>8000</v>
      </c>
      <c r="L22" s="30">
        <f>Time_Sensitive_Engagement_By_Hour27[[#This Row],[Total Revenue]]-Time_Sensitive_Engagement_By_Hour27[[#This Row],[Total Campaign Cost]]</f>
        <v>7745.6</v>
      </c>
    </row>
    <row r="23" spans="1:12">
      <c r="A23">
        <v>21</v>
      </c>
      <c r="B23">
        <v>2990</v>
      </c>
      <c r="C23">
        <v>2717</v>
      </c>
      <c r="D23">
        <v>180</v>
      </c>
      <c r="E23">
        <v>29</v>
      </c>
      <c r="F23" s="43">
        <f>ROUND(Time_Sensitive_Engagement_By_Hour27[[#This Row],[converted]]/Time_Sensitive_Engagement_By_Hour27[[#This Row],[views]],5)</f>
        <v>1.0670000000000001E-2</v>
      </c>
      <c r="G23" s="24">
        <v>250</v>
      </c>
      <c r="H23" s="24">
        <v>120</v>
      </c>
      <c r="I23" s="30">
        <f>Time_Sensitive_Engagement_By_Hour27[[#This Row],[Avg Revenue/User]]*Time_Sensitive_Engagement_By_Hour27[[#This Row],[Conversion Rate]]*1000</f>
        <v>2667.5</v>
      </c>
      <c r="J23" s="30">
        <f>(Time_Sensitive_Engagement_By_Hour27[[#This Row],[Campaign Cost per 1000 views]]*Time_Sensitive_Engagement_By_Hour27[[#This Row],[views]])/1000</f>
        <v>326.04000000000002</v>
      </c>
      <c r="K23" s="30">
        <f>Time_Sensitive_Engagement_By_Hour27[[#This Row],[Avg Revenue/User]]*Time_Sensitive_Engagement_By_Hour27[[#This Row],[converted]]</f>
        <v>7250</v>
      </c>
      <c r="L23" s="30">
        <f>Time_Sensitive_Engagement_By_Hour27[[#This Row],[Total Revenue]]-Time_Sensitive_Engagement_By_Hour27[[#This Row],[Total Campaign Cost]]</f>
        <v>6923.96</v>
      </c>
    </row>
    <row r="24" spans="1:12">
      <c r="A24">
        <v>22</v>
      </c>
      <c r="B24">
        <v>5446</v>
      </c>
      <c r="C24">
        <v>4897</v>
      </c>
      <c r="D24">
        <v>345</v>
      </c>
      <c r="E24">
        <v>55</v>
      </c>
      <c r="F24" s="43">
        <f>ROUND(Time_Sensitive_Engagement_By_Hour27[[#This Row],[converted]]/Time_Sensitive_Engagement_By_Hour27[[#This Row],[views]],5)</f>
        <v>1.123E-2</v>
      </c>
      <c r="G24" s="24">
        <v>250</v>
      </c>
      <c r="H24" s="24">
        <v>120</v>
      </c>
      <c r="I24" s="30">
        <f>Time_Sensitive_Engagement_By_Hour27[[#This Row],[Avg Revenue/User]]*Time_Sensitive_Engagement_By_Hour27[[#This Row],[Conversion Rate]]*1000</f>
        <v>2807.5</v>
      </c>
      <c r="J24" s="30">
        <f>(Time_Sensitive_Engagement_By_Hour27[[#This Row],[Campaign Cost per 1000 views]]*Time_Sensitive_Engagement_By_Hour27[[#This Row],[views]])/1000</f>
        <v>587.64</v>
      </c>
      <c r="K24" s="30">
        <f>Time_Sensitive_Engagement_By_Hour27[[#This Row],[Avg Revenue/User]]*Time_Sensitive_Engagement_By_Hour27[[#This Row],[converted]]</f>
        <v>13750</v>
      </c>
      <c r="L24" s="30">
        <f>Time_Sensitive_Engagement_By_Hour27[[#This Row],[Total Revenue]]-Time_Sensitive_Engagement_By_Hour27[[#This Row],[Total Campaign Cost]]</f>
        <v>13162.36</v>
      </c>
    </row>
    <row r="25" spans="1:12">
      <c r="A25">
        <v>23</v>
      </c>
      <c r="B25">
        <v>9470</v>
      </c>
      <c r="C25">
        <v>8498</v>
      </c>
      <c r="D25">
        <v>562</v>
      </c>
      <c r="E25">
        <v>113</v>
      </c>
      <c r="F25" s="43">
        <f>ROUND(Time_Sensitive_Engagement_By_Hour27[[#This Row],[converted]]/Time_Sensitive_Engagement_By_Hour27[[#This Row],[views]],5)</f>
        <v>1.3299999999999999E-2</v>
      </c>
      <c r="G25" s="24">
        <v>250</v>
      </c>
      <c r="H25" s="24">
        <v>120</v>
      </c>
      <c r="I25" s="30">
        <f>Time_Sensitive_Engagement_By_Hour27[[#This Row],[Avg Revenue/User]]*Time_Sensitive_Engagement_By_Hour27[[#This Row],[Conversion Rate]]*1000</f>
        <v>3324.9999999999995</v>
      </c>
      <c r="J25" s="30">
        <f>(Time_Sensitive_Engagement_By_Hour27[[#This Row],[Campaign Cost per 1000 views]]*Time_Sensitive_Engagement_By_Hour27[[#This Row],[views]])/1000</f>
        <v>1019.76</v>
      </c>
      <c r="K25" s="30">
        <f>Time_Sensitive_Engagement_By_Hour27[[#This Row],[Avg Revenue/User]]*Time_Sensitive_Engagement_By_Hour27[[#This Row],[converted]]</f>
        <v>28250</v>
      </c>
      <c r="L25" s="30">
        <f>Time_Sensitive_Engagement_By_Hour27[[#This Row],[Total Revenue]]-Time_Sensitive_Engagement_By_Hour27[[#This Row],[Total Campaign Cost]]</f>
        <v>27230.240000000002</v>
      </c>
    </row>
    <row r="27" spans="1:12">
      <c r="A27" s="54" t="s">
        <v>106</v>
      </c>
      <c r="B27" s="52"/>
      <c r="C27" s="52"/>
      <c r="D27" s="52"/>
      <c r="F27" s="54" t="s">
        <v>123</v>
      </c>
      <c r="G27" s="52"/>
      <c r="H27" s="52"/>
    </row>
    <row r="28" spans="1:12">
      <c r="A28" s="52"/>
      <c r="B28" s="52"/>
      <c r="C28" s="52"/>
      <c r="D28" s="52"/>
      <c r="F28" s="52"/>
      <c r="G28" s="52"/>
      <c r="H28" s="52"/>
    </row>
    <row r="31" spans="1:12">
      <c r="B31" s="3" t="s">
        <v>23</v>
      </c>
      <c r="C31" s="3" t="s">
        <v>97</v>
      </c>
      <c r="F31" s="89" t="s">
        <v>107</v>
      </c>
      <c r="G31" s="3" t="s">
        <v>108</v>
      </c>
      <c r="H31" s="3" t="s">
        <v>109</v>
      </c>
      <c r="I31" s="3" t="s">
        <v>110</v>
      </c>
    </row>
    <row r="32" spans="1:12" ht="57.6" customHeight="1">
      <c r="B32" s="5" t="s">
        <v>98</v>
      </c>
      <c r="C32" s="5" t="s">
        <v>99</v>
      </c>
      <c r="F32" s="90" t="s">
        <v>111</v>
      </c>
      <c r="G32" s="4" t="s">
        <v>112</v>
      </c>
      <c r="H32" s="4" t="s">
        <v>124</v>
      </c>
      <c r="I32" s="4" t="s">
        <v>113</v>
      </c>
    </row>
    <row r="33" spans="2:9" ht="43.2" customHeight="1">
      <c r="B33" s="5" t="s">
        <v>100</v>
      </c>
      <c r="C33" s="5" t="s">
        <v>101</v>
      </c>
      <c r="F33" s="90" t="s">
        <v>114</v>
      </c>
      <c r="G33" s="4" t="s">
        <v>115</v>
      </c>
      <c r="H33" s="4" t="s">
        <v>125</v>
      </c>
      <c r="I33" s="4" t="s">
        <v>116</v>
      </c>
    </row>
    <row r="34" spans="2:9" ht="57.6" customHeight="1">
      <c r="B34" s="5" t="s">
        <v>102</v>
      </c>
      <c r="C34" s="4" t="s">
        <v>103</v>
      </c>
      <c r="F34" s="90" t="s">
        <v>117</v>
      </c>
      <c r="G34" s="4" t="s">
        <v>118</v>
      </c>
      <c r="H34" s="4" t="s">
        <v>126</v>
      </c>
      <c r="I34" s="4" t="s">
        <v>119</v>
      </c>
    </row>
    <row r="35" spans="2:9" ht="43.2" customHeight="1">
      <c r="B35" s="5" t="s">
        <v>104</v>
      </c>
      <c r="C35" s="5" t="s">
        <v>105</v>
      </c>
      <c r="F35" s="90" t="s">
        <v>120</v>
      </c>
      <c r="G35" s="4" t="s">
        <v>121</v>
      </c>
      <c r="H35" s="4" t="s">
        <v>127</v>
      </c>
      <c r="I35" s="4" t="s">
        <v>122</v>
      </c>
    </row>
    <row r="40" spans="2:9">
      <c r="B40" s="55" t="s">
        <v>128</v>
      </c>
      <c r="C40" s="55"/>
    </row>
    <row r="41" spans="2:9">
      <c r="B41" s="55"/>
      <c r="C41" s="55"/>
    </row>
    <row r="43" spans="2:9">
      <c r="B43" t="s">
        <v>130</v>
      </c>
    </row>
    <row r="44" spans="2:9">
      <c r="B44" t="s">
        <v>129</v>
      </c>
    </row>
    <row r="45" spans="2:9">
      <c r="B45" t="s">
        <v>131</v>
      </c>
    </row>
  </sheetData>
  <mergeCells count="3">
    <mergeCell ref="A27:D28"/>
    <mergeCell ref="F27:H28"/>
    <mergeCell ref="B40:C41"/>
  </mergeCells>
  <phoneticPr fontId="3" type="noConversion"/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A4360F-14C1-4A30-A6DC-E7B15E6B20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CartRecovery_DATA</vt:lpstr>
      <vt:lpstr>CartRecovery_Assumptions</vt:lpstr>
      <vt:lpstr>CartRecovery_Simulated_Solution</vt:lpstr>
      <vt:lpstr>Sheet1</vt:lpstr>
      <vt:lpstr>HighPotentialSKUs-Data</vt:lpstr>
      <vt:lpstr>HighPotentialSKUs-Assumptions</vt:lpstr>
      <vt:lpstr>HighPotentialSKUs-Simulated_Sol</vt:lpstr>
      <vt:lpstr>CohortRetention-Data</vt:lpstr>
      <vt:lpstr>CohortRetention-Assumptions</vt:lpstr>
      <vt:lpstr>CohortRetention-Simulated_sol</vt:lpstr>
      <vt:lpstr>CohortRetention-Final</vt:lpstr>
      <vt:lpstr>HighLatencyPairs-Data</vt:lpstr>
      <vt:lpstr>HighLatencyPairs-Simulated Sol</vt:lpstr>
      <vt:lpstr>HighLatencyPairs-Final</vt:lpstr>
      <vt:lpstr>WishlistFavs_Data</vt:lpstr>
      <vt:lpstr>WishlistFavs_Assumptions</vt:lpstr>
      <vt:lpstr>WishlistFavs-Simulated Solution</vt:lpstr>
      <vt:lpstr>LoyaltyUsers-Data</vt:lpstr>
      <vt:lpstr>LoyaltyUsers-Simulated Sol</vt:lpstr>
      <vt:lpstr>HourlyBehavior-Data</vt:lpstr>
      <vt:lpstr>HourlyBehavior-Simulated_Sol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Raj</dc:creator>
  <cp:lastModifiedBy>Priyanshu Raj</cp:lastModifiedBy>
  <dcterms:created xsi:type="dcterms:W3CDTF">2025-06-15T15:36:31Z</dcterms:created>
  <dcterms:modified xsi:type="dcterms:W3CDTF">2025-06-19T15:08:23Z</dcterms:modified>
</cp:coreProperties>
</file>